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bmurm\Documents\GitHub\ADC-survey\xls\"/>
    </mc:Choice>
  </mc:AlternateContent>
  <xr:revisionPtr revIDLastSave="0" documentId="13_ncr:1_{E2E58E74-4181-4AD7-9C14-598FA18E2A77}" xr6:coauthVersionLast="47" xr6:coauthVersionMax="47" xr10:uidLastSave="{00000000-0000-0000-0000-000000000000}"/>
  <bookViews>
    <workbookView xWindow="10510" yWindow="1030" windowWidth="33800" windowHeight="19050" xr2:uid="{00000000-000D-0000-FFFF-FFFF00000000}"/>
  </bookViews>
  <sheets>
    <sheet name="Readme" sheetId="30" r:id="rId1"/>
    <sheet name="ISSCC" sheetId="1" r:id="rId2"/>
    <sheet name="VLSI" sheetId="32" r:id="rId3"/>
    <sheet name="Jitter and FOM lines" sheetId="34" r:id="rId4"/>
    <sheet name="Energy" sheetId="28" r:id="rId5"/>
    <sheet name="Aperture" sheetId="33" r:id="rId6"/>
    <sheet name="Walden FOM vs. Speed" sheetId="35" r:id="rId7"/>
    <sheet name="Schreier FOM vs. Speed" sheetId="36" r:id="rId8"/>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89" i="32" l="1"/>
  <c r="J294" i="32"/>
  <c r="AA291" i="32"/>
  <c r="P284" i="32"/>
  <c r="AA282" i="32"/>
  <c r="AB281" i="32"/>
  <c r="X281" i="32"/>
  <c r="X282" i="32"/>
  <c r="X283" i="32"/>
  <c r="X284" i="32"/>
  <c r="X285" i="32"/>
  <c r="X286" i="32"/>
  <c r="X287" i="32"/>
  <c r="X288" i="32"/>
  <c r="X290" i="32"/>
  <c r="X291" i="32"/>
  <c r="X292" i="32"/>
  <c r="X293" i="32"/>
  <c r="X289" i="32"/>
  <c r="X294" i="32"/>
  <c r="J281" i="32"/>
  <c r="J282" i="32"/>
  <c r="J283" i="32"/>
  <c r="J284" i="32"/>
  <c r="J285" i="32"/>
  <c r="J286" i="32"/>
  <c r="J287" i="32"/>
  <c r="J288" i="32"/>
  <c r="J290" i="32"/>
  <c r="J291" i="32"/>
  <c r="J292" i="32"/>
  <c r="J293" i="32"/>
  <c r="AD281" i="32"/>
  <c r="AE281" i="32"/>
  <c r="AF281" i="32"/>
  <c r="AG281" i="32"/>
  <c r="AH281" i="32"/>
  <c r="AI281" i="32"/>
  <c r="AJ281" i="32"/>
  <c r="AD282" i="32"/>
  <c r="AE282" i="32"/>
  <c r="AF282" i="32"/>
  <c r="AG282" i="32"/>
  <c r="AH282" i="32"/>
  <c r="AI282" i="32"/>
  <c r="AJ282" i="32"/>
  <c r="AB283" i="32"/>
  <c r="AD283" i="32"/>
  <c r="AE283" i="32"/>
  <c r="AF283" i="32"/>
  <c r="AG283" i="32"/>
  <c r="AH283" i="32"/>
  <c r="AI283" i="32"/>
  <c r="AJ283" i="32"/>
  <c r="AB284" i="32"/>
  <c r="AD284" i="32"/>
  <c r="AE284" i="32"/>
  <c r="AF284" i="32"/>
  <c r="AG284" i="32"/>
  <c r="AH284" i="32"/>
  <c r="AI284" i="32"/>
  <c r="AJ284" i="32"/>
  <c r="AB285" i="32"/>
  <c r="AD285" i="32"/>
  <c r="AE285" i="32"/>
  <c r="AF285" i="32"/>
  <c r="AG285" i="32"/>
  <c r="AH285" i="32"/>
  <c r="AI285" i="32"/>
  <c r="AJ285" i="32"/>
  <c r="AB286" i="32"/>
  <c r="AD286" i="32"/>
  <c r="AE286" i="32"/>
  <c r="AF286" i="32"/>
  <c r="AG286" i="32"/>
  <c r="AH286" i="32"/>
  <c r="AI286" i="32"/>
  <c r="AJ286" i="32"/>
  <c r="AB287" i="32"/>
  <c r="AD287" i="32"/>
  <c r="AE287" i="32"/>
  <c r="AF287" i="32"/>
  <c r="AG287" i="32"/>
  <c r="AH287" i="32"/>
  <c r="AI287" i="32"/>
  <c r="AJ287" i="32"/>
  <c r="AB288" i="32"/>
  <c r="AD288" i="32"/>
  <c r="AE288" i="32"/>
  <c r="AF288" i="32"/>
  <c r="AG288" i="32"/>
  <c r="AH288" i="32"/>
  <c r="AI288" i="32"/>
  <c r="AJ288" i="32"/>
  <c r="AB290" i="32"/>
  <c r="AD290" i="32"/>
  <c r="AE290" i="32"/>
  <c r="AF290" i="32"/>
  <c r="AG290" i="32"/>
  <c r="AH290" i="32"/>
  <c r="AI290" i="32"/>
  <c r="AJ290" i="32"/>
  <c r="AD291" i="32"/>
  <c r="AE291" i="32"/>
  <c r="AF291" i="32"/>
  <c r="AG291" i="32"/>
  <c r="AH291" i="32"/>
  <c r="AI291" i="32"/>
  <c r="AJ291" i="32"/>
  <c r="AB292" i="32"/>
  <c r="AD292" i="32"/>
  <c r="AE292" i="32"/>
  <c r="AF292" i="32"/>
  <c r="AG292" i="32"/>
  <c r="AH292" i="32"/>
  <c r="AI292" i="32"/>
  <c r="AJ292" i="32"/>
  <c r="AD293" i="32"/>
  <c r="AE293" i="32"/>
  <c r="AF293" i="32"/>
  <c r="AG293" i="32"/>
  <c r="AH293" i="32"/>
  <c r="AI293" i="32"/>
  <c r="AJ293" i="32"/>
  <c r="AB289" i="32"/>
  <c r="AD289" i="32"/>
  <c r="AE289" i="32"/>
  <c r="AF289" i="32"/>
  <c r="AG289" i="32"/>
  <c r="AH289" i="32"/>
  <c r="AI289" i="32"/>
  <c r="AJ289" i="32"/>
  <c r="AD294" i="32"/>
  <c r="AE294" i="32"/>
  <c r="AF294" i="32"/>
  <c r="AG294" i="32"/>
  <c r="AH294" i="32"/>
  <c r="AI294" i="32"/>
  <c r="AJ294" i="32"/>
  <c r="B46" i="34"/>
  <c r="C46" i="34"/>
  <c r="B29" i="34"/>
  <c r="C29" i="34"/>
  <c r="AA431" i="1"/>
  <c r="AB430" i="1"/>
  <c r="AB425" i="1"/>
  <c r="AB426" i="1"/>
  <c r="AB427" i="1"/>
  <c r="AB428" i="1"/>
  <c r="AB429" i="1"/>
  <c r="P429" i="1"/>
  <c r="AD430" i="1"/>
  <c r="AE430" i="1"/>
  <c r="X430" i="1"/>
  <c r="AF430" i="1"/>
  <c r="AG430" i="1"/>
  <c r="AH430" i="1"/>
  <c r="AI430" i="1"/>
  <c r="AJ430" i="1"/>
  <c r="AD431" i="1"/>
  <c r="AE431" i="1"/>
  <c r="X431" i="1"/>
  <c r="AF431" i="1"/>
  <c r="AG431" i="1"/>
  <c r="AH431" i="1"/>
  <c r="AI431" i="1"/>
  <c r="AJ431" i="1"/>
  <c r="J431" i="1"/>
  <c r="J430" i="1"/>
  <c r="AA438" i="1"/>
  <c r="AA436" i="1"/>
  <c r="AB439" i="1"/>
  <c r="AB440" i="1"/>
  <c r="AB441" i="1"/>
  <c r="AB442" i="1"/>
  <c r="AB443" i="1"/>
  <c r="AB444" i="1"/>
  <c r="AB445" i="1"/>
  <c r="AB446" i="1"/>
  <c r="AB447" i="1"/>
  <c r="AB437" i="1"/>
  <c r="J340" i="1"/>
  <c r="Z435" i="1"/>
  <c r="AA434" i="1"/>
  <c r="AA433" i="1"/>
  <c r="X429" i="1"/>
  <c r="X432" i="1"/>
  <c r="X433" i="1"/>
  <c r="X434" i="1"/>
  <c r="X435" i="1"/>
  <c r="X436" i="1"/>
  <c r="X437" i="1"/>
  <c r="X438" i="1"/>
  <c r="X439" i="1"/>
  <c r="X440" i="1"/>
  <c r="X441" i="1"/>
  <c r="X442" i="1"/>
  <c r="X443" i="1"/>
  <c r="X444" i="1"/>
  <c r="X445" i="1"/>
  <c r="X446" i="1"/>
  <c r="X447" i="1"/>
  <c r="AD429" i="1"/>
  <c r="AE429" i="1"/>
  <c r="AF429" i="1"/>
  <c r="AG429" i="1"/>
  <c r="AH429" i="1"/>
  <c r="AI429" i="1"/>
  <c r="AJ429" i="1"/>
  <c r="AD432" i="1"/>
  <c r="AE432" i="1"/>
  <c r="AF432" i="1"/>
  <c r="AG432" i="1"/>
  <c r="AH432" i="1"/>
  <c r="AI432" i="1"/>
  <c r="AJ432" i="1"/>
  <c r="AD433" i="1"/>
  <c r="AE433" i="1"/>
  <c r="AF433" i="1"/>
  <c r="AG433" i="1"/>
  <c r="AH433" i="1"/>
  <c r="AI433" i="1"/>
  <c r="AJ433" i="1"/>
  <c r="AD434" i="1"/>
  <c r="AE434" i="1"/>
  <c r="AF434" i="1"/>
  <c r="AG434" i="1"/>
  <c r="AH434" i="1"/>
  <c r="AI434" i="1"/>
  <c r="AJ434" i="1"/>
  <c r="AD435" i="1"/>
  <c r="AE435" i="1"/>
  <c r="AF435" i="1"/>
  <c r="AG435" i="1"/>
  <c r="AH435" i="1"/>
  <c r="AI435" i="1"/>
  <c r="AJ435" i="1"/>
  <c r="AD436" i="1"/>
  <c r="AE436" i="1"/>
  <c r="AF436" i="1"/>
  <c r="AG436" i="1"/>
  <c r="AH436" i="1"/>
  <c r="AI436" i="1"/>
  <c r="AJ436" i="1"/>
  <c r="AD437" i="1"/>
  <c r="AE437" i="1"/>
  <c r="AF437" i="1"/>
  <c r="AG437" i="1"/>
  <c r="AH437" i="1"/>
  <c r="AI437" i="1"/>
  <c r="AJ437" i="1"/>
  <c r="AD438" i="1"/>
  <c r="AE438" i="1"/>
  <c r="AF438" i="1"/>
  <c r="AG438" i="1"/>
  <c r="AH438" i="1"/>
  <c r="AI438" i="1"/>
  <c r="AJ438" i="1"/>
  <c r="AD439" i="1"/>
  <c r="AE439" i="1"/>
  <c r="AF439" i="1"/>
  <c r="AG439" i="1"/>
  <c r="AH439" i="1"/>
  <c r="AI439" i="1"/>
  <c r="AJ439" i="1"/>
  <c r="AD440" i="1"/>
  <c r="AE440" i="1"/>
  <c r="AF440" i="1"/>
  <c r="AG440" i="1"/>
  <c r="AH440" i="1"/>
  <c r="AI440" i="1"/>
  <c r="AJ440" i="1"/>
  <c r="AD441" i="1"/>
  <c r="AE441" i="1"/>
  <c r="AF441" i="1"/>
  <c r="AG441" i="1"/>
  <c r="AH441" i="1"/>
  <c r="AI441" i="1"/>
  <c r="AJ441" i="1"/>
  <c r="AD442" i="1"/>
  <c r="AE442" i="1"/>
  <c r="AF442" i="1"/>
  <c r="AG442" i="1"/>
  <c r="AH442" i="1"/>
  <c r="AI442" i="1"/>
  <c r="AJ442" i="1"/>
  <c r="AD443" i="1"/>
  <c r="AE443" i="1"/>
  <c r="AF443" i="1"/>
  <c r="AG443" i="1"/>
  <c r="AH443" i="1"/>
  <c r="AI443" i="1"/>
  <c r="AJ443" i="1"/>
  <c r="AD444" i="1"/>
  <c r="AE444" i="1"/>
  <c r="AF444" i="1"/>
  <c r="AG444" i="1"/>
  <c r="AH444" i="1"/>
  <c r="AI444" i="1"/>
  <c r="AJ444" i="1"/>
  <c r="AD445" i="1"/>
  <c r="AE445" i="1"/>
  <c r="AF445" i="1"/>
  <c r="AG445" i="1"/>
  <c r="AH445" i="1"/>
  <c r="AI445" i="1"/>
  <c r="AJ445" i="1"/>
  <c r="AD446" i="1"/>
  <c r="AE446" i="1"/>
  <c r="AF446" i="1"/>
  <c r="AG446" i="1"/>
  <c r="AH446" i="1"/>
  <c r="AI446" i="1"/>
  <c r="AJ446" i="1"/>
  <c r="AD447" i="1"/>
  <c r="AE447" i="1"/>
  <c r="AF447" i="1"/>
  <c r="AG447" i="1"/>
  <c r="AH447" i="1"/>
  <c r="AI447" i="1"/>
  <c r="AJ447" i="1"/>
  <c r="AA432" i="1"/>
  <c r="J429" i="1"/>
  <c r="J432" i="1"/>
  <c r="J433" i="1"/>
  <c r="J434" i="1"/>
  <c r="J435" i="1"/>
  <c r="J436" i="1"/>
  <c r="J437" i="1"/>
  <c r="J438" i="1"/>
  <c r="J439" i="1"/>
  <c r="J440" i="1"/>
  <c r="J441" i="1"/>
  <c r="J442" i="1"/>
  <c r="J443" i="1"/>
  <c r="J444" i="1"/>
  <c r="J445" i="1"/>
  <c r="J446" i="1"/>
  <c r="J447" i="1"/>
  <c r="AB276" i="32"/>
  <c r="AB277" i="32"/>
  <c r="AB278" i="32"/>
  <c r="AB279" i="32"/>
  <c r="AB280" i="32"/>
  <c r="AB275" i="32"/>
  <c r="AB274" i="32"/>
  <c r="AB273" i="32"/>
  <c r="X278" i="32"/>
  <c r="AD278" i="32"/>
  <c r="AE278" i="32"/>
  <c r="AF278" i="32"/>
  <c r="AG278" i="32"/>
  <c r="AH278" i="32"/>
  <c r="AI278" i="32"/>
  <c r="AJ278" i="32"/>
  <c r="X279" i="32"/>
  <c r="AD279" i="32"/>
  <c r="AE279" i="32"/>
  <c r="AF279" i="32"/>
  <c r="AG279" i="32"/>
  <c r="AH279" i="32"/>
  <c r="AI279" i="32"/>
  <c r="AJ279" i="32"/>
  <c r="X280" i="32"/>
  <c r="AD280" i="32"/>
  <c r="AE280" i="32"/>
  <c r="AF280" i="32"/>
  <c r="AG280" i="32"/>
  <c r="AH280" i="32"/>
  <c r="AI280" i="32"/>
  <c r="AJ280" i="32"/>
  <c r="J278" i="32"/>
  <c r="J279" i="32"/>
  <c r="J280" i="32"/>
  <c r="AA272" i="32"/>
  <c r="AA271" i="32"/>
  <c r="AA270" i="32"/>
  <c r="AA269" i="32"/>
  <c r="AD268" i="32"/>
  <c r="AE268" i="32"/>
  <c r="X268" i="32"/>
  <c r="AF268" i="32"/>
  <c r="AG268" i="32"/>
  <c r="AH268" i="32"/>
  <c r="AI268" i="32"/>
  <c r="AJ268" i="32"/>
  <c r="AD269" i="32"/>
  <c r="AE269" i="32"/>
  <c r="X269" i="32"/>
  <c r="AF269" i="32"/>
  <c r="AG269" i="32"/>
  <c r="AH269" i="32"/>
  <c r="AI269" i="32"/>
  <c r="AJ269" i="32"/>
  <c r="AD270" i="32"/>
  <c r="AE270" i="32"/>
  <c r="X270" i="32"/>
  <c r="AF270" i="32"/>
  <c r="AG270" i="32"/>
  <c r="AH270" i="32"/>
  <c r="AI270" i="32"/>
  <c r="AJ270" i="32"/>
  <c r="AD271" i="32"/>
  <c r="AE271" i="32"/>
  <c r="X271" i="32"/>
  <c r="AF271" i="32"/>
  <c r="AG271" i="32"/>
  <c r="AH271" i="32"/>
  <c r="AI271" i="32"/>
  <c r="AJ271" i="32"/>
  <c r="AD272" i="32"/>
  <c r="AE272" i="32"/>
  <c r="X272" i="32"/>
  <c r="AF272" i="32"/>
  <c r="AG272" i="32"/>
  <c r="AH272" i="32"/>
  <c r="AI272" i="32"/>
  <c r="AJ272" i="32"/>
  <c r="AD273" i="32"/>
  <c r="AE273" i="32"/>
  <c r="X273" i="32"/>
  <c r="AF273" i="32"/>
  <c r="AG273" i="32"/>
  <c r="AH273" i="32"/>
  <c r="AI273" i="32"/>
  <c r="AJ273" i="32"/>
  <c r="AD274" i="32"/>
  <c r="AE274" i="32"/>
  <c r="X274" i="32"/>
  <c r="AF274" i="32"/>
  <c r="AG274" i="32"/>
  <c r="AH274" i="32"/>
  <c r="AI274" i="32"/>
  <c r="AJ274" i="32"/>
  <c r="AD275" i="32"/>
  <c r="AE275" i="32"/>
  <c r="X275" i="32"/>
  <c r="AF275" i="32"/>
  <c r="AG275" i="32"/>
  <c r="AH275" i="32"/>
  <c r="AI275" i="32"/>
  <c r="AJ275" i="32"/>
  <c r="AD276" i="32"/>
  <c r="AE276" i="32"/>
  <c r="X276" i="32"/>
  <c r="AF276" i="32"/>
  <c r="AG276" i="32"/>
  <c r="AH276" i="32"/>
  <c r="AI276" i="32"/>
  <c r="AJ276" i="32"/>
  <c r="AD277" i="32"/>
  <c r="AE277" i="32"/>
  <c r="X277" i="32"/>
  <c r="AF277" i="32"/>
  <c r="AG277" i="32"/>
  <c r="AH277" i="32"/>
  <c r="AI277" i="32"/>
  <c r="AJ277" i="32"/>
  <c r="AA268" i="32"/>
  <c r="J268" i="32"/>
  <c r="J269" i="32"/>
  <c r="J270" i="32"/>
  <c r="J271" i="32"/>
  <c r="J272" i="32"/>
  <c r="J273" i="32"/>
  <c r="J274" i="32"/>
  <c r="J275" i="32"/>
  <c r="J276" i="32"/>
  <c r="J277" i="32"/>
  <c r="AB421" i="1"/>
  <c r="AB420" i="1"/>
  <c r="AB419" i="1"/>
  <c r="AA418" i="1"/>
  <c r="AA417" i="1"/>
  <c r="AB416" i="1"/>
  <c r="AB415" i="1"/>
  <c r="AB414" i="1"/>
  <c r="AB413" i="1"/>
  <c r="J413" i="1"/>
  <c r="AD413" i="1"/>
  <c r="AE413" i="1"/>
  <c r="X413" i="1"/>
  <c r="AF413" i="1"/>
  <c r="AG413" i="1"/>
  <c r="AH413" i="1"/>
  <c r="AI413" i="1"/>
  <c r="AJ413" i="1"/>
  <c r="AB424" i="1"/>
  <c r="AD424" i="1"/>
  <c r="AE424" i="1"/>
  <c r="X424" i="1"/>
  <c r="AF424" i="1"/>
  <c r="AG424" i="1"/>
  <c r="AH424" i="1"/>
  <c r="AI424" i="1"/>
  <c r="AJ424" i="1"/>
  <c r="AD425" i="1"/>
  <c r="AE425" i="1"/>
  <c r="X425" i="1"/>
  <c r="AF425" i="1"/>
  <c r="AG425" i="1"/>
  <c r="AH425" i="1"/>
  <c r="AI425" i="1"/>
  <c r="AJ425" i="1"/>
  <c r="AD426" i="1"/>
  <c r="AE426" i="1"/>
  <c r="X426" i="1"/>
  <c r="AF426" i="1"/>
  <c r="AG426" i="1"/>
  <c r="AH426" i="1"/>
  <c r="AI426" i="1"/>
  <c r="AJ426" i="1"/>
  <c r="AD427" i="1"/>
  <c r="AE427" i="1"/>
  <c r="X427" i="1"/>
  <c r="AF427" i="1"/>
  <c r="AG427" i="1"/>
  <c r="AH427" i="1"/>
  <c r="AI427" i="1"/>
  <c r="AJ427" i="1"/>
  <c r="AD428" i="1"/>
  <c r="AE428" i="1"/>
  <c r="X428" i="1"/>
  <c r="AF428" i="1"/>
  <c r="AG428" i="1"/>
  <c r="AH428" i="1"/>
  <c r="AI428" i="1"/>
  <c r="AJ428" i="1"/>
  <c r="J424" i="1"/>
  <c r="AB423" i="1"/>
  <c r="X414" i="1"/>
  <c r="X415" i="1"/>
  <c r="X416" i="1"/>
  <c r="X417" i="1"/>
  <c r="X418" i="1"/>
  <c r="X419" i="1"/>
  <c r="X420" i="1"/>
  <c r="X421" i="1"/>
  <c r="X422" i="1"/>
  <c r="X423" i="1"/>
  <c r="AB422" i="1"/>
  <c r="AB412" i="1"/>
  <c r="AD412" i="1"/>
  <c r="AE412" i="1"/>
  <c r="X412" i="1"/>
  <c r="AF412" i="1"/>
  <c r="AG412" i="1"/>
  <c r="AH412" i="1"/>
  <c r="AI412" i="1"/>
  <c r="AJ412" i="1"/>
  <c r="AD414" i="1"/>
  <c r="AE414" i="1"/>
  <c r="AF414" i="1"/>
  <c r="AG414" i="1"/>
  <c r="AH414" i="1"/>
  <c r="AI414" i="1"/>
  <c r="AJ414" i="1"/>
  <c r="AD415" i="1"/>
  <c r="AE415" i="1"/>
  <c r="AF415" i="1"/>
  <c r="AG415" i="1"/>
  <c r="AH415" i="1"/>
  <c r="AI415" i="1"/>
  <c r="AJ415" i="1"/>
  <c r="AD416" i="1"/>
  <c r="AE416" i="1"/>
  <c r="AF416" i="1"/>
  <c r="AG416" i="1"/>
  <c r="AH416" i="1"/>
  <c r="AI416" i="1"/>
  <c r="AJ416" i="1"/>
  <c r="AD417" i="1"/>
  <c r="AE417" i="1"/>
  <c r="AF417" i="1"/>
  <c r="AG417" i="1"/>
  <c r="AH417" i="1"/>
  <c r="AI417" i="1"/>
  <c r="AJ417" i="1"/>
  <c r="AD418" i="1"/>
  <c r="AE418" i="1"/>
  <c r="AF418" i="1"/>
  <c r="AG418" i="1"/>
  <c r="AH418" i="1"/>
  <c r="AI418" i="1"/>
  <c r="AJ418" i="1"/>
  <c r="AD419" i="1"/>
  <c r="AE419" i="1"/>
  <c r="AF419" i="1"/>
  <c r="AG419" i="1"/>
  <c r="AH419" i="1"/>
  <c r="AI419" i="1"/>
  <c r="AJ419" i="1"/>
  <c r="AD420" i="1"/>
  <c r="AE420" i="1"/>
  <c r="AF420" i="1"/>
  <c r="AG420" i="1"/>
  <c r="AH420" i="1"/>
  <c r="AI420" i="1"/>
  <c r="AJ420" i="1"/>
  <c r="AD421" i="1"/>
  <c r="AE421" i="1"/>
  <c r="AF421" i="1"/>
  <c r="AG421" i="1"/>
  <c r="AH421" i="1"/>
  <c r="AI421" i="1"/>
  <c r="AJ421" i="1"/>
  <c r="AD422" i="1"/>
  <c r="AE422" i="1"/>
  <c r="AF422" i="1"/>
  <c r="AG422" i="1"/>
  <c r="AH422" i="1"/>
  <c r="AI422" i="1"/>
  <c r="AJ422" i="1"/>
  <c r="AD423" i="1"/>
  <c r="AE423" i="1"/>
  <c r="AF423" i="1"/>
  <c r="AG423" i="1"/>
  <c r="AH423" i="1"/>
  <c r="AI423" i="1"/>
  <c r="AJ423" i="1"/>
  <c r="J412" i="1"/>
  <c r="J414" i="1"/>
  <c r="J415" i="1"/>
  <c r="J416" i="1"/>
  <c r="J417" i="1"/>
  <c r="J418" i="1"/>
  <c r="J419" i="1"/>
  <c r="J420" i="1"/>
  <c r="J421" i="1"/>
  <c r="J422" i="1"/>
  <c r="J423" i="1"/>
  <c r="J425" i="1"/>
  <c r="J426" i="1"/>
  <c r="J427" i="1"/>
  <c r="J428" i="1"/>
  <c r="AA267" i="32"/>
  <c r="AA266" i="32"/>
  <c r="AB261" i="32"/>
  <c r="AA260" i="32"/>
  <c r="AA259" i="32"/>
  <c r="X258" i="32"/>
  <c r="X259" i="32"/>
  <c r="X260" i="32"/>
  <c r="X261" i="32"/>
  <c r="X262" i="32"/>
  <c r="X263" i="32"/>
  <c r="X264" i="32"/>
  <c r="X265" i="32"/>
  <c r="X266" i="32"/>
  <c r="X267" i="32"/>
  <c r="AB257" i="32"/>
  <c r="AD257" i="32"/>
  <c r="AE257" i="32"/>
  <c r="X257" i="32"/>
  <c r="AF257" i="32"/>
  <c r="AG257" i="32"/>
  <c r="AH257" i="32"/>
  <c r="AI257" i="32"/>
  <c r="AJ257" i="32"/>
  <c r="AD258" i="32"/>
  <c r="AE258" i="32"/>
  <c r="AF258" i="32"/>
  <c r="AG258" i="32"/>
  <c r="AH258" i="32"/>
  <c r="AI258" i="32"/>
  <c r="AJ258" i="32"/>
  <c r="AD259" i="32"/>
  <c r="AE259" i="32"/>
  <c r="AF259" i="32"/>
  <c r="AG259" i="32"/>
  <c r="AH259" i="32"/>
  <c r="AI259" i="32"/>
  <c r="AJ259" i="32"/>
  <c r="AD260" i="32"/>
  <c r="AE260" i="32"/>
  <c r="AF260" i="32"/>
  <c r="AG260" i="32"/>
  <c r="AH260" i="32"/>
  <c r="AI260" i="32"/>
  <c r="AJ260" i="32"/>
  <c r="AD261" i="32"/>
  <c r="AE261" i="32"/>
  <c r="AF261" i="32"/>
  <c r="AG261" i="32"/>
  <c r="AH261" i="32"/>
  <c r="AI261" i="32"/>
  <c r="AJ261" i="32"/>
  <c r="AD262" i="32"/>
  <c r="AE262" i="32"/>
  <c r="AF262" i="32"/>
  <c r="AG262" i="32"/>
  <c r="AH262" i="32"/>
  <c r="AI262" i="32"/>
  <c r="AJ262" i="32"/>
  <c r="AD263" i="32"/>
  <c r="AE263" i="32"/>
  <c r="AF263" i="32"/>
  <c r="AG263" i="32"/>
  <c r="AH263" i="32"/>
  <c r="AI263" i="32"/>
  <c r="AJ263" i="32"/>
  <c r="AD264" i="32"/>
  <c r="AE264" i="32"/>
  <c r="AF264" i="32"/>
  <c r="AG264" i="32"/>
  <c r="AH264" i="32"/>
  <c r="AI264" i="32"/>
  <c r="AJ264" i="32"/>
  <c r="AD265" i="32"/>
  <c r="AE265" i="32"/>
  <c r="AF265" i="32"/>
  <c r="AG265" i="32"/>
  <c r="AH265" i="32"/>
  <c r="AI265" i="32"/>
  <c r="AJ265" i="32"/>
  <c r="AD266" i="32"/>
  <c r="AE266" i="32"/>
  <c r="AF266" i="32"/>
  <c r="AG266" i="32"/>
  <c r="AH266" i="32"/>
  <c r="AI266" i="32"/>
  <c r="AJ266" i="32"/>
  <c r="AD267" i="32"/>
  <c r="AE267" i="32"/>
  <c r="AF267" i="32"/>
  <c r="AG267" i="32"/>
  <c r="AH267" i="32"/>
  <c r="AI267" i="32"/>
  <c r="AJ267" i="32"/>
  <c r="J265" i="32"/>
  <c r="J266" i="32"/>
  <c r="J267" i="32"/>
  <c r="J257" i="32"/>
  <c r="J258" i="32"/>
  <c r="J259" i="32"/>
  <c r="J260" i="32"/>
  <c r="J261" i="32"/>
  <c r="J262" i="32"/>
  <c r="J263" i="32"/>
  <c r="J264" i="32"/>
  <c r="Z411" i="1"/>
  <c r="X411" i="1"/>
  <c r="AD410" i="1"/>
  <c r="AE410" i="1"/>
  <c r="X410" i="1"/>
  <c r="AF410" i="1"/>
  <c r="AG410" i="1"/>
  <c r="AH410" i="1"/>
  <c r="AI410" i="1"/>
  <c r="AJ410" i="1"/>
  <c r="AD411" i="1"/>
  <c r="AE411" i="1"/>
  <c r="AF411" i="1"/>
  <c r="AG411" i="1"/>
  <c r="AH411" i="1"/>
  <c r="AI411" i="1"/>
  <c r="AJ411" i="1"/>
  <c r="AA410" i="1"/>
  <c r="J409" i="1"/>
  <c r="J410" i="1"/>
  <c r="J411" i="1"/>
  <c r="P409" i="1"/>
  <c r="X409" i="1"/>
  <c r="AB409" i="1"/>
  <c r="AH409" i="1"/>
  <c r="AJ409" i="1"/>
  <c r="AD409" i="1"/>
  <c r="AF409" i="1"/>
  <c r="AI409" i="1"/>
  <c r="AE409" i="1"/>
  <c r="AG409" i="1"/>
  <c r="J20" i="32"/>
  <c r="J92" i="32"/>
  <c r="AB405" i="1"/>
  <c r="AD405" i="1"/>
  <c r="AE405" i="1"/>
  <c r="X405" i="1"/>
  <c r="AF405" i="1"/>
  <c r="AG405" i="1"/>
  <c r="AH405" i="1"/>
  <c r="AI405" i="1"/>
  <c r="AJ405" i="1"/>
  <c r="AB404" i="1"/>
  <c r="AD404" i="1"/>
  <c r="AE404" i="1"/>
  <c r="X404" i="1"/>
  <c r="AF404" i="1"/>
  <c r="AG404" i="1"/>
  <c r="AH404" i="1"/>
  <c r="AI404" i="1"/>
  <c r="AJ404" i="1"/>
  <c r="AB399" i="1"/>
  <c r="AD399" i="1"/>
  <c r="AE399" i="1"/>
  <c r="X399" i="1"/>
  <c r="AF399" i="1"/>
  <c r="AG399" i="1"/>
  <c r="AH399" i="1"/>
  <c r="AI399" i="1"/>
  <c r="AJ399" i="1"/>
  <c r="AB401" i="1"/>
  <c r="AD401" i="1"/>
  <c r="AE401" i="1"/>
  <c r="X401" i="1"/>
  <c r="AF401" i="1"/>
  <c r="AG401" i="1"/>
  <c r="AH401" i="1"/>
  <c r="AI401" i="1"/>
  <c r="AJ401" i="1"/>
  <c r="AB398" i="1"/>
  <c r="AD398" i="1"/>
  <c r="AE398" i="1"/>
  <c r="X398" i="1"/>
  <c r="AF398" i="1"/>
  <c r="AG398" i="1"/>
  <c r="AH398" i="1"/>
  <c r="AI398" i="1"/>
  <c r="AJ398" i="1"/>
  <c r="AB395" i="1"/>
  <c r="AD395" i="1"/>
  <c r="AE395" i="1"/>
  <c r="X395" i="1"/>
  <c r="AF395" i="1"/>
  <c r="AG395" i="1"/>
  <c r="AH395" i="1"/>
  <c r="AI395" i="1"/>
  <c r="AJ395" i="1"/>
  <c r="AB397" i="1"/>
  <c r="AD397" i="1"/>
  <c r="AE397" i="1"/>
  <c r="X397" i="1"/>
  <c r="AF397" i="1"/>
  <c r="AG397" i="1"/>
  <c r="AH397" i="1"/>
  <c r="AI397" i="1"/>
  <c r="AJ397" i="1"/>
  <c r="AB407" i="1"/>
  <c r="AD407" i="1"/>
  <c r="AE407" i="1"/>
  <c r="X407" i="1"/>
  <c r="AF407" i="1"/>
  <c r="AG407" i="1"/>
  <c r="AH407" i="1"/>
  <c r="AI407" i="1"/>
  <c r="AJ407" i="1"/>
  <c r="AD400" i="1"/>
  <c r="AE400" i="1"/>
  <c r="X400" i="1"/>
  <c r="AF400" i="1"/>
  <c r="AG400" i="1"/>
  <c r="AH400" i="1"/>
  <c r="AI400" i="1"/>
  <c r="AJ400" i="1"/>
  <c r="AB406" i="1"/>
  <c r="AD406" i="1"/>
  <c r="AE406" i="1"/>
  <c r="X406" i="1"/>
  <c r="AF406" i="1"/>
  <c r="AG406" i="1"/>
  <c r="AH406" i="1"/>
  <c r="AI406" i="1"/>
  <c r="AJ406" i="1"/>
  <c r="AB402" i="1"/>
  <c r="AD402" i="1"/>
  <c r="AE402" i="1"/>
  <c r="X402" i="1"/>
  <c r="AF402" i="1"/>
  <c r="AG402" i="1"/>
  <c r="AH402" i="1"/>
  <c r="AI402" i="1"/>
  <c r="AJ402" i="1"/>
  <c r="AB396" i="1"/>
  <c r="AD396" i="1"/>
  <c r="AE396" i="1"/>
  <c r="X396" i="1"/>
  <c r="AF396" i="1"/>
  <c r="AG396" i="1"/>
  <c r="AH396" i="1"/>
  <c r="AI396" i="1"/>
  <c r="AJ396" i="1"/>
  <c r="AB403" i="1"/>
  <c r="AD403" i="1"/>
  <c r="AE403" i="1"/>
  <c r="X403" i="1"/>
  <c r="AF403" i="1"/>
  <c r="AG403" i="1"/>
  <c r="AH403" i="1"/>
  <c r="AI403" i="1"/>
  <c r="AJ403" i="1"/>
  <c r="AB408" i="1"/>
  <c r="AD408" i="1"/>
  <c r="AE408" i="1"/>
  <c r="X408" i="1"/>
  <c r="AF408" i="1"/>
  <c r="AG408" i="1"/>
  <c r="AH408" i="1"/>
  <c r="AI408" i="1"/>
  <c r="AJ408" i="1"/>
  <c r="Z400" i="1"/>
  <c r="J394" i="1"/>
  <c r="J405" i="1"/>
  <c r="J404" i="1"/>
  <c r="J399" i="1"/>
  <c r="J401" i="1"/>
  <c r="J398" i="1"/>
  <c r="J395" i="1"/>
  <c r="J397" i="1"/>
  <c r="J407" i="1"/>
  <c r="J400" i="1"/>
  <c r="J406" i="1"/>
  <c r="J402" i="1"/>
  <c r="J396" i="1"/>
  <c r="J403" i="1"/>
  <c r="J408" i="1"/>
  <c r="J3" i="32"/>
  <c r="J4" i="32"/>
  <c r="J5" i="32"/>
  <c r="J6" i="32"/>
  <c r="J7" i="32"/>
  <c r="J8" i="32"/>
  <c r="J9" i="32"/>
  <c r="J10" i="32"/>
  <c r="J11" i="32"/>
  <c r="J12" i="32"/>
  <c r="J13" i="32"/>
  <c r="J14" i="32"/>
  <c r="J15" i="32"/>
  <c r="J16" i="32"/>
  <c r="J17" i="32"/>
  <c r="J18" i="32"/>
  <c r="J19" i="32"/>
  <c r="J21" i="32"/>
  <c r="J22" i="32"/>
  <c r="J23" i="32"/>
  <c r="J24" i="32"/>
  <c r="J25" i="32"/>
  <c r="J26" i="32"/>
  <c r="J27" i="32"/>
  <c r="J28" i="32"/>
  <c r="J29" i="32"/>
  <c r="J30" i="32"/>
  <c r="J31" i="32"/>
  <c r="J32" i="32"/>
  <c r="J33" i="32"/>
  <c r="J34" i="32"/>
  <c r="J35" i="32"/>
  <c r="J36" i="32"/>
  <c r="J37" i="32"/>
  <c r="J38" i="32"/>
  <c r="J39" i="32"/>
  <c r="J40" i="32"/>
  <c r="J41" i="32"/>
  <c r="J42" i="32"/>
  <c r="J43" i="32"/>
  <c r="J44" i="32"/>
  <c r="J45" i="32"/>
  <c r="J46" i="32"/>
  <c r="J47" i="32"/>
  <c r="J48" i="32"/>
  <c r="J49" i="32"/>
  <c r="J50" i="32"/>
  <c r="J51" i="32"/>
  <c r="J52" i="32"/>
  <c r="J53" i="32"/>
  <c r="J54" i="32"/>
  <c r="J55" i="32"/>
  <c r="J56" i="32"/>
  <c r="J57" i="32"/>
  <c r="J58" i="32"/>
  <c r="J59" i="32"/>
  <c r="J60" i="32"/>
  <c r="J61" i="32"/>
  <c r="J62" i="32"/>
  <c r="J63" i="32"/>
  <c r="J64" i="32"/>
  <c r="J65" i="32"/>
  <c r="J66" i="32"/>
  <c r="J67" i="32"/>
  <c r="J68" i="32"/>
  <c r="J69" i="32"/>
  <c r="J70" i="32"/>
  <c r="J71" i="32"/>
  <c r="J72" i="32"/>
  <c r="J73" i="32"/>
  <c r="J74" i="32"/>
  <c r="J75" i="32"/>
  <c r="J88" i="32"/>
  <c r="J89" i="32"/>
  <c r="J90" i="32"/>
  <c r="J91" i="32"/>
  <c r="J93" i="32"/>
  <c r="J94" i="32"/>
  <c r="J95" i="32"/>
  <c r="J96" i="32"/>
  <c r="J97" i="32"/>
  <c r="J98" i="32"/>
  <c r="J99" i="32"/>
  <c r="J117" i="32"/>
  <c r="J118" i="32"/>
  <c r="J119" i="32"/>
  <c r="J120" i="32"/>
  <c r="J121" i="32"/>
  <c r="J122" i="32"/>
  <c r="J123" i="32"/>
  <c r="J124" i="32"/>
  <c r="J125" i="32"/>
  <c r="J126" i="32"/>
  <c r="J127" i="32"/>
  <c r="J128" i="32"/>
  <c r="J129" i="32"/>
  <c r="J145" i="32"/>
  <c r="J146" i="32"/>
  <c r="J147" i="32"/>
  <c r="J148" i="32"/>
  <c r="J149" i="32"/>
  <c r="J150" i="32"/>
  <c r="J151" i="32"/>
  <c r="J152" i="32"/>
  <c r="J153" i="32"/>
  <c r="J154" i="32"/>
  <c r="J155" i="32"/>
  <c r="J156" i="32"/>
  <c r="J157" i="32"/>
  <c r="J158" i="32"/>
  <c r="J159" i="32"/>
  <c r="J160" i="32"/>
  <c r="J161" i="32"/>
  <c r="J162" i="32"/>
  <c r="J163" i="32"/>
  <c r="J164" i="32"/>
  <c r="J165" i="32"/>
  <c r="J166" i="32"/>
  <c r="J167" i="32"/>
  <c r="J168" i="32"/>
  <c r="J169" i="32"/>
  <c r="J170" i="32"/>
  <c r="J171" i="32"/>
  <c r="J172" i="32"/>
  <c r="J173" i="32"/>
  <c r="J174" i="32"/>
  <c r="J175" i="32"/>
  <c r="J176" i="32"/>
  <c r="J177" i="32"/>
  <c r="J178" i="32"/>
  <c r="J179" i="32"/>
  <c r="J180" i="32"/>
  <c r="J181" i="32"/>
  <c r="J182" i="32"/>
  <c r="J183" i="32"/>
  <c r="J184" i="32"/>
  <c r="J185" i="32"/>
  <c r="J186" i="32"/>
  <c r="J187" i="32"/>
  <c r="J188" i="32"/>
  <c r="J189" i="32"/>
  <c r="J190" i="32"/>
  <c r="J191" i="32"/>
  <c r="J192" i="32"/>
  <c r="J193" i="32"/>
  <c r="J194" i="32"/>
  <c r="J195" i="32"/>
  <c r="J196" i="32"/>
  <c r="J197" i="32"/>
  <c r="J198" i="32"/>
  <c r="J199" i="32"/>
  <c r="J200" i="32"/>
  <c r="J201" i="32"/>
  <c r="J202" i="32"/>
  <c r="J203" i="32"/>
  <c r="J204" i="32"/>
  <c r="J205" i="32"/>
  <c r="J206" i="32"/>
  <c r="J207" i="32"/>
  <c r="J208" i="32"/>
  <c r="J209" i="32"/>
  <c r="J210" i="32"/>
  <c r="J211" i="32"/>
  <c r="J212" i="32"/>
  <c r="J213" i="32"/>
  <c r="J214" i="32"/>
  <c r="J215" i="32"/>
  <c r="J216" i="32"/>
  <c r="J217" i="32"/>
  <c r="J218" i="32"/>
  <c r="J219" i="32"/>
  <c r="J220" i="32"/>
  <c r="J221" i="32"/>
  <c r="J222" i="32"/>
  <c r="J223" i="32"/>
  <c r="J224" i="32"/>
  <c r="J225" i="32"/>
  <c r="J226" i="32"/>
  <c r="J227" i="32"/>
  <c r="J228" i="32"/>
  <c r="J229" i="32"/>
  <c r="J230" i="32"/>
  <c r="J231" i="32"/>
  <c r="J232" i="32"/>
  <c r="J233" i="32"/>
  <c r="J234" i="32"/>
  <c r="J235" i="32"/>
  <c r="J236" i="32"/>
  <c r="J237" i="32"/>
  <c r="J238" i="32"/>
  <c r="J239" i="32"/>
  <c r="J240" i="32"/>
  <c r="J241" i="32"/>
  <c r="J242" i="32"/>
  <c r="J243" i="32"/>
  <c r="J244" i="32"/>
  <c r="J245" i="32"/>
  <c r="J246" i="32"/>
  <c r="J247" i="32"/>
  <c r="J248" i="32"/>
  <c r="J249" i="32"/>
  <c r="J250" i="32"/>
  <c r="J251" i="32"/>
  <c r="J252" i="32"/>
  <c r="J253" i="32"/>
  <c r="J254" i="32"/>
  <c r="J255" i="32"/>
  <c r="J256" i="32"/>
  <c r="J2" i="32"/>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2" i="1"/>
  <c r="AB147" i="1"/>
  <c r="P255" i="32"/>
  <c r="Y252" i="32"/>
  <c r="S252" i="32"/>
  <c r="Y251" i="32"/>
  <c r="AB245" i="32"/>
  <c r="AA245" i="32"/>
  <c r="AA246" i="32"/>
  <c r="AA247" i="32"/>
  <c r="AA248" i="32"/>
  <c r="AA249" i="32"/>
  <c r="AA250" i="32"/>
  <c r="AA251" i="32"/>
  <c r="AA252" i="32"/>
  <c r="AA253" i="32"/>
  <c r="AA254" i="32"/>
  <c r="AA255" i="32"/>
  <c r="AA256" i="32"/>
  <c r="AA244" i="32"/>
  <c r="AD244" i="32"/>
  <c r="AE244" i="32"/>
  <c r="X244" i="32"/>
  <c r="AF244" i="32"/>
  <c r="AG244" i="32"/>
  <c r="AH244" i="32"/>
  <c r="AI244" i="32"/>
  <c r="AJ244" i="32"/>
  <c r="AD245" i="32"/>
  <c r="AE245" i="32"/>
  <c r="X245" i="32"/>
  <c r="AF245" i="32"/>
  <c r="AG245" i="32"/>
  <c r="AH245" i="32"/>
  <c r="AI245" i="32"/>
  <c r="AJ245" i="32"/>
  <c r="AD246" i="32"/>
  <c r="AE246" i="32"/>
  <c r="X246" i="32"/>
  <c r="AF246" i="32"/>
  <c r="AG246" i="32"/>
  <c r="AH246" i="32"/>
  <c r="AI246" i="32"/>
  <c r="AJ246" i="32"/>
  <c r="AD247" i="32"/>
  <c r="AE247" i="32"/>
  <c r="X247" i="32"/>
  <c r="AF247" i="32"/>
  <c r="AG247" i="32"/>
  <c r="AH247" i="32"/>
  <c r="AI247" i="32"/>
  <c r="AJ247" i="32"/>
  <c r="AD248" i="32"/>
  <c r="AE248" i="32"/>
  <c r="X248" i="32"/>
  <c r="AF248" i="32"/>
  <c r="AG248" i="32"/>
  <c r="AH248" i="32"/>
  <c r="AI248" i="32"/>
  <c r="AJ248" i="32"/>
  <c r="AD249" i="32"/>
  <c r="AE249" i="32"/>
  <c r="X249" i="32"/>
  <c r="AF249" i="32"/>
  <c r="AG249" i="32"/>
  <c r="AH249" i="32"/>
  <c r="AI249" i="32"/>
  <c r="AJ249" i="32"/>
  <c r="AD250" i="32"/>
  <c r="AE250" i="32"/>
  <c r="X250" i="32"/>
  <c r="AF250" i="32"/>
  <c r="AG250" i="32"/>
  <c r="AH250" i="32"/>
  <c r="AI250" i="32"/>
  <c r="AJ250" i="32"/>
  <c r="AD251" i="32"/>
  <c r="AE251" i="32"/>
  <c r="X251" i="32"/>
  <c r="AF251" i="32"/>
  <c r="AG251" i="32"/>
  <c r="AH251" i="32"/>
  <c r="AI251" i="32"/>
  <c r="AJ251" i="32"/>
  <c r="AD253" i="32"/>
  <c r="AE253" i="32"/>
  <c r="X253" i="32"/>
  <c r="AF253" i="32"/>
  <c r="AG253" i="32"/>
  <c r="AH253" i="32"/>
  <c r="AI253" i="32"/>
  <c r="AJ253" i="32"/>
  <c r="AD254" i="32"/>
  <c r="AE254" i="32"/>
  <c r="X254" i="32"/>
  <c r="AF254" i="32"/>
  <c r="AG254" i="32"/>
  <c r="AH254" i="32"/>
  <c r="AI254" i="32"/>
  <c r="AJ254" i="32"/>
  <c r="AD255" i="32"/>
  <c r="AE255" i="32"/>
  <c r="X255" i="32"/>
  <c r="AF255" i="32"/>
  <c r="AG255" i="32"/>
  <c r="AH255" i="32"/>
  <c r="AI255" i="32"/>
  <c r="AJ255" i="32"/>
  <c r="AD256" i="32"/>
  <c r="AE256" i="32"/>
  <c r="X256" i="32"/>
  <c r="AF256" i="32"/>
  <c r="AG256" i="32"/>
  <c r="AH256" i="32"/>
  <c r="AI256" i="32"/>
  <c r="AJ256" i="32"/>
  <c r="AD252" i="32"/>
  <c r="AE252" i="32"/>
  <c r="X252" i="32"/>
  <c r="AF252" i="32"/>
  <c r="AG252" i="32"/>
  <c r="AH252" i="32"/>
  <c r="AI252" i="32"/>
  <c r="AJ252" i="32"/>
  <c r="P394" i="1"/>
  <c r="AB394" i="1"/>
  <c r="R393" i="1"/>
  <c r="AB393" i="1"/>
  <c r="S379" i="1"/>
  <c r="X379" i="1"/>
  <c r="X393" i="1"/>
  <c r="X394" i="1"/>
  <c r="AB379" i="1"/>
  <c r="Y379" i="1"/>
  <c r="AD379" i="1"/>
  <c r="AE379" i="1"/>
  <c r="AF379" i="1"/>
  <c r="AG379" i="1"/>
  <c r="AH379" i="1"/>
  <c r="AI379" i="1"/>
  <c r="AJ379" i="1"/>
  <c r="AD393" i="1"/>
  <c r="AE393" i="1"/>
  <c r="AF393" i="1"/>
  <c r="AG393" i="1"/>
  <c r="AH393" i="1"/>
  <c r="AI393" i="1"/>
  <c r="AJ393" i="1"/>
  <c r="AD394" i="1"/>
  <c r="AE394" i="1"/>
  <c r="AF394" i="1"/>
  <c r="AG394" i="1"/>
  <c r="AH394" i="1"/>
  <c r="AI394" i="1"/>
  <c r="AJ394" i="1"/>
  <c r="AA392" i="1"/>
  <c r="AA391" i="1"/>
  <c r="AB390" i="1"/>
  <c r="AA390" i="1"/>
  <c r="AA389" i="1"/>
  <c r="AA388" i="1"/>
  <c r="AA387" i="1"/>
  <c r="R385" i="1"/>
  <c r="AA386" i="1"/>
  <c r="Z386" i="1"/>
  <c r="O386" i="1"/>
  <c r="AB385" i="1"/>
  <c r="Z385" i="1"/>
  <c r="P384" i="1"/>
  <c r="AB383" i="1"/>
  <c r="AD383" i="1"/>
  <c r="AB384" i="1"/>
  <c r="AD384" i="1"/>
  <c r="AD385" i="1"/>
  <c r="AD386" i="1"/>
  <c r="AD387" i="1"/>
  <c r="AD388" i="1"/>
  <c r="AD389" i="1"/>
  <c r="AD390" i="1"/>
  <c r="AD391" i="1"/>
  <c r="AD392" i="1"/>
  <c r="AB382" i="1"/>
  <c r="AD382" i="1"/>
  <c r="AB381" i="1"/>
  <c r="AB380" i="1"/>
  <c r="AD380" i="1"/>
  <c r="AE380" i="1"/>
  <c r="X380" i="1"/>
  <c r="AF380" i="1"/>
  <c r="AG380" i="1"/>
  <c r="AH380" i="1"/>
  <c r="AI380" i="1"/>
  <c r="AJ380" i="1"/>
  <c r="AD381" i="1"/>
  <c r="AE381" i="1"/>
  <c r="X381" i="1"/>
  <c r="AF381" i="1"/>
  <c r="AG381" i="1"/>
  <c r="AH381" i="1"/>
  <c r="AI381" i="1"/>
  <c r="AJ381" i="1"/>
  <c r="AE382" i="1"/>
  <c r="X382" i="1"/>
  <c r="AF382" i="1"/>
  <c r="AG382" i="1"/>
  <c r="AH382" i="1"/>
  <c r="AI382" i="1"/>
  <c r="AJ382" i="1"/>
  <c r="AE383" i="1"/>
  <c r="X383" i="1"/>
  <c r="AF383" i="1"/>
  <c r="AG383" i="1"/>
  <c r="AH383" i="1"/>
  <c r="AI383" i="1"/>
  <c r="AJ383" i="1"/>
  <c r="AE384" i="1"/>
  <c r="X384" i="1"/>
  <c r="AF384" i="1"/>
  <c r="AG384" i="1"/>
  <c r="AH384" i="1"/>
  <c r="AI384" i="1"/>
  <c r="AJ384" i="1"/>
  <c r="AE385" i="1"/>
  <c r="X385" i="1"/>
  <c r="AF385" i="1"/>
  <c r="AG385" i="1"/>
  <c r="AH385" i="1"/>
  <c r="AI385" i="1"/>
  <c r="AJ385" i="1"/>
  <c r="AE386" i="1"/>
  <c r="X386" i="1"/>
  <c r="AF386" i="1"/>
  <c r="AG386" i="1"/>
  <c r="AH386" i="1"/>
  <c r="AI386" i="1"/>
  <c r="AJ386" i="1"/>
  <c r="AE387" i="1"/>
  <c r="X387" i="1"/>
  <c r="AF387" i="1"/>
  <c r="AG387" i="1"/>
  <c r="AH387" i="1"/>
  <c r="AI387" i="1"/>
  <c r="AJ387" i="1"/>
  <c r="AE388" i="1"/>
  <c r="X388" i="1"/>
  <c r="AF388" i="1"/>
  <c r="AG388" i="1"/>
  <c r="AH388" i="1"/>
  <c r="AI388" i="1"/>
  <c r="AJ388" i="1"/>
  <c r="AE389" i="1"/>
  <c r="X389" i="1"/>
  <c r="AF389" i="1"/>
  <c r="AG389" i="1"/>
  <c r="AH389" i="1"/>
  <c r="AI389" i="1"/>
  <c r="AJ389" i="1"/>
  <c r="AE390" i="1"/>
  <c r="X390" i="1"/>
  <c r="AF390" i="1"/>
  <c r="AG390" i="1"/>
  <c r="AH390" i="1"/>
  <c r="AI390" i="1"/>
  <c r="AJ390" i="1"/>
  <c r="AE391" i="1"/>
  <c r="AG391" i="1"/>
  <c r="AE392" i="1"/>
  <c r="X392" i="1"/>
  <c r="AF392" i="1"/>
  <c r="AG392" i="1"/>
  <c r="AH392" i="1"/>
  <c r="AI392" i="1"/>
  <c r="AJ392" i="1"/>
  <c r="S243" i="32"/>
  <c r="AB241" i="32"/>
  <c r="Q241" i="32"/>
  <c r="AE236" i="32"/>
  <c r="AE237" i="32"/>
  <c r="AE238" i="32"/>
  <c r="AE239" i="32"/>
  <c r="AD240" i="32"/>
  <c r="AE240" i="32"/>
  <c r="AD241" i="32"/>
  <c r="AE241" i="32"/>
  <c r="AD242" i="32"/>
  <c r="AE242" i="32"/>
  <c r="AE243" i="32"/>
  <c r="AA237" i="32"/>
  <c r="X237" i="32"/>
  <c r="X238" i="32"/>
  <c r="X239" i="32"/>
  <c r="X240" i="32"/>
  <c r="X241" i="32"/>
  <c r="X242" i="32"/>
  <c r="X243" i="32"/>
  <c r="AD236" i="32"/>
  <c r="X236" i="32"/>
  <c r="AF236" i="32"/>
  <c r="AG236" i="32"/>
  <c r="AH236" i="32"/>
  <c r="AI236" i="32"/>
  <c r="AJ236" i="32"/>
  <c r="AD237" i="32"/>
  <c r="AF237" i="32"/>
  <c r="AG237" i="32"/>
  <c r="AH237" i="32"/>
  <c r="AI237" i="32"/>
  <c r="AJ237" i="32"/>
  <c r="AD238" i="32"/>
  <c r="AF238" i="32"/>
  <c r="AG238" i="32"/>
  <c r="AH238" i="32"/>
  <c r="AI238" i="32"/>
  <c r="AJ238" i="32"/>
  <c r="AD239" i="32"/>
  <c r="AF239" i="32"/>
  <c r="AG239" i="32"/>
  <c r="AH239" i="32"/>
  <c r="AI239" i="32"/>
  <c r="AJ239" i="32"/>
  <c r="AF240" i="32"/>
  <c r="AG240" i="32"/>
  <c r="AH240" i="32"/>
  <c r="AI240" i="32"/>
  <c r="AJ240" i="32"/>
  <c r="AF241" i="32"/>
  <c r="AG241" i="32"/>
  <c r="AH241" i="32"/>
  <c r="AI241" i="32"/>
  <c r="AJ241" i="32"/>
  <c r="AF242" i="32"/>
  <c r="AG242" i="32"/>
  <c r="AH242" i="32"/>
  <c r="AI242" i="32"/>
  <c r="AJ242" i="32"/>
  <c r="AD243" i="32"/>
  <c r="AF243" i="32"/>
  <c r="AG243" i="32"/>
  <c r="AH243" i="32"/>
  <c r="AI243" i="32"/>
  <c r="AJ243" i="32"/>
  <c r="AA236" i="32"/>
  <c r="Z378" i="1"/>
  <c r="S378" i="1"/>
  <c r="AA377" i="1"/>
  <c r="AA376" i="1"/>
  <c r="AB375" i="1"/>
  <c r="AA375" i="1"/>
  <c r="X361" i="1"/>
  <c r="Y361" i="1"/>
  <c r="AA374" i="1"/>
  <c r="Z372" i="1"/>
  <c r="AB371" i="1"/>
  <c r="AA368" i="1"/>
  <c r="AA365" i="1"/>
  <c r="AA364" i="1"/>
  <c r="AB363" i="1"/>
  <c r="AB362" i="1"/>
  <c r="AD362" i="1"/>
  <c r="AE362" i="1"/>
  <c r="X362" i="1"/>
  <c r="AF362" i="1"/>
  <c r="AG362" i="1"/>
  <c r="AH362" i="1"/>
  <c r="AI362" i="1"/>
  <c r="AJ362" i="1"/>
  <c r="AD363" i="1"/>
  <c r="AE363" i="1"/>
  <c r="X363" i="1"/>
  <c r="AF363" i="1"/>
  <c r="AG363" i="1"/>
  <c r="AH363" i="1"/>
  <c r="AI363" i="1"/>
  <c r="AJ363" i="1"/>
  <c r="AD364" i="1"/>
  <c r="AE364" i="1"/>
  <c r="X364" i="1"/>
  <c r="AF364" i="1"/>
  <c r="AG364" i="1"/>
  <c r="AH364" i="1"/>
  <c r="AI364" i="1"/>
  <c r="AJ364" i="1"/>
  <c r="AD365" i="1"/>
  <c r="AE365" i="1"/>
  <c r="X365" i="1"/>
  <c r="AF365" i="1"/>
  <c r="AG365" i="1"/>
  <c r="AH365" i="1"/>
  <c r="AI365" i="1"/>
  <c r="AJ365" i="1"/>
  <c r="AD366" i="1"/>
  <c r="AE366" i="1"/>
  <c r="X366" i="1"/>
  <c r="AF366" i="1"/>
  <c r="AG366" i="1"/>
  <c r="AH366" i="1"/>
  <c r="AI366" i="1"/>
  <c r="AJ366" i="1"/>
  <c r="AD368" i="1"/>
  <c r="AE368" i="1"/>
  <c r="X368" i="1"/>
  <c r="AF368" i="1"/>
  <c r="AG368" i="1"/>
  <c r="AH368" i="1"/>
  <c r="AI368" i="1"/>
  <c r="AJ368" i="1"/>
  <c r="AD369" i="1"/>
  <c r="AE369" i="1"/>
  <c r="X369" i="1"/>
  <c r="AF369" i="1"/>
  <c r="AG369" i="1"/>
  <c r="AH369" i="1"/>
  <c r="AI369" i="1"/>
  <c r="AJ369" i="1"/>
  <c r="AD370" i="1"/>
  <c r="AE370" i="1"/>
  <c r="X370" i="1"/>
  <c r="AF370" i="1"/>
  <c r="AG370" i="1"/>
  <c r="AH370" i="1"/>
  <c r="AI370" i="1"/>
  <c r="AJ370" i="1"/>
  <c r="AD371" i="1"/>
  <c r="AE371" i="1"/>
  <c r="X371" i="1"/>
  <c r="AF371" i="1"/>
  <c r="AG371" i="1"/>
  <c r="AH371" i="1"/>
  <c r="AI371" i="1"/>
  <c r="AJ371" i="1"/>
  <c r="AD372" i="1"/>
  <c r="AE372" i="1"/>
  <c r="X372" i="1"/>
  <c r="AF372" i="1"/>
  <c r="AG372" i="1"/>
  <c r="AH372" i="1"/>
  <c r="AI372" i="1"/>
  <c r="AJ372" i="1"/>
  <c r="AD373" i="1"/>
  <c r="AE373" i="1"/>
  <c r="X373" i="1"/>
  <c r="AF373" i="1"/>
  <c r="AG373" i="1"/>
  <c r="AH373" i="1"/>
  <c r="AI373" i="1"/>
  <c r="AJ373" i="1"/>
  <c r="AD374" i="1"/>
  <c r="AE374" i="1"/>
  <c r="X374" i="1"/>
  <c r="AF374" i="1"/>
  <c r="AG374" i="1"/>
  <c r="AH374" i="1"/>
  <c r="AI374" i="1"/>
  <c r="AJ374" i="1"/>
  <c r="AD361" i="1"/>
  <c r="AE361" i="1"/>
  <c r="AF361" i="1"/>
  <c r="AG361" i="1"/>
  <c r="AH361" i="1"/>
  <c r="AI361" i="1"/>
  <c r="AJ361" i="1"/>
  <c r="AD367" i="1"/>
  <c r="AE367" i="1"/>
  <c r="X367" i="1"/>
  <c r="AF367" i="1"/>
  <c r="AG367" i="1"/>
  <c r="AH367" i="1"/>
  <c r="AI367" i="1"/>
  <c r="AJ367" i="1"/>
  <c r="AD375" i="1"/>
  <c r="AE375" i="1"/>
  <c r="X375" i="1"/>
  <c r="AF375" i="1"/>
  <c r="AG375" i="1"/>
  <c r="AH375" i="1"/>
  <c r="AI375" i="1"/>
  <c r="AJ375" i="1"/>
  <c r="AD376" i="1"/>
  <c r="AE376" i="1"/>
  <c r="X376" i="1"/>
  <c r="AF376" i="1"/>
  <c r="AG376" i="1"/>
  <c r="AH376" i="1"/>
  <c r="AI376" i="1"/>
  <c r="AJ376" i="1"/>
  <c r="AD377" i="1"/>
  <c r="AE377" i="1"/>
  <c r="X377" i="1"/>
  <c r="AF377" i="1"/>
  <c r="AG377" i="1"/>
  <c r="AH377" i="1"/>
  <c r="AI377" i="1"/>
  <c r="AJ377" i="1"/>
  <c r="AD378" i="1"/>
  <c r="AE378" i="1"/>
  <c r="X378" i="1"/>
  <c r="AF378" i="1"/>
  <c r="AG378" i="1"/>
  <c r="AH378" i="1"/>
  <c r="AI378" i="1"/>
  <c r="AJ378" i="1"/>
  <c r="Z362" i="1"/>
  <c r="AB235" i="32"/>
  <c r="AD235" i="32"/>
  <c r="AE235" i="32"/>
  <c r="X235" i="32"/>
  <c r="AF235" i="32"/>
  <c r="AG235" i="32"/>
  <c r="AH235" i="32"/>
  <c r="AI235" i="32"/>
  <c r="AJ235" i="32"/>
  <c r="AA230" i="32"/>
  <c r="S229" i="32"/>
  <c r="AB227" i="32"/>
  <c r="AD227" i="32"/>
  <c r="AE227" i="32"/>
  <c r="X227" i="32"/>
  <c r="AF227" i="32"/>
  <c r="AG227" i="32"/>
  <c r="AH227" i="32"/>
  <c r="AI227" i="32"/>
  <c r="AJ227" i="32"/>
  <c r="AB228" i="32"/>
  <c r="AD228" i="32"/>
  <c r="AE228" i="32"/>
  <c r="X228" i="32"/>
  <c r="AF228" i="32"/>
  <c r="AG228" i="32"/>
  <c r="AH228" i="32"/>
  <c r="AI228" i="32"/>
  <c r="AJ228" i="32"/>
  <c r="AB229" i="32"/>
  <c r="AD229" i="32"/>
  <c r="AE229" i="32"/>
  <c r="X229" i="32"/>
  <c r="AF229" i="32"/>
  <c r="AG229" i="32"/>
  <c r="AH229" i="32"/>
  <c r="AI229" i="32"/>
  <c r="AJ229" i="32"/>
  <c r="AB230" i="32"/>
  <c r="AD230" i="32"/>
  <c r="AE230" i="32"/>
  <c r="X230" i="32"/>
  <c r="AF230" i="32"/>
  <c r="AG230" i="32"/>
  <c r="AH230" i="32"/>
  <c r="AI230" i="32"/>
  <c r="AJ230" i="32"/>
  <c r="AB231" i="32"/>
  <c r="AD231" i="32"/>
  <c r="AE231" i="32"/>
  <c r="X231" i="32"/>
  <c r="AF231" i="32"/>
  <c r="AG231" i="32"/>
  <c r="AH231" i="32"/>
  <c r="AI231" i="32"/>
  <c r="AJ231" i="32"/>
  <c r="AB232" i="32"/>
  <c r="AD232" i="32"/>
  <c r="AE232" i="32"/>
  <c r="X232" i="32"/>
  <c r="AF232" i="32"/>
  <c r="AG232" i="32"/>
  <c r="AH232" i="32"/>
  <c r="AI232" i="32"/>
  <c r="AJ232" i="32"/>
  <c r="AB233" i="32"/>
  <c r="AD233" i="32"/>
  <c r="AE233" i="32"/>
  <c r="X233" i="32"/>
  <c r="AF233" i="32"/>
  <c r="AG233" i="32"/>
  <c r="AH233" i="32"/>
  <c r="AI233" i="32"/>
  <c r="AJ233" i="32"/>
  <c r="AB234" i="32"/>
  <c r="AD234" i="32"/>
  <c r="AE234" i="32"/>
  <c r="X234" i="32"/>
  <c r="AF234" i="32"/>
  <c r="AG234" i="32"/>
  <c r="AH234" i="32"/>
  <c r="AI234" i="32"/>
  <c r="AJ234" i="32"/>
  <c r="Y360" i="1"/>
  <c r="AB360" i="1"/>
  <c r="S360" i="1"/>
  <c r="AB359" i="1"/>
  <c r="X359" i="1"/>
  <c r="X360" i="1"/>
  <c r="AA358" i="1"/>
  <c r="X358" i="1"/>
  <c r="P358" i="1"/>
  <c r="AB357" i="1"/>
  <c r="X357" i="1"/>
  <c r="AB356" i="1"/>
  <c r="X356" i="1"/>
  <c r="AB355" i="1"/>
  <c r="X355" i="1"/>
  <c r="AB354" i="1"/>
  <c r="X354" i="1"/>
  <c r="AB353" i="1"/>
  <c r="X353" i="1"/>
  <c r="AB352" i="1"/>
  <c r="X352" i="1"/>
  <c r="AA351" i="1"/>
  <c r="X351" i="1"/>
  <c r="AB350" i="1"/>
  <c r="X350" i="1"/>
  <c r="AB349" i="1"/>
  <c r="AD349" i="1"/>
  <c r="AE349" i="1"/>
  <c r="X349" i="1"/>
  <c r="AF349" i="1"/>
  <c r="AG349" i="1"/>
  <c r="AH349" i="1"/>
  <c r="AI349" i="1"/>
  <c r="AJ349" i="1"/>
  <c r="AD350" i="1"/>
  <c r="AE350" i="1"/>
  <c r="AF350" i="1"/>
  <c r="AG350" i="1"/>
  <c r="AH350" i="1"/>
  <c r="AI350" i="1"/>
  <c r="AJ350" i="1"/>
  <c r="AD351" i="1"/>
  <c r="AE351" i="1"/>
  <c r="AF351" i="1"/>
  <c r="AG351" i="1"/>
  <c r="AH351" i="1"/>
  <c r="AI351" i="1"/>
  <c r="AJ351" i="1"/>
  <c r="AD352" i="1"/>
  <c r="AE352" i="1"/>
  <c r="AF352" i="1"/>
  <c r="AG352" i="1"/>
  <c r="AH352" i="1"/>
  <c r="AI352" i="1"/>
  <c r="AJ352" i="1"/>
  <c r="AD353" i="1"/>
  <c r="AE353" i="1"/>
  <c r="AF353" i="1"/>
  <c r="AG353" i="1"/>
  <c r="AH353" i="1"/>
  <c r="AI353" i="1"/>
  <c r="AJ353" i="1"/>
  <c r="AD354" i="1"/>
  <c r="AE354" i="1"/>
  <c r="AF354" i="1"/>
  <c r="AG354" i="1"/>
  <c r="AH354" i="1"/>
  <c r="AI354" i="1"/>
  <c r="AJ354" i="1"/>
  <c r="AD355" i="1"/>
  <c r="AE355" i="1"/>
  <c r="AF355" i="1"/>
  <c r="AG355" i="1"/>
  <c r="AH355" i="1"/>
  <c r="AI355" i="1"/>
  <c r="AJ355" i="1"/>
  <c r="AD356" i="1"/>
  <c r="AE356" i="1"/>
  <c r="AF356" i="1"/>
  <c r="AG356" i="1"/>
  <c r="AH356" i="1"/>
  <c r="AI356" i="1"/>
  <c r="AJ356" i="1"/>
  <c r="AD357" i="1"/>
  <c r="AE357" i="1"/>
  <c r="AF357" i="1"/>
  <c r="AG357" i="1"/>
  <c r="AH357" i="1"/>
  <c r="AI357" i="1"/>
  <c r="AJ357" i="1"/>
  <c r="AD358" i="1"/>
  <c r="AE358" i="1"/>
  <c r="AF358" i="1"/>
  <c r="AG358" i="1"/>
  <c r="AH358" i="1"/>
  <c r="AI358" i="1"/>
  <c r="AJ358" i="1"/>
  <c r="AD359" i="1"/>
  <c r="AE359" i="1"/>
  <c r="AF359" i="1"/>
  <c r="AG359" i="1"/>
  <c r="AH359" i="1"/>
  <c r="AI359" i="1"/>
  <c r="AJ359" i="1"/>
  <c r="AD360" i="1"/>
  <c r="AE360" i="1"/>
  <c r="AF360" i="1"/>
  <c r="AG360" i="1"/>
  <c r="AH360" i="1"/>
  <c r="AI360" i="1"/>
  <c r="AJ360" i="1"/>
  <c r="AB348" i="1"/>
  <c r="AD348" i="1"/>
  <c r="AE348" i="1"/>
  <c r="X348" i="1"/>
  <c r="AF348" i="1"/>
  <c r="AG348" i="1"/>
  <c r="AH348" i="1"/>
  <c r="AI348" i="1"/>
  <c r="AJ348" i="1"/>
  <c r="AB347" i="1"/>
  <c r="AD347" i="1"/>
  <c r="AE347" i="1"/>
  <c r="X347" i="1"/>
  <c r="AF347" i="1"/>
  <c r="AG347" i="1"/>
  <c r="AH347" i="1"/>
  <c r="AI347" i="1"/>
  <c r="AJ347" i="1"/>
  <c r="AA345" i="1"/>
  <c r="AD345" i="1"/>
  <c r="AE345" i="1"/>
  <c r="X345" i="1"/>
  <c r="AF345" i="1"/>
  <c r="AG345" i="1"/>
  <c r="AH345" i="1"/>
  <c r="AI345" i="1"/>
  <c r="AJ345" i="1"/>
  <c r="AD346" i="1"/>
  <c r="AE346" i="1"/>
  <c r="X346" i="1"/>
  <c r="AF346" i="1"/>
  <c r="AG346" i="1"/>
  <c r="AH346" i="1"/>
  <c r="AI346" i="1"/>
  <c r="AJ346" i="1"/>
  <c r="AB344" i="1"/>
  <c r="AD344" i="1"/>
  <c r="AE344" i="1"/>
  <c r="X344" i="1"/>
  <c r="AF344" i="1"/>
  <c r="AI344" i="1"/>
  <c r="AG344" i="1"/>
  <c r="AH344" i="1"/>
  <c r="AJ344" i="1"/>
  <c r="P344" i="1"/>
  <c r="AB343" i="1"/>
  <c r="AD343" i="1"/>
  <c r="AE343" i="1"/>
  <c r="X343" i="1"/>
  <c r="AF343" i="1"/>
  <c r="AG343" i="1"/>
  <c r="AH343" i="1"/>
  <c r="AI343" i="1"/>
  <c r="AJ343" i="1"/>
  <c r="X333" i="1"/>
  <c r="AB333" i="1"/>
  <c r="AD333" i="1"/>
  <c r="AE333" i="1"/>
  <c r="AF333" i="1"/>
  <c r="AG333" i="1"/>
  <c r="AH333" i="1"/>
  <c r="AI333" i="1"/>
  <c r="AJ333" i="1"/>
  <c r="AA224" i="32"/>
  <c r="P224" i="32"/>
  <c r="Y219" i="32"/>
  <c r="S219" i="32"/>
  <c r="X216" i="32"/>
  <c r="AB216" i="32"/>
  <c r="AD216" i="32"/>
  <c r="AE216" i="32"/>
  <c r="AF216" i="32"/>
  <c r="AG216" i="32"/>
  <c r="AH216" i="32"/>
  <c r="AI216" i="32"/>
  <c r="AJ216" i="32"/>
  <c r="X217" i="32"/>
  <c r="AB217" i="32"/>
  <c r="AD217" i="32"/>
  <c r="AE217" i="32"/>
  <c r="AF217" i="32"/>
  <c r="AG217" i="32"/>
  <c r="AH217" i="32"/>
  <c r="AI217" i="32"/>
  <c r="AJ217" i="32"/>
  <c r="X218" i="32"/>
  <c r="AB218" i="32"/>
  <c r="AD218" i="32"/>
  <c r="AE218" i="32"/>
  <c r="AF218" i="32"/>
  <c r="AG218" i="32"/>
  <c r="AH218" i="32"/>
  <c r="AI218" i="32"/>
  <c r="AJ218" i="32"/>
  <c r="X219" i="32"/>
  <c r="AB219" i="32"/>
  <c r="AD219" i="32"/>
  <c r="AE219" i="32"/>
  <c r="AF219" i="32"/>
  <c r="AG219" i="32"/>
  <c r="AH219" i="32"/>
  <c r="AI219" i="32"/>
  <c r="AJ219" i="32"/>
  <c r="X220" i="32"/>
  <c r="AB220" i="32"/>
  <c r="AD220" i="32"/>
  <c r="AE220" i="32"/>
  <c r="AF220" i="32"/>
  <c r="AG220" i="32"/>
  <c r="AH220" i="32"/>
  <c r="AI220" i="32"/>
  <c r="AJ220" i="32"/>
  <c r="X221" i="32"/>
  <c r="AB221" i="32"/>
  <c r="AD221" i="32"/>
  <c r="AE221" i="32"/>
  <c r="AF221" i="32"/>
  <c r="AG221" i="32"/>
  <c r="AH221" i="32"/>
  <c r="AI221" i="32"/>
  <c r="AJ221" i="32"/>
  <c r="X222" i="32"/>
  <c r="AB222" i="32"/>
  <c r="AD222" i="32"/>
  <c r="AE222" i="32"/>
  <c r="AF222" i="32"/>
  <c r="AG222" i="32"/>
  <c r="AH222" i="32"/>
  <c r="AI222" i="32"/>
  <c r="AJ222" i="32"/>
  <c r="X223" i="32"/>
  <c r="AB223" i="32"/>
  <c r="AD223" i="32"/>
  <c r="AE223" i="32"/>
  <c r="AF223" i="32"/>
  <c r="AG223" i="32"/>
  <c r="AH223" i="32"/>
  <c r="AI223" i="32"/>
  <c r="AJ223" i="32"/>
  <c r="X224" i="32"/>
  <c r="AB224" i="32"/>
  <c r="AD224" i="32"/>
  <c r="AE224" i="32"/>
  <c r="AF224" i="32"/>
  <c r="AG224" i="32"/>
  <c r="AH224" i="32"/>
  <c r="AI224" i="32"/>
  <c r="AJ224" i="32"/>
  <c r="X225" i="32"/>
  <c r="AB225" i="32"/>
  <c r="AD225" i="32"/>
  <c r="AE225" i="32"/>
  <c r="AF225" i="32"/>
  <c r="AG225" i="32"/>
  <c r="AH225" i="32"/>
  <c r="AI225" i="32"/>
  <c r="AJ225" i="32"/>
  <c r="X226" i="32"/>
  <c r="AB226" i="32"/>
  <c r="AD226" i="32"/>
  <c r="AE226" i="32"/>
  <c r="AF226" i="32"/>
  <c r="AG226" i="32"/>
  <c r="AH226" i="32"/>
  <c r="AI226" i="32"/>
  <c r="AJ226" i="32"/>
  <c r="AA342" i="1"/>
  <c r="S342" i="1"/>
  <c r="AB335" i="1"/>
  <c r="AB336" i="1"/>
  <c r="AB337" i="1"/>
  <c r="AB338" i="1"/>
  <c r="AB339" i="1"/>
  <c r="AB340" i="1"/>
  <c r="AB341" i="1"/>
  <c r="AB334" i="1"/>
  <c r="AB342" i="1"/>
  <c r="P328" i="1"/>
  <c r="AB326" i="1"/>
  <c r="AD326" i="1"/>
  <c r="AE326" i="1"/>
  <c r="X326" i="1"/>
  <c r="AF326" i="1"/>
  <c r="AG326" i="1"/>
  <c r="AH326" i="1"/>
  <c r="AI326" i="1"/>
  <c r="AJ326" i="1"/>
  <c r="AB327" i="1"/>
  <c r="AD327" i="1"/>
  <c r="AE327" i="1"/>
  <c r="X327" i="1"/>
  <c r="AF327" i="1"/>
  <c r="AG327" i="1"/>
  <c r="AH327" i="1"/>
  <c r="AI327" i="1"/>
  <c r="AJ327" i="1"/>
  <c r="AB328" i="1"/>
  <c r="AD328" i="1"/>
  <c r="AE328" i="1"/>
  <c r="X328" i="1"/>
  <c r="AF328" i="1"/>
  <c r="AG328" i="1"/>
  <c r="AH328" i="1"/>
  <c r="AI328" i="1"/>
  <c r="AJ328" i="1"/>
  <c r="AB329" i="1"/>
  <c r="AD329" i="1"/>
  <c r="AE329" i="1"/>
  <c r="X329" i="1"/>
  <c r="AF329" i="1"/>
  <c r="AG329" i="1"/>
  <c r="AH329" i="1"/>
  <c r="AI329" i="1"/>
  <c r="AJ329" i="1"/>
  <c r="AB330" i="1"/>
  <c r="AD330" i="1"/>
  <c r="AE330" i="1"/>
  <c r="X330" i="1"/>
  <c r="AF330" i="1"/>
  <c r="AG330" i="1"/>
  <c r="AH330" i="1"/>
  <c r="AI330" i="1"/>
  <c r="AJ330" i="1"/>
  <c r="AB331" i="1"/>
  <c r="AD331" i="1"/>
  <c r="AE331" i="1"/>
  <c r="X331" i="1"/>
  <c r="AF331" i="1"/>
  <c r="AG331" i="1"/>
  <c r="AH331" i="1"/>
  <c r="AI331" i="1"/>
  <c r="AJ331" i="1"/>
  <c r="AB332" i="1"/>
  <c r="AD332" i="1"/>
  <c r="AE332" i="1"/>
  <c r="X332" i="1"/>
  <c r="AF332" i="1"/>
  <c r="AG332" i="1"/>
  <c r="AH332" i="1"/>
  <c r="AI332" i="1"/>
  <c r="AJ332" i="1"/>
  <c r="AD335" i="1"/>
  <c r="AE335" i="1"/>
  <c r="X335" i="1"/>
  <c r="AF335" i="1"/>
  <c r="AG335" i="1"/>
  <c r="AH335" i="1"/>
  <c r="AI335" i="1"/>
  <c r="AJ335" i="1"/>
  <c r="AD336" i="1"/>
  <c r="AE336" i="1"/>
  <c r="X336" i="1"/>
  <c r="AF336" i="1"/>
  <c r="AG336" i="1"/>
  <c r="AH336" i="1"/>
  <c r="AI336" i="1"/>
  <c r="AJ336" i="1"/>
  <c r="AD337" i="1"/>
  <c r="AE337" i="1"/>
  <c r="X337" i="1"/>
  <c r="AF337" i="1"/>
  <c r="AG337" i="1"/>
  <c r="AH337" i="1"/>
  <c r="AI337" i="1"/>
  <c r="AJ337" i="1"/>
  <c r="AD338" i="1"/>
  <c r="AE338" i="1"/>
  <c r="X338" i="1"/>
  <c r="AF338" i="1"/>
  <c r="AG338" i="1"/>
  <c r="AH338" i="1"/>
  <c r="AI338" i="1"/>
  <c r="AJ338" i="1"/>
  <c r="AD339" i="1"/>
  <c r="AE339" i="1"/>
  <c r="X339" i="1"/>
  <c r="AF339" i="1"/>
  <c r="AG339" i="1"/>
  <c r="AH339" i="1"/>
  <c r="AI339" i="1"/>
  <c r="AJ339" i="1"/>
  <c r="AD340" i="1"/>
  <c r="AE340" i="1"/>
  <c r="X340" i="1"/>
  <c r="AF340" i="1"/>
  <c r="AG340" i="1"/>
  <c r="AH340" i="1"/>
  <c r="AI340" i="1"/>
  <c r="AJ340" i="1"/>
  <c r="AD341" i="1"/>
  <c r="AE341" i="1"/>
  <c r="X341" i="1"/>
  <c r="AF341" i="1"/>
  <c r="AG341" i="1"/>
  <c r="AH341" i="1"/>
  <c r="AI341" i="1"/>
  <c r="AJ341" i="1"/>
  <c r="AD334" i="1"/>
  <c r="AE334" i="1"/>
  <c r="X334" i="1"/>
  <c r="AF334" i="1"/>
  <c r="AG334" i="1"/>
  <c r="AH334" i="1"/>
  <c r="AI334" i="1"/>
  <c r="AJ334" i="1"/>
  <c r="AD342" i="1"/>
  <c r="AE342" i="1"/>
  <c r="X342" i="1"/>
  <c r="AF342" i="1"/>
  <c r="AG342" i="1"/>
  <c r="AH342" i="1"/>
  <c r="AI342" i="1"/>
  <c r="AJ342" i="1"/>
  <c r="S2" i="1"/>
  <c r="X2" i="1"/>
  <c r="AB2" i="1"/>
  <c r="Y2" i="1"/>
  <c r="AH2" i="1"/>
  <c r="X3" i="1"/>
  <c r="AB3" i="1"/>
  <c r="AH3" i="1"/>
  <c r="S4" i="1"/>
  <c r="X4" i="1"/>
  <c r="AB4" i="1"/>
  <c r="AH4" i="1"/>
  <c r="X5" i="1"/>
  <c r="AB5" i="1"/>
  <c r="AH5" i="1"/>
  <c r="X6" i="1"/>
  <c r="AB6" i="1"/>
  <c r="AH6" i="1"/>
  <c r="X7" i="1"/>
  <c r="AB7" i="1"/>
  <c r="AH7" i="1"/>
  <c r="X8" i="1"/>
  <c r="AB8" i="1"/>
  <c r="AH8" i="1"/>
  <c r="X9" i="1"/>
  <c r="AB9" i="1"/>
  <c r="AH9" i="1"/>
  <c r="X10" i="1"/>
  <c r="AB10" i="1"/>
  <c r="AH10" i="1"/>
  <c r="X11" i="1"/>
  <c r="AB11" i="1"/>
  <c r="AH11" i="1"/>
  <c r="X12" i="1"/>
  <c r="AB12" i="1"/>
  <c r="AH12" i="1"/>
  <c r="X13" i="1"/>
  <c r="AB13" i="1"/>
  <c r="AH13" i="1"/>
  <c r="X14" i="1"/>
  <c r="AB14" i="1"/>
  <c r="AH14" i="1"/>
  <c r="X15" i="1"/>
  <c r="AB15" i="1"/>
  <c r="AH15" i="1"/>
  <c r="X16" i="1"/>
  <c r="AB16" i="1"/>
  <c r="AH16" i="1"/>
  <c r="X17" i="1"/>
  <c r="AB17" i="1"/>
  <c r="AH17" i="1"/>
  <c r="X18" i="1"/>
  <c r="AB18" i="1"/>
  <c r="AH18" i="1"/>
  <c r="X19" i="1"/>
  <c r="AB19" i="1"/>
  <c r="AH19" i="1"/>
  <c r="X20" i="1"/>
  <c r="AB20" i="1"/>
  <c r="AH20" i="1"/>
  <c r="X21" i="1"/>
  <c r="AB21" i="1"/>
  <c r="AH21" i="1"/>
  <c r="X22" i="1"/>
  <c r="AB22" i="1"/>
  <c r="AH22" i="1"/>
  <c r="X23" i="1"/>
  <c r="AB23" i="1"/>
  <c r="Y23" i="1"/>
  <c r="AH23" i="1"/>
  <c r="X24" i="1"/>
  <c r="AB24" i="1"/>
  <c r="AH24" i="1"/>
  <c r="X25" i="1"/>
  <c r="AB25" i="1"/>
  <c r="AH25" i="1"/>
  <c r="X26" i="1"/>
  <c r="AB26" i="1"/>
  <c r="AH26" i="1"/>
  <c r="X27" i="1"/>
  <c r="AB27" i="1"/>
  <c r="AH27" i="1"/>
  <c r="X28" i="1"/>
  <c r="AB28" i="1"/>
  <c r="AH28" i="1"/>
  <c r="S29" i="1"/>
  <c r="X29" i="1"/>
  <c r="AB29" i="1"/>
  <c r="AH29" i="1"/>
  <c r="S30" i="1"/>
  <c r="X30" i="1"/>
  <c r="AB30" i="1"/>
  <c r="AH30" i="1"/>
  <c r="X31" i="1"/>
  <c r="AB31" i="1"/>
  <c r="AH31" i="1"/>
  <c r="S32" i="1"/>
  <c r="X32" i="1"/>
  <c r="AB32" i="1"/>
  <c r="AH32" i="1"/>
  <c r="X33" i="1"/>
  <c r="AB33" i="1"/>
  <c r="AH33" i="1"/>
  <c r="X34" i="1"/>
  <c r="AB34" i="1"/>
  <c r="AH34" i="1"/>
  <c r="X35" i="1"/>
  <c r="AB35" i="1"/>
  <c r="AH35" i="1"/>
  <c r="X36" i="1"/>
  <c r="AB36" i="1"/>
  <c r="AH36" i="1"/>
  <c r="X37" i="1"/>
  <c r="AB37" i="1"/>
  <c r="AH37" i="1"/>
  <c r="X38" i="1"/>
  <c r="AB38" i="1"/>
  <c r="AH38" i="1"/>
  <c r="X39" i="1"/>
  <c r="AB39" i="1"/>
  <c r="AH39" i="1"/>
  <c r="X40" i="1"/>
  <c r="AB40" i="1"/>
  <c r="AH40" i="1"/>
  <c r="X41" i="1"/>
  <c r="AB41" i="1"/>
  <c r="AH41" i="1"/>
  <c r="X42" i="1"/>
  <c r="AB42" i="1"/>
  <c r="AH42" i="1"/>
  <c r="X43" i="1"/>
  <c r="AB43" i="1"/>
  <c r="AH43" i="1"/>
  <c r="X44" i="1"/>
  <c r="AB44" i="1"/>
  <c r="AH44" i="1"/>
  <c r="X45" i="1"/>
  <c r="AB45" i="1"/>
  <c r="AH45" i="1"/>
  <c r="X46" i="1"/>
  <c r="AB46" i="1"/>
  <c r="AH46" i="1"/>
  <c r="X47" i="1"/>
  <c r="AB47" i="1"/>
  <c r="AH47" i="1"/>
  <c r="S48" i="1"/>
  <c r="X48" i="1"/>
  <c r="AB48" i="1"/>
  <c r="AH48" i="1"/>
  <c r="X49" i="1"/>
  <c r="AB49" i="1"/>
  <c r="AH49" i="1"/>
  <c r="X50" i="1"/>
  <c r="AB50" i="1"/>
  <c r="AH50" i="1"/>
  <c r="X51" i="1"/>
  <c r="AB51" i="1"/>
  <c r="AH51" i="1"/>
  <c r="X52" i="1"/>
  <c r="AB52" i="1"/>
  <c r="AH52" i="1"/>
  <c r="S53" i="1"/>
  <c r="X53" i="1"/>
  <c r="AB53" i="1"/>
  <c r="AH53" i="1"/>
  <c r="S54" i="1"/>
  <c r="X54" i="1"/>
  <c r="AB54" i="1"/>
  <c r="AH54" i="1"/>
  <c r="X55" i="1"/>
  <c r="AB55" i="1"/>
  <c r="AH55" i="1"/>
  <c r="X56" i="1"/>
  <c r="AB56" i="1"/>
  <c r="AH56" i="1"/>
  <c r="X57" i="1"/>
  <c r="AB57" i="1"/>
  <c r="AH57" i="1"/>
  <c r="X58" i="1"/>
  <c r="AB58" i="1"/>
  <c r="AH58" i="1"/>
  <c r="X59" i="1"/>
  <c r="AB59" i="1"/>
  <c r="AH59" i="1"/>
  <c r="X60" i="1"/>
  <c r="AB60" i="1"/>
  <c r="AH60" i="1"/>
  <c r="X61" i="1"/>
  <c r="AB61" i="1"/>
  <c r="AH61" i="1"/>
  <c r="X62" i="1"/>
  <c r="AB62" i="1"/>
  <c r="AH62" i="1"/>
  <c r="X63" i="1"/>
  <c r="AB63" i="1"/>
  <c r="AH63" i="1"/>
  <c r="X64" i="1"/>
  <c r="AB64" i="1"/>
  <c r="AH64" i="1"/>
  <c r="X65" i="1"/>
  <c r="AB65" i="1"/>
  <c r="AH65" i="1"/>
  <c r="X66" i="1"/>
  <c r="AB66" i="1"/>
  <c r="AH66" i="1"/>
  <c r="X67" i="1"/>
  <c r="AB67" i="1"/>
  <c r="AH67" i="1"/>
  <c r="X68" i="1"/>
  <c r="AB68" i="1"/>
  <c r="AH68" i="1"/>
  <c r="X69" i="1"/>
  <c r="AB69" i="1"/>
  <c r="AH69" i="1"/>
  <c r="X70" i="1"/>
  <c r="AB70" i="1"/>
  <c r="AH70" i="1"/>
  <c r="X71" i="1"/>
  <c r="AB71" i="1"/>
  <c r="AH71" i="1"/>
  <c r="X72" i="1"/>
  <c r="AB72" i="1"/>
  <c r="AH72" i="1"/>
  <c r="X73" i="1"/>
  <c r="AH73" i="1"/>
  <c r="X74" i="1"/>
  <c r="AB74" i="1"/>
  <c r="AH74" i="1"/>
  <c r="X75" i="1"/>
  <c r="AB75" i="1"/>
  <c r="AH75" i="1"/>
  <c r="X76" i="1"/>
  <c r="AB76" i="1"/>
  <c r="AH76" i="1"/>
  <c r="X77" i="1"/>
  <c r="AB77" i="1"/>
  <c r="AH77" i="1"/>
  <c r="X78" i="1"/>
  <c r="AB78" i="1"/>
  <c r="Y78" i="1"/>
  <c r="AH78" i="1"/>
  <c r="S79" i="1"/>
  <c r="X79" i="1"/>
  <c r="AB79" i="1"/>
  <c r="AH79" i="1"/>
  <c r="X80" i="1"/>
  <c r="AB80" i="1"/>
  <c r="AH80" i="1"/>
  <c r="S81" i="1"/>
  <c r="X81" i="1"/>
  <c r="AB81" i="1"/>
  <c r="AH81" i="1"/>
  <c r="X82" i="1"/>
  <c r="AB82" i="1"/>
  <c r="AH82" i="1"/>
  <c r="X83" i="1"/>
  <c r="AB83" i="1"/>
  <c r="AH83" i="1"/>
  <c r="S84" i="1"/>
  <c r="X84" i="1"/>
  <c r="AB84" i="1"/>
  <c r="AH84" i="1"/>
  <c r="X85" i="1"/>
  <c r="AB85" i="1"/>
  <c r="AH85" i="1"/>
  <c r="X86" i="1"/>
  <c r="AB86" i="1"/>
  <c r="Y86" i="1"/>
  <c r="AH86" i="1"/>
  <c r="X87" i="1"/>
  <c r="AB87" i="1"/>
  <c r="AH87" i="1"/>
  <c r="S88" i="1"/>
  <c r="X88" i="1"/>
  <c r="AB88" i="1"/>
  <c r="AH88" i="1"/>
  <c r="X89" i="1"/>
  <c r="AB89" i="1"/>
  <c r="Y89" i="1"/>
  <c r="AH89" i="1"/>
  <c r="X90" i="1"/>
  <c r="AB90" i="1"/>
  <c r="AH90" i="1"/>
  <c r="X91" i="1"/>
  <c r="AB91" i="1"/>
  <c r="AH91" i="1"/>
  <c r="X92" i="1"/>
  <c r="AB92" i="1"/>
  <c r="AH92" i="1"/>
  <c r="X93" i="1"/>
  <c r="AB93" i="1"/>
  <c r="Y93" i="1"/>
  <c r="AH93" i="1"/>
  <c r="X94" i="1"/>
  <c r="Z94" i="1"/>
  <c r="AB94" i="1"/>
  <c r="Y94" i="1"/>
  <c r="AH94" i="1"/>
  <c r="S95" i="1"/>
  <c r="X95" i="1"/>
  <c r="AB95" i="1"/>
  <c r="AH95" i="1"/>
  <c r="X96" i="1"/>
  <c r="AB96" i="1"/>
  <c r="AH96" i="1"/>
  <c r="X97" i="1"/>
  <c r="AB97" i="1"/>
  <c r="AH97" i="1"/>
  <c r="S98" i="1"/>
  <c r="X98" i="1"/>
  <c r="AB98" i="1"/>
  <c r="AH98" i="1"/>
  <c r="X99" i="1"/>
  <c r="AB99" i="1"/>
  <c r="AH99" i="1"/>
  <c r="X100" i="1"/>
  <c r="AB100" i="1"/>
  <c r="AH100" i="1"/>
  <c r="X101" i="1"/>
  <c r="AB101" i="1"/>
  <c r="AH101" i="1"/>
  <c r="X102" i="1"/>
  <c r="AB102" i="1"/>
  <c r="AH102" i="1"/>
  <c r="X103" i="1"/>
  <c r="AB103" i="1"/>
  <c r="AH103" i="1"/>
  <c r="X104" i="1"/>
  <c r="AB104" i="1"/>
  <c r="AH104" i="1"/>
  <c r="X105" i="1"/>
  <c r="AB105" i="1"/>
  <c r="AH105" i="1"/>
  <c r="S106" i="1"/>
  <c r="X106" i="1"/>
  <c r="AB106" i="1"/>
  <c r="AH106" i="1"/>
  <c r="X107" i="1"/>
  <c r="AB107" i="1"/>
  <c r="AH107" i="1"/>
  <c r="X108" i="1"/>
  <c r="AB108" i="1"/>
  <c r="AH108" i="1"/>
  <c r="X109" i="1"/>
  <c r="AB109" i="1"/>
  <c r="AH109" i="1"/>
  <c r="X110" i="1"/>
  <c r="AB110" i="1"/>
  <c r="AH110" i="1"/>
  <c r="X111" i="1"/>
  <c r="AB111" i="1"/>
  <c r="AH111" i="1"/>
  <c r="X112" i="1"/>
  <c r="AB112" i="1"/>
  <c r="AH112" i="1"/>
  <c r="X113" i="1"/>
  <c r="AB113" i="1"/>
  <c r="AH113" i="1"/>
  <c r="X114" i="1"/>
  <c r="AB114" i="1"/>
  <c r="AH114" i="1"/>
  <c r="X115" i="1"/>
  <c r="AB115" i="1"/>
  <c r="AH115" i="1"/>
  <c r="X116" i="1"/>
  <c r="AB116" i="1"/>
  <c r="AH116" i="1"/>
  <c r="X117" i="1"/>
  <c r="AB117" i="1"/>
  <c r="AH117" i="1"/>
  <c r="X118" i="1"/>
  <c r="AB118" i="1"/>
  <c r="AH118" i="1"/>
  <c r="X119" i="1"/>
  <c r="AB119" i="1"/>
  <c r="AH119" i="1"/>
  <c r="X120" i="1"/>
  <c r="AB120" i="1"/>
  <c r="AH120" i="1"/>
  <c r="X121" i="1"/>
  <c r="AB121" i="1"/>
  <c r="AH121" i="1"/>
  <c r="X122" i="1"/>
  <c r="AB122" i="1"/>
  <c r="AH122" i="1"/>
  <c r="X123" i="1"/>
  <c r="AB123" i="1"/>
  <c r="AH123" i="1"/>
  <c r="X124" i="1"/>
  <c r="AB124" i="1"/>
  <c r="AH124" i="1"/>
  <c r="X125" i="1"/>
  <c r="AB125" i="1"/>
  <c r="AH125" i="1"/>
  <c r="X126" i="1"/>
  <c r="AB126" i="1"/>
  <c r="AH126" i="1"/>
  <c r="X127" i="1"/>
  <c r="AB127" i="1"/>
  <c r="AH127" i="1"/>
  <c r="X128" i="1"/>
  <c r="AB128" i="1"/>
  <c r="AH128" i="1"/>
  <c r="X129" i="1"/>
  <c r="Z129" i="1"/>
  <c r="AB129" i="1"/>
  <c r="AH129" i="1"/>
  <c r="X130" i="1"/>
  <c r="AH130" i="1"/>
  <c r="X131" i="1"/>
  <c r="AB131" i="1"/>
  <c r="AH131" i="1"/>
  <c r="X132" i="1"/>
  <c r="AB132" i="1"/>
  <c r="Y132" i="1"/>
  <c r="AH132" i="1"/>
  <c r="S133" i="1"/>
  <c r="X133" i="1"/>
  <c r="AB133" i="1"/>
  <c r="AH133" i="1"/>
  <c r="X134" i="1"/>
  <c r="AB134" i="1"/>
  <c r="AH134" i="1"/>
  <c r="S135" i="1"/>
  <c r="X135" i="1"/>
  <c r="AB135" i="1"/>
  <c r="AH135" i="1"/>
  <c r="X136" i="1"/>
  <c r="AB136" i="1"/>
  <c r="AH136" i="1"/>
  <c r="X137" i="1"/>
  <c r="AB137" i="1"/>
  <c r="AH137" i="1"/>
  <c r="X138" i="1"/>
  <c r="AB138" i="1"/>
  <c r="AH138" i="1"/>
  <c r="X139" i="1"/>
  <c r="AB139" i="1"/>
  <c r="AH139" i="1"/>
  <c r="X140" i="1"/>
  <c r="AB140" i="1"/>
  <c r="AH140" i="1"/>
  <c r="X141" i="1"/>
  <c r="AB141" i="1"/>
  <c r="Y141" i="1"/>
  <c r="AH141" i="1"/>
  <c r="X142" i="1"/>
  <c r="AB142" i="1"/>
  <c r="AH142" i="1"/>
  <c r="X143" i="1"/>
  <c r="AB143" i="1"/>
  <c r="AH143" i="1"/>
  <c r="X144" i="1"/>
  <c r="AB144" i="1"/>
  <c r="AH144" i="1"/>
  <c r="X145" i="1"/>
  <c r="AB145" i="1"/>
  <c r="AH145" i="1"/>
  <c r="X146" i="1"/>
  <c r="AB146" i="1"/>
  <c r="AH146" i="1"/>
  <c r="X147" i="1"/>
  <c r="AH147" i="1"/>
  <c r="X148" i="1"/>
  <c r="AB148" i="1"/>
  <c r="AH148" i="1"/>
  <c r="X149" i="1"/>
  <c r="AB149" i="1"/>
  <c r="AH149" i="1"/>
  <c r="X150" i="1"/>
  <c r="AB150" i="1"/>
  <c r="AH150" i="1"/>
  <c r="S151" i="1"/>
  <c r="X151" i="1"/>
  <c r="AB151" i="1"/>
  <c r="AH151" i="1"/>
  <c r="X152" i="1"/>
  <c r="AB152" i="1"/>
  <c r="AH152" i="1"/>
  <c r="X153" i="1"/>
  <c r="AB153" i="1"/>
  <c r="AH153" i="1"/>
  <c r="X154" i="1"/>
  <c r="AB154" i="1"/>
  <c r="AH154" i="1"/>
  <c r="X155" i="1"/>
  <c r="AB155" i="1"/>
  <c r="AH155" i="1"/>
  <c r="X156" i="1"/>
  <c r="AB156" i="1"/>
  <c r="AH156" i="1"/>
  <c r="X157" i="1"/>
  <c r="AB157" i="1"/>
  <c r="AH157" i="1"/>
  <c r="X158" i="1"/>
  <c r="AB158" i="1"/>
  <c r="AH158" i="1"/>
  <c r="X159" i="1"/>
  <c r="AB159" i="1"/>
  <c r="AH159" i="1"/>
  <c r="X160" i="1"/>
  <c r="AB160" i="1"/>
  <c r="AH160" i="1"/>
  <c r="X161" i="1"/>
  <c r="AB161" i="1"/>
  <c r="AH161" i="1"/>
  <c r="X162" i="1"/>
  <c r="AB162" i="1"/>
  <c r="AH162" i="1"/>
  <c r="X163" i="1"/>
  <c r="AB163" i="1"/>
  <c r="AH163" i="1"/>
  <c r="X164" i="1"/>
  <c r="AB164" i="1"/>
  <c r="AH164" i="1"/>
  <c r="X165" i="1"/>
  <c r="AB165" i="1"/>
  <c r="AH165" i="1"/>
  <c r="X166" i="1"/>
  <c r="AB166" i="1"/>
  <c r="AH166" i="1"/>
  <c r="X167" i="1"/>
  <c r="AB167" i="1"/>
  <c r="AH167" i="1"/>
  <c r="X168" i="1"/>
  <c r="AH168" i="1"/>
  <c r="X169" i="1"/>
  <c r="AH169" i="1"/>
  <c r="X170" i="1"/>
  <c r="AH170" i="1"/>
  <c r="X171" i="1"/>
  <c r="AB171" i="1"/>
  <c r="AH171" i="1"/>
  <c r="X172" i="1"/>
  <c r="AH172" i="1"/>
  <c r="X173" i="1"/>
  <c r="AB173" i="1"/>
  <c r="AH173" i="1"/>
  <c r="X174" i="1"/>
  <c r="AB174" i="1"/>
  <c r="AH174" i="1"/>
  <c r="X175" i="1"/>
  <c r="AB175" i="1"/>
  <c r="AH175" i="1"/>
  <c r="X176" i="1"/>
  <c r="AB176" i="1"/>
  <c r="AH176" i="1"/>
  <c r="S177" i="1"/>
  <c r="X177" i="1"/>
  <c r="AB177" i="1"/>
  <c r="AH177" i="1"/>
  <c r="X178" i="1"/>
  <c r="AB178" i="1"/>
  <c r="AH178" i="1"/>
  <c r="X179" i="1"/>
  <c r="AB179" i="1"/>
  <c r="AH179" i="1"/>
  <c r="X180" i="1"/>
  <c r="AB180" i="1"/>
  <c r="AH180" i="1"/>
  <c r="X181" i="1"/>
  <c r="AB181" i="1"/>
  <c r="AH181" i="1"/>
  <c r="X182" i="1"/>
  <c r="AB182" i="1"/>
  <c r="AH182" i="1"/>
  <c r="X183" i="1"/>
  <c r="AB183" i="1"/>
  <c r="AH183" i="1"/>
  <c r="X184" i="1"/>
  <c r="AB184" i="1"/>
  <c r="AH184" i="1"/>
  <c r="X185" i="1"/>
  <c r="AB185" i="1"/>
  <c r="AH185" i="1"/>
  <c r="X186" i="1"/>
  <c r="AB186" i="1"/>
  <c r="AH186" i="1"/>
  <c r="X187" i="1"/>
  <c r="AB187" i="1"/>
  <c r="AH187" i="1"/>
  <c r="X188" i="1"/>
  <c r="AB188" i="1"/>
  <c r="AH188" i="1"/>
  <c r="X189" i="1"/>
  <c r="AB189" i="1"/>
  <c r="AH189" i="1"/>
  <c r="X190" i="1"/>
  <c r="AA190" i="1"/>
  <c r="AB190" i="1"/>
  <c r="AH190" i="1"/>
  <c r="X191" i="1"/>
  <c r="AB191" i="1"/>
  <c r="AH191" i="1"/>
  <c r="X192" i="1"/>
  <c r="AB192" i="1"/>
  <c r="AH192" i="1"/>
  <c r="X193" i="1"/>
  <c r="AB193" i="1"/>
  <c r="AH193" i="1"/>
  <c r="X194" i="1"/>
  <c r="AB194" i="1"/>
  <c r="AH194" i="1"/>
  <c r="X195" i="1"/>
  <c r="AB195" i="1"/>
  <c r="AH195" i="1"/>
  <c r="X196" i="1"/>
  <c r="AB196" i="1"/>
  <c r="AH196" i="1"/>
  <c r="X197" i="1"/>
  <c r="AB197" i="1"/>
  <c r="AH197" i="1"/>
  <c r="X198" i="1"/>
  <c r="AB198" i="1"/>
  <c r="AH198" i="1"/>
  <c r="X199" i="1"/>
  <c r="AB199" i="1"/>
  <c r="AH199" i="1"/>
  <c r="X200" i="1"/>
  <c r="AB200" i="1"/>
  <c r="Y200" i="1"/>
  <c r="AH200" i="1"/>
  <c r="X201" i="1"/>
  <c r="AB201" i="1"/>
  <c r="Y201" i="1"/>
  <c r="AH201" i="1"/>
  <c r="X202" i="1"/>
  <c r="AB202" i="1"/>
  <c r="AH202" i="1"/>
  <c r="X203" i="1"/>
  <c r="AB203" i="1"/>
  <c r="Y203" i="1"/>
  <c r="AH203" i="1"/>
  <c r="X204" i="1"/>
  <c r="AB204" i="1"/>
  <c r="Y204" i="1"/>
  <c r="AH204" i="1"/>
  <c r="X205" i="1"/>
  <c r="AB205" i="1"/>
  <c r="Y205" i="1"/>
  <c r="AH205" i="1"/>
  <c r="X206" i="1"/>
  <c r="AB206" i="1"/>
  <c r="Y206" i="1"/>
  <c r="AH206" i="1"/>
  <c r="X207" i="1"/>
  <c r="AB207" i="1"/>
  <c r="AH207" i="1"/>
  <c r="S208" i="1"/>
  <c r="X208" i="1"/>
  <c r="AB208" i="1"/>
  <c r="AH208" i="1"/>
  <c r="X209" i="1"/>
  <c r="AB209" i="1"/>
  <c r="AH209" i="1"/>
  <c r="X210" i="1"/>
  <c r="AB210" i="1"/>
  <c r="AH210" i="1"/>
  <c r="X211" i="1"/>
  <c r="AB211" i="1"/>
  <c r="AH211" i="1"/>
  <c r="X212" i="1"/>
  <c r="AB212" i="1"/>
  <c r="AH212" i="1"/>
  <c r="X213" i="1"/>
  <c r="AB213" i="1"/>
  <c r="AH213" i="1"/>
  <c r="X214" i="1"/>
  <c r="AB214" i="1"/>
  <c r="AH214" i="1"/>
  <c r="X215" i="1"/>
  <c r="AH215" i="1"/>
  <c r="X216" i="1"/>
  <c r="AH216" i="1"/>
  <c r="X217" i="1"/>
  <c r="AB217" i="1"/>
  <c r="Y217" i="1"/>
  <c r="AH217" i="1"/>
  <c r="X218" i="1"/>
  <c r="AB218" i="1"/>
  <c r="AH218" i="1"/>
  <c r="X219" i="1"/>
  <c r="AH219" i="1"/>
  <c r="X220" i="1"/>
  <c r="AB220" i="1"/>
  <c r="AH220" i="1"/>
  <c r="X221" i="1"/>
  <c r="AB221" i="1"/>
  <c r="AH221" i="1"/>
  <c r="X222" i="1"/>
  <c r="AB222" i="1"/>
  <c r="AH222" i="1"/>
  <c r="X223" i="1"/>
  <c r="AB223" i="1"/>
  <c r="AH223" i="1"/>
  <c r="X224" i="1"/>
  <c r="AB224" i="1"/>
  <c r="AH224" i="1"/>
  <c r="X225" i="1"/>
  <c r="AB225" i="1"/>
  <c r="AH225" i="1"/>
  <c r="X226" i="1"/>
  <c r="AB226" i="1"/>
  <c r="AH226" i="1"/>
  <c r="S227" i="1"/>
  <c r="X227" i="1"/>
  <c r="AB227" i="1"/>
  <c r="AH227" i="1"/>
  <c r="X228" i="1"/>
  <c r="AB228" i="1"/>
  <c r="AH228" i="1"/>
  <c r="X229" i="1"/>
  <c r="AB229" i="1"/>
  <c r="AH229" i="1"/>
  <c r="X230" i="1"/>
  <c r="AB230" i="1"/>
  <c r="AH230" i="1"/>
  <c r="S231" i="1"/>
  <c r="X231" i="1"/>
  <c r="AB231" i="1"/>
  <c r="AH231" i="1"/>
  <c r="X232" i="1"/>
  <c r="AB232" i="1"/>
  <c r="Y232" i="1"/>
  <c r="AH232" i="1"/>
  <c r="S233" i="1"/>
  <c r="X233" i="1"/>
  <c r="AB233" i="1"/>
  <c r="AH233" i="1"/>
  <c r="X234" i="1"/>
  <c r="AB234" i="1"/>
  <c r="AH234" i="1"/>
  <c r="X235" i="1"/>
  <c r="AB235" i="1"/>
  <c r="AH235" i="1"/>
  <c r="X236" i="1"/>
  <c r="AA236" i="1"/>
  <c r="AB236" i="1"/>
  <c r="AH236" i="1"/>
  <c r="S237" i="1"/>
  <c r="X237" i="1"/>
  <c r="AB237" i="1"/>
  <c r="AH237" i="1"/>
  <c r="X238" i="1"/>
  <c r="AB238" i="1"/>
  <c r="AH238" i="1"/>
  <c r="T239" i="1"/>
  <c r="X239" i="1"/>
  <c r="Z239" i="1"/>
  <c r="AB239" i="1"/>
  <c r="AH239" i="1"/>
  <c r="T240" i="1"/>
  <c r="X240" i="1"/>
  <c r="Z240" i="1"/>
  <c r="AB240" i="1"/>
  <c r="Y240" i="1"/>
  <c r="AH240" i="1"/>
  <c r="X241" i="1"/>
  <c r="AB241" i="1"/>
  <c r="AH241" i="1"/>
  <c r="X242" i="1"/>
  <c r="AB242" i="1"/>
  <c r="AH242" i="1"/>
  <c r="S243" i="1"/>
  <c r="X243" i="1"/>
  <c r="AB243" i="1"/>
  <c r="Y243" i="1"/>
  <c r="AH243" i="1"/>
  <c r="S244" i="1"/>
  <c r="X244" i="1"/>
  <c r="AB244" i="1"/>
  <c r="AH244" i="1"/>
  <c r="X245" i="1"/>
  <c r="AB245" i="1"/>
  <c r="AH245" i="1"/>
  <c r="X246" i="1"/>
  <c r="AB246" i="1"/>
  <c r="AH246" i="1"/>
  <c r="X247" i="1"/>
  <c r="AB247" i="1"/>
  <c r="AH247" i="1"/>
  <c r="X248" i="1"/>
  <c r="AB248" i="1"/>
  <c r="AH248" i="1"/>
  <c r="X249" i="1"/>
  <c r="AB249" i="1"/>
  <c r="AH249" i="1"/>
  <c r="X250" i="1"/>
  <c r="AB250" i="1"/>
  <c r="AH250" i="1"/>
  <c r="X251" i="1"/>
  <c r="AA251" i="1"/>
  <c r="AB251" i="1"/>
  <c r="AH251" i="1"/>
  <c r="S252" i="1"/>
  <c r="X252" i="1"/>
  <c r="AA252" i="1"/>
  <c r="AB252" i="1"/>
  <c r="AH252" i="1"/>
  <c r="X253" i="1"/>
  <c r="AA253" i="1"/>
  <c r="AB253" i="1"/>
  <c r="AH253" i="1"/>
  <c r="X254" i="1"/>
  <c r="AA254" i="1"/>
  <c r="AB254" i="1"/>
  <c r="AH254" i="1"/>
  <c r="X255" i="1"/>
  <c r="AA255" i="1"/>
  <c r="AB255" i="1"/>
  <c r="AH255" i="1"/>
  <c r="X256" i="1"/>
  <c r="AA256" i="1"/>
  <c r="AB256" i="1"/>
  <c r="AH256" i="1"/>
  <c r="X257" i="1"/>
  <c r="AA257" i="1"/>
  <c r="AB257" i="1"/>
  <c r="AH257" i="1"/>
  <c r="X258" i="1"/>
  <c r="AA258" i="1"/>
  <c r="AB258" i="1"/>
  <c r="AH258" i="1"/>
  <c r="X259" i="1"/>
  <c r="AA259" i="1"/>
  <c r="AB259" i="1"/>
  <c r="AH259" i="1"/>
  <c r="X260" i="1"/>
  <c r="AA260" i="1"/>
  <c r="AB260" i="1"/>
  <c r="AH260" i="1"/>
  <c r="X261" i="1"/>
  <c r="AA261" i="1"/>
  <c r="AB261" i="1"/>
  <c r="AH261" i="1"/>
  <c r="X262" i="1"/>
  <c r="AB262" i="1"/>
  <c r="AH262" i="1"/>
  <c r="X263" i="1"/>
  <c r="AB263" i="1"/>
  <c r="AH263" i="1"/>
  <c r="X264" i="1"/>
  <c r="AA264" i="1"/>
  <c r="AB264" i="1"/>
  <c r="AH264" i="1"/>
  <c r="S265" i="1"/>
  <c r="X265" i="1"/>
  <c r="AB265" i="1"/>
  <c r="AH265" i="1"/>
  <c r="X266" i="1"/>
  <c r="AH266" i="1"/>
  <c r="X267" i="1"/>
  <c r="AB267" i="1"/>
  <c r="AH267" i="1"/>
  <c r="X268" i="1"/>
  <c r="AH268" i="1"/>
  <c r="S269" i="1"/>
  <c r="X269" i="1"/>
  <c r="AB269" i="1"/>
  <c r="AH269" i="1"/>
  <c r="X270" i="1"/>
  <c r="AB270" i="1"/>
  <c r="AH270" i="1"/>
  <c r="X271" i="1"/>
  <c r="AB271" i="1"/>
  <c r="AH271" i="1"/>
  <c r="X272" i="1"/>
  <c r="AB272" i="1"/>
  <c r="AH272" i="1"/>
  <c r="X273" i="1"/>
  <c r="AB273" i="1"/>
  <c r="AH273" i="1"/>
  <c r="X274" i="1"/>
  <c r="AB274" i="1"/>
  <c r="AH274" i="1"/>
  <c r="X275" i="1"/>
  <c r="AB275" i="1"/>
  <c r="AH275" i="1"/>
  <c r="S276" i="1"/>
  <c r="X276" i="1"/>
  <c r="AB276" i="1"/>
  <c r="AH276" i="1"/>
  <c r="X277" i="1"/>
  <c r="AB277" i="1"/>
  <c r="AH277" i="1"/>
  <c r="X278" i="1"/>
  <c r="AB278" i="1"/>
  <c r="AH278" i="1"/>
  <c r="X279" i="1"/>
  <c r="AB279" i="1"/>
  <c r="AH279" i="1"/>
  <c r="X280" i="1"/>
  <c r="AB280" i="1"/>
  <c r="AH280" i="1"/>
  <c r="S281" i="1"/>
  <c r="X281" i="1"/>
  <c r="AB281" i="1"/>
  <c r="AH281" i="1"/>
  <c r="X282" i="1"/>
  <c r="AH282" i="1"/>
  <c r="X283" i="1"/>
  <c r="AH283" i="1"/>
  <c r="X284" i="1"/>
  <c r="AH284" i="1"/>
  <c r="X285" i="1"/>
  <c r="AH285" i="1"/>
  <c r="X286" i="1"/>
  <c r="AH286" i="1"/>
  <c r="X287" i="1"/>
  <c r="AH287" i="1"/>
  <c r="X288" i="1"/>
  <c r="AH288" i="1"/>
  <c r="X289" i="1"/>
  <c r="AH289" i="1"/>
  <c r="X290" i="1"/>
  <c r="AH290" i="1"/>
  <c r="X291" i="1"/>
  <c r="AB291" i="1"/>
  <c r="AH291" i="1"/>
  <c r="X292" i="1"/>
  <c r="AB292" i="1"/>
  <c r="AH292" i="1"/>
  <c r="X293" i="1"/>
  <c r="AB293" i="1"/>
  <c r="AH293" i="1"/>
  <c r="X294" i="1"/>
  <c r="AB294" i="1"/>
  <c r="AH294" i="1"/>
  <c r="X295" i="1"/>
  <c r="AB295" i="1"/>
  <c r="AH295" i="1"/>
  <c r="X296" i="1"/>
  <c r="AB296" i="1"/>
  <c r="AH296" i="1"/>
  <c r="S297" i="1"/>
  <c r="X297" i="1"/>
  <c r="AH297" i="1"/>
  <c r="X298" i="1"/>
  <c r="AB298" i="1"/>
  <c r="AH298" i="1"/>
  <c r="X299" i="1"/>
  <c r="AB299" i="1"/>
  <c r="AH299" i="1"/>
  <c r="X300" i="1"/>
  <c r="AB300" i="1"/>
  <c r="AH300" i="1"/>
  <c r="X301" i="1"/>
  <c r="AB301" i="1"/>
  <c r="AH301" i="1"/>
  <c r="X302" i="1"/>
  <c r="AB302" i="1"/>
  <c r="AH302" i="1"/>
  <c r="X303" i="1"/>
  <c r="AB303" i="1"/>
  <c r="AH303" i="1"/>
  <c r="X304" i="1"/>
  <c r="AB304" i="1"/>
  <c r="AH304" i="1"/>
  <c r="X305" i="1"/>
  <c r="AH305" i="1"/>
  <c r="X306" i="1"/>
  <c r="AH306" i="1"/>
  <c r="X307" i="1"/>
  <c r="AH307" i="1"/>
  <c r="X308" i="1"/>
  <c r="AB308" i="1"/>
  <c r="AH308" i="1"/>
  <c r="X309" i="1"/>
  <c r="AB309" i="1"/>
  <c r="AH309" i="1"/>
  <c r="X310" i="1"/>
  <c r="AB310" i="1"/>
  <c r="AH310" i="1"/>
  <c r="X311" i="1"/>
  <c r="AB311" i="1"/>
  <c r="AH311" i="1"/>
  <c r="S312" i="1"/>
  <c r="X312" i="1"/>
  <c r="AB312" i="1"/>
  <c r="AH312" i="1"/>
  <c r="X313" i="1"/>
  <c r="AH313" i="1"/>
  <c r="X314" i="1"/>
  <c r="AH314" i="1"/>
  <c r="X315" i="1"/>
  <c r="AH315" i="1"/>
  <c r="X316" i="1"/>
  <c r="AB316" i="1"/>
  <c r="AH316" i="1"/>
  <c r="X317" i="1"/>
  <c r="AH317" i="1"/>
  <c r="X318" i="1"/>
  <c r="AH318" i="1"/>
  <c r="X319" i="1"/>
  <c r="AB319" i="1"/>
  <c r="AH319" i="1"/>
  <c r="X320" i="1"/>
  <c r="AB320" i="1"/>
  <c r="AH320" i="1"/>
  <c r="X321" i="1"/>
  <c r="AB321" i="1"/>
  <c r="AH321" i="1"/>
  <c r="X322" i="1"/>
  <c r="AH322" i="1"/>
  <c r="X323" i="1"/>
  <c r="AB323" i="1"/>
  <c r="AH323" i="1"/>
  <c r="X324" i="1"/>
  <c r="AB324" i="1"/>
  <c r="AH324" i="1"/>
  <c r="S325" i="1"/>
  <c r="X325" i="1"/>
  <c r="AH325" i="1"/>
  <c r="AG219" i="1"/>
  <c r="I52" i="34"/>
  <c r="AA213" i="32"/>
  <c r="AA212" i="32"/>
  <c r="B4" i="34"/>
  <c r="C4" i="34"/>
  <c r="B5" i="34"/>
  <c r="C5" i="34"/>
  <c r="B6" i="34"/>
  <c r="C6" i="34"/>
  <c r="B7" i="34"/>
  <c r="C7" i="34"/>
  <c r="B8" i="34"/>
  <c r="C8" i="34"/>
  <c r="B9" i="34"/>
  <c r="C9" i="34"/>
  <c r="B10" i="34"/>
  <c r="C10" i="34"/>
  <c r="B11" i="34"/>
  <c r="C11" i="34"/>
  <c r="B17" i="34"/>
  <c r="C17" i="34"/>
  <c r="B18" i="34"/>
  <c r="C18" i="34"/>
  <c r="B19" i="34"/>
  <c r="C19" i="34"/>
  <c r="B20" i="34"/>
  <c r="C20" i="34"/>
  <c r="B21" i="34"/>
  <c r="C21" i="34"/>
  <c r="B22" i="34"/>
  <c r="C22" i="34"/>
  <c r="B23" i="34"/>
  <c r="C23" i="34"/>
  <c r="B24" i="34"/>
  <c r="C24" i="34"/>
  <c r="B25" i="34"/>
  <c r="C25" i="34"/>
  <c r="B26" i="34"/>
  <c r="C26" i="34"/>
  <c r="B27" i="34"/>
  <c r="C27" i="34"/>
  <c r="B28" i="34"/>
  <c r="C28" i="34"/>
  <c r="B34" i="34"/>
  <c r="C34" i="34"/>
  <c r="B35" i="34"/>
  <c r="C35" i="34"/>
  <c r="B36" i="34"/>
  <c r="C36" i="34"/>
  <c r="B37" i="34"/>
  <c r="C37" i="34"/>
  <c r="B38" i="34"/>
  <c r="C38" i="34"/>
  <c r="B39" i="34"/>
  <c r="C39" i="34"/>
  <c r="B40" i="34"/>
  <c r="C40" i="34"/>
  <c r="B41" i="34"/>
  <c r="C41" i="34"/>
  <c r="B42" i="34"/>
  <c r="C42" i="34"/>
  <c r="B43" i="34"/>
  <c r="C43" i="34"/>
  <c r="B44" i="34"/>
  <c r="C44" i="34"/>
  <c r="B45" i="34"/>
  <c r="C45" i="34"/>
  <c r="AD2" i="1"/>
  <c r="AF2" i="1"/>
  <c r="AD3" i="1"/>
  <c r="AF3" i="1"/>
  <c r="AD4" i="1"/>
  <c r="AF4" i="1"/>
  <c r="AD5" i="1"/>
  <c r="AF5" i="1"/>
  <c r="AD6" i="1"/>
  <c r="AF6" i="1"/>
  <c r="AD7" i="1"/>
  <c r="AF7" i="1"/>
  <c r="AD8" i="1"/>
  <c r="AF8" i="1"/>
  <c r="AD9" i="1"/>
  <c r="AF9" i="1"/>
  <c r="AD10" i="1"/>
  <c r="AF10" i="1"/>
  <c r="AD11" i="1"/>
  <c r="AF11" i="1"/>
  <c r="AD12" i="1"/>
  <c r="AF12" i="1"/>
  <c r="AD13" i="1"/>
  <c r="AF13" i="1"/>
  <c r="AD14" i="1"/>
  <c r="AF14" i="1"/>
  <c r="AD15" i="1"/>
  <c r="AF15" i="1"/>
  <c r="AD16" i="1"/>
  <c r="AF16" i="1"/>
  <c r="AD17" i="1"/>
  <c r="AF17" i="1"/>
  <c r="AD18" i="1"/>
  <c r="AF18" i="1"/>
  <c r="AD19" i="1"/>
  <c r="AF19" i="1"/>
  <c r="AD20" i="1"/>
  <c r="AF20" i="1"/>
  <c r="AD21" i="1"/>
  <c r="AF21" i="1"/>
  <c r="AD22" i="1"/>
  <c r="AF22" i="1"/>
  <c r="AD23" i="1"/>
  <c r="AF23" i="1"/>
  <c r="AD24" i="1"/>
  <c r="AF24" i="1"/>
  <c r="AD25" i="1"/>
  <c r="AF25" i="1"/>
  <c r="AD26" i="1"/>
  <c r="AF26" i="1"/>
  <c r="AD27" i="1"/>
  <c r="AF27" i="1"/>
  <c r="AD28" i="1"/>
  <c r="AF28" i="1"/>
  <c r="AD29" i="1"/>
  <c r="AF29" i="1"/>
  <c r="AD30" i="1"/>
  <c r="AF30" i="1"/>
  <c r="AD31" i="1"/>
  <c r="AF31" i="1"/>
  <c r="AD32" i="1"/>
  <c r="AF32" i="1"/>
  <c r="AD33" i="1"/>
  <c r="AF33" i="1"/>
  <c r="AD34" i="1"/>
  <c r="AF34" i="1"/>
  <c r="AD35" i="1"/>
  <c r="AF35" i="1"/>
  <c r="AD36" i="1"/>
  <c r="AF36" i="1"/>
  <c r="AD37" i="1"/>
  <c r="AF37" i="1"/>
  <c r="AD38" i="1"/>
  <c r="AF38" i="1"/>
  <c r="AD39" i="1"/>
  <c r="AF39" i="1"/>
  <c r="AD40" i="1"/>
  <c r="AF40" i="1"/>
  <c r="AD41" i="1"/>
  <c r="AF41" i="1"/>
  <c r="AD42" i="1"/>
  <c r="AF42" i="1"/>
  <c r="AD43" i="1"/>
  <c r="AF43" i="1"/>
  <c r="AD44" i="1"/>
  <c r="AF44" i="1"/>
  <c r="AD45" i="1"/>
  <c r="AF45" i="1"/>
  <c r="AD46" i="1"/>
  <c r="AF46" i="1"/>
  <c r="AD47" i="1"/>
  <c r="AF47" i="1"/>
  <c r="AD48" i="1"/>
  <c r="AF48" i="1"/>
  <c r="AD49" i="1"/>
  <c r="AF49" i="1"/>
  <c r="AD50" i="1"/>
  <c r="AF50" i="1"/>
  <c r="AD51" i="1"/>
  <c r="AF51" i="1"/>
  <c r="AD52" i="1"/>
  <c r="AF52" i="1"/>
  <c r="AD53" i="1"/>
  <c r="AF53" i="1"/>
  <c r="AD54" i="1"/>
  <c r="AF54" i="1"/>
  <c r="AD55" i="1"/>
  <c r="AF55" i="1"/>
  <c r="AD56" i="1"/>
  <c r="AF56" i="1"/>
  <c r="AD57" i="1"/>
  <c r="AF57" i="1"/>
  <c r="AD58" i="1"/>
  <c r="AF58" i="1"/>
  <c r="AD59" i="1"/>
  <c r="AF59" i="1"/>
  <c r="AD60" i="1"/>
  <c r="AF60" i="1"/>
  <c r="AD61" i="1"/>
  <c r="AF61" i="1"/>
  <c r="AD62" i="1"/>
  <c r="AF62" i="1"/>
  <c r="AD63" i="1"/>
  <c r="AF63" i="1"/>
  <c r="AD64" i="1"/>
  <c r="AF64" i="1"/>
  <c r="AD65" i="1"/>
  <c r="AF65" i="1"/>
  <c r="AD66" i="1"/>
  <c r="AF66" i="1"/>
  <c r="AD67" i="1"/>
  <c r="AF67" i="1"/>
  <c r="AD68" i="1"/>
  <c r="AF68" i="1"/>
  <c r="AD69" i="1"/>
  <c r="AF69" i="1"/>
  <c r="AD70" i="1"/>
  <c r="AF70" i="1"/>
  <c r="AD71" i="1"/>
  <c r="AF71" i="1"/>
  <c r="AD72" i="1"/>
  <c r="AF72" i="1"/>
  <c r="AD73" i="1"/>
  <c r="AF73" i="1"/>
  <c r="AD74" i="1"/>
  <c r="AF74" i="1"/>
  <c r="AD75" i="1"/>
  <c r="AF75" i="1"/>
  <c r="AD76" i="1"/>
  <c r="AF76" i="1"/>
  <c r="AD77" i="1"/>
  <c r="AF77" i="1"/>
  <c r="AD78" i="1"/>
  <c r="AF78" i="1"/>
  <c r="AD79" i="1"/>
  <c r="AF79" i="1"/>
  <c r="AD80" i="1"/>
  <c r="AF80" i="1"/>
  <c r="AD81" i="1"/>
  <c r="AF81" i="1"/>
  <c r="AD82" i="1"/>
  <c r="AF82" i="1"/>
  <c r="AD83" i="1"/>
  <c r="AF83" i="1"/>
  <c r="AD84" i="1"/>
  <c r="AF84" i="1"/>
  <c r="AD85" i="1"/>
  <c r="AF85" i="1"/>
  <c r="AD86" i="1"/>
  <c r="AF86" i="1"/>
  <c r="AD87" i="1"/>
  <c r="AF87" i="1"/>
  <c r="AD88" i="1"/>
  <c r="AF88" i="1"/>
  <c r="AD89" i="1"/>
  <c r="AF89" i="1"/>
  <c r="AD90" i="1"/>
  <c r="AF90" i="1"/>
  <c r="AD91" i="1"/>
  <c r="AF91" i="1"/>
  <c r="AD92" i="1"/>
  <c r="AF92" i="1"/>
  <c r="AD93" i="1"/>
  <c r="AF93" i="1"/>
  <c r="AD94" i="1"/>
  <c r="AF94" i="1"/>
  <c r="AD95" i="1"/>
  <c r="AF95" i="1"/>
  <c r="AD96" i="1"/>
  <c r="AF96" i="1"/>
  <c r="AD97" i="1"/>
  <c r="AF97" i="1"/>
  <c r="AD98" i="1"/>
  <c r="AF98" i="1"/>
  <c r="AD99" i="1"/>
  <c r="AF99" i="1"/>
  <c r="AD100" i="1"/>
  <c r="AF100" i="1"/>
  <c r="AD101" i="1"/>
  <c r="AF101" i="1"/>
  <c r="AD102" i="1"/>
  <c r="AF102" i="1"/>
  <c r="AD103" i="1"/>
  <c r="AF103" i="1"/>
  <c r="AD104" i="1"/>
  <c r="AF104" i="1"/>
  <c r="AD105" i="1"/>
  <c r="AF105" i="1"/>
  <c r="AD106" i="1"/>
  <c r="AF106" i="1"/>
  <c r="AD107" i="1"/>
  <c r="AF107" i="1"/>
  <c r="AD108" i="1"/>
  <c r="AF108" i="1"/>
  <c r="AD109" i="1"/>
  <c r="AF109" i="1"/>
  <c r="AD110" i="1"/>
  <c r="AF110" i="1"/>
  <c r="AD111" i="1"/>
  <c r="AF111" i="1"/>
  <c r="AD112" i="1"/>
  <c r="AF112" i="1"/>
  <c r="AD113" i="1"/>
  <c r="AF113" i="1"/>
  <c r="AD114" i="1"/>
  <c r="AF114" i="1"/>
  <c r="AD115" i="1"/>
  <c r="AF115" i="1"/>
  <c r="AD116" i="1"/>
  <c r="AF116" i="1"/>
  <c r="AD117" i="1"/>
  <c r="AF117" i="1"/>
  <c r="AD118" i="1"/>
  <c r="AF118" i="1"/>
  <c r="AD119" i="1"/>
  <c r="AF119" i="1"/>
  <c r="AD120" i="1"/>
  <c r="AF120" i="1"/>
  <c r="AD121" i="1"/>
  <c r="AF121" i="1"/>
  <c r="AD122" i="1"/>
  <c r="AF122" i="1"/>
  <c r="AD123" i="1"/>
  <c r="AF123" i="1"/>
  <c r="AD124" i="1"/>
  <c r="AF124" i="1"/>
  <c r="AD125" i="1"/>
  <c r="AF125" i="1"/>
  <c r="AD126" i="1"/>
  <c r="AF126" i="1"/>
  <c r="AD127" i="1"/>
  <c r="AF127" i="1"/>
  <c r="AD128" i="1"/>
  <c r="AF128" i="1"/>
  <c r="AD129" i="1"/>
  <c r="AF129" i="1"/>
  <c r="AD130" i="1"/>
  <c r="AF130" i="1"/>
  <c r="AD131" i="1"/>
  <c r="AF131" i="1"/>
  <c r="AD132" i="1"/>
  <c r="AF132" i="1"/>
  <c r="AD133" i="1"/>
  <c r="AF133" i="1"/>
  <c r="AD134" i="1"/>
  <c r="AF134" i="1"/>
  <c r="AD135" i="1"/>
  <c r="AF135" i="1"/>
  <c r="AD136" i="1"/>
  <c r="AF136" i="1"/>
  <c r="AD137" i="1"/>
  <c r="AF137" i="1"/>
  <c r="AD138" i="1"/>
  <c r="AF138" i="1"/>
  <c r="AD139" i="1"/>
  <c r="AF139" i="1"/>
  <c r="AD140" i="1"/>
  <c r="AF140" i="1"/>
  <c r="AD141" i="1"/>
  <c r="AF141" i="1"/>
  <c r="AD142" i="1"/>
  <c r="AF142" i="1"/>
  <c r="AD143" i="1"/>
  <c r="AF143" i="1"/>
  <c r="AD144" i="1"/>
  <c r="AF144" i="1"/>
  <c r="AD145" i="1"/>
  <c r="AF145" i="1"/>
  <c r="AD146" i="1"/>
  <c r="AF146" i="1"/>
  <c r="AD147" i="1"/>
  <c r="AF147" i="1"/>
  <c r="AD148" i="1"/>
  <c r="AF148" i="1"/>
  <c r="AD149" i="1"/>
  <c r="AF149" i="1"/>
  <c r="AD150" i="1"/>
  <c r="AF150" i="1"/>
  <c r="AD151" i="1"/>
  <c r="AF151" i="1"/>
  <c r="AD152" i="1"/>
  <c r="AF152" i="1"/>
  <c r="AD153" i="1"/>
  <c r="AF153" i="1"/>
  <c r="AD154" i="1"/>
  <c r="AF154" i="1"/>
  <c r="AD155" i="1"/>
  <c r="AF155" i="1"/>
  <c r="AD156" i="1"/>
  <c r="AF156" i="1"/>
  <c r="AD157" i="1"/>
  <c r="AF157" i="1"/>
  <c r="AD158" i="1"/>
  <c r="AF158" i="1"/>
  <c r="AD159" i="1"/>
  <c r="AF159" i="1"/>
  <c r="AD160" i="1"/>
  <c r="AF160" i="1"/>
  <c r="AD161" i="1"/>
  <c r="AF161" i="1"/>
  <c r="AD162" i="1"/>
  <c r="AF162" i="1"/>
  <c r="AD163" i="1"/>
  <c r="AF163" i="1"/>
  <c r="AD164" i="1"/>
  <c r="AF164" i="1"/>
  <c r="AD165" i="1"/>
  <c r="AF165" i="1"/>
  <c r="AD166" i="1"/>
  <c r="AF166" i="1"/>
  <c r="AD167" i="1"/>
  <c r="AF167" i="1"/>
  <c r="AD168" i="1"/>
  <c r="AF168" i="1"/>
  <c r="AD169" i="1"/>
  <c r="AF169" i="1"/>
  <c r="AD170" i="1"/>
  <c r="AF170" i="1"/>
  <c r="AD171" i="1"/>
  <c r="AF171" i="1"/>
  <c r="AD172" i="1"/>
  <c r="AF172" i="1"/>
  <c r="AD173" i="1"/>
  <c r="AF173" i="1"/>
  <c r="AD174" i="1"/>
  <c r="AF174" i="1"/>
  <c r="AD175" i="1"/>
  <c r="AF175" i="1"/>
  <c r="AD176" i="1"/>
  <c r="AF176" i="1"/>
  <c r="AD177" i="1"/>
  <c r="AF177" i="1"/>
  <c r="AD178" i="1"/>
  <c r="AF178" i="1"/>
  <c r="AD179" i="1"/>
  <c r="AF179" i="1"/>
  <c r="AD180" i="1"/>
  <c r="AF180" i="1"/>
  <c r="AD181" i="1"/>
  <c r="AF181" i="1"/>
  <c r="AD182" i="1"/>
  <c r="AF182" i="1"/>
  <c r="AD183" i="1"/>
  <c r="AF183" i="1"/>
  <c r="AD184" i="1"/>
  <c r="AF184" i="1"/>
  <c r="AD185" i="1"/>
  <c r="AF185" i="1"/>
  <c r="AD186" i="1"/>
  <c r="AF186" i="1"/>
  <c r="AD187" i="1"/>
  <c r="AF187" i="1"/>
  <c r="AD188" i="1"/>
  <c r="AF188" i="1"/>
  <c r="AD189" i="1"/>
  <c r="AF189" i="1"/>
  <c r="AD190" i="1"/>
  <c r="AF190" i="1"/>
  <c r="AD191" i="1"/>
  <c r="AF191" i="1"/>
  <c r="AD192" i="1"/>
  <c r="AF192" i="1"/>
  <c r="AD193" i="1"/>
  <c r="AF193" i="1"/>
  <c r="AD194" i="1"/>
  <c r="AF194" i="1"/>
  <c r="AD195" i="1"/>
  <c r="AF195" i="1"/>
  <c r="AD196" i="1"/>
  <c r="AF196" i="1"/>
  <c r="AD197" i="1"/>
  <c r="AF197" i="1"/>
  <c r="AD198" i="1"/>
  <c r="AF198" i="1"/>
  <c r="AD199" i="1"/>
  <c r="AF199" i="1"/>
  <c r="AD200" i="1"/>
  <c r="AF200" i="1"/>
  <c r="AD201" i="1"/>
  <c r="AF201" i="1"/>
  <c r="AD202" i="1"/>
  <c r="AF202" i="1"/>
  <c r="AD203" i="1"/>
  <c r="AF203" i="1"/>
  <c r="AD204" i="1"/>
  <c r="AF204" i="1"/>
  <c r="AD205" i="1"/>
  <c r="AF205" i="1"/>
  <c r="AD206" i="1"/>
  <c r="AF206" i="1"/>
  <c r="AD207" i="1"/>
  <c r="AF207" i="1"/>
  <c r="AD208" i="1"/>
  <c r="AF208" i="1"/>
  <c r="AD209" i="1"/>
  <c r="AF209" i="1"/>
  <c r="AD210" i="1"/>
  <c r="AF210" i="1"/>
  <c r="AD211" i="1"/>
  <c r="AF211" i="1"/>
  <c r="AD212" i="1"/>
  <c r="AF212" i="1"/>
  <c r="AD213" i="1"/>
  <c r="AF213" i="1"/>
  <c r="AD214" i="1"/>
  <c r="AF214" i="1"/>
  <c r="AD215" i="1"/>
  <c r="AF215" i="1"/>
  <c r="AD216" i="1"/>
  <c r="AF216" i="1"/>
  <c r="AD217" i="1"/>
  <c r="AF217" i="1"/>
  <c r="AD218" i="1"/>
  <c r="AF218" i="1"/>
  <c r="AD219" i="1"/>
  <c r="AF219" i="1"/>
  <c r="AD220" i="1"/>
  <c r="AF220" i="1"/>
  <c r="AD221" i="1"/>
  <c r="AF221" i="1"/>
  <c r="AD222" i="1"/>
  <c r="AF222" i="1"/>
  <c r="AD223" i="1"/>
  <c r="AF223" i="1"/>
  <c r="AD224" i="1"/>
  <c r="AF224" i="1"/>
  <c r="AD225" i="1"/>
  <c r="AF225" i="1"/>
  <c r="AD226" i="1"/>
  <c r="AF226" i="1"/>
  <c r="AD227" i="1"/>
  <c r="AF227" i="1"/>
  <c r="AD228" i="1"/>
  <c r="AF228" i="1"/>
  <c r="AD229" i="1"/>
  <c r="AF229" i="1"/>
  <c r="AD230" i="1"/>
  <c r="AF230" i="1"/>
  <c r="AD231" i="1"/>
  <c r="AF231" i="1"/>
  <c r="AD232" i="1"/>
  <c r="AF232" i="1"/>
  <c r="AD233" i="1"/>
  <c r="AF233" i="1"/>
  <c r="AD234" i="1"/>
  <c r="AF234" i="1"/>
  <c r="AD235" i="1"/>
  <c r="AF235" i="1"/>
  <c r="AD236" i="1"/>
  <c r="AF236" i="1"/>
  <c r="AD237" i="1"/>
  <c r="AF237" i="1"/>
  <c r="AD238" i="1"/>
  <c r="AF238" i="1"/>
  <c r="AD239" i="1"/>
  <c r="AF239" i="1"/>
  <c r="AD240" i="1"/>
  <c r="AF240" i="1"/>
  <c r="AD241" i="1"/>
  <c r="AF241" i="1"/>
  <c r="AD242" i="1"/>
  <c r="AF242" i="1"/>
  <c r="AD243" i="1"/>
  <c r="AF243" i="1"/>
  <c r="AD244" i="1"/>
  <c r="AF244" i="1"/>
  <c r="AD245" i="1"/>
  <c r="AF245" i="1"/>
  <c r="AD246" i="1"/>
  <c r="AF246" i="1"/>
  <c r="AD247" i="1"/>
  <c r="AF247" i="1"/>
  <c r="AD248" i="1"/>
  <c r="AF248" i="1"/>
  <c r="AD249" i="1"/>
  <c r="AF249" i="1"/>
  <c r="AD250" i="1"/>
  <c r="AF250" i="1"/>
  <c r="AD251" i="1"/>
  <c r="AF251" i="1"/>
  <c r="AD252" i="1"/>
  <c r="AF252" i="1"/>
  <c r="AD253" i="1"/>
  <c r="AF253" i="1"/>
  <c r="AD254" i="1"/>
  <c r="AF254" i="1"/>
  <c r="AD255" i="1"/>
  <c r="AF255" i="1"/>
  <c r="AD256" i="1"/>
  <c r="AF256" i="1"/>
  <c r="AD257" i="1"/>
  <c r="AF257" i="1"/>
  <c r="AD258" i="1"/>
  <c r="AF258" i="1"/>
  <c r="AD259" i="1"/>
  <c r="AF259" i="1"/>
  <c r="AD260" i="1"/>
  <c r="AF260" i="1"/>
  <c r="AD261" i="1"/>
  <c r="AF261" i="1"/>
  <c r="AD262" i="1"/>
  <c r="AF262" i="1"/>
  <c r="AD263" i="1"/>
  <c r="AF263" i="1"/>
  <c r="AD264" i="1"/>
  <c r="AF264" i="1"/>
  <c r="AD265" i="1"/>
  <c r="AF265" i="1"/>
  <c r="AD266" i="1"/>
  <c r="AF266" i="1"/>
  <c r="AD267" i="1"/>
  <c r="AF267" i="1"/>
  <c r="AD268" i="1"/>
  <c r="AF268" i="1"/>
  <c r="AD269" i="1"/>
  <c r="AF269" i="1"/>
  <c r="AD270" i="1"/>
  <c r="AF270" i="1"/>
  <c r="AD271" i="1"/>
  <c r="AF271" i="1"/>
  <c r="AD272" i="1"/>
  <c r="AF272" i="1"/>
  <c r="AD273" i="1"/>
  <c r="AF273" i="1"/>
  <c r="AD274" i="1"/>
  <c r="AF274" i="1"/>
  <c r="AD275" i="1"/>
  <c r="AF275" i="1"/>
  <c r="AD276" i="1"/>
  <c r="AF276" i="1"/>
  <c r="AD277" i="1"/>
  <c r="AF277" i="1"/>
  <c r="AD278" i="1"/>
  <c r="AF278" i="1"/>
  <c r="AD279" i="1"/>
  <c r="AF279" i="1"/>
  <c r="AD280" i="1"/>
  <c r="AF280" i="1"/>
  <c r="AD281" i="1"/>
  <c r="AF281" i="1"/>
  <c r="AD282" i="1"/>
  <c r="AF282" i="1"/>
  <c r="AD283" i="1"/>
  <c r="AF283" i="1"/>
  <c r="AD284" i="1"/>
  <c r="AF284" i="1"/>
  <c r="AD285" i="1"/>
  <c r="AF285" i="1"/>
  <c r="AD286" i="1"/>
  <c r="AF286" i="1"/>
  <c r="AD287" i="1"/>
  <c r="AF287" i="1"/>
  <c r="AD288" i="1"/>
  <c r="AF288" i="1"/>
  <c r="AD289" i="1"/>
  <c r="AF289" i="1"/>
  <c r="AD290" i="1"/>
  <c r="AF290" i="1"/>
  <c r="AD291" i="1"/>
  <c r="AF291" i="1"/>
  <c r="AD292" i="1"/>
  <c r="AF292" i="1"/>
  <c r="AD293" i="1"/>
  <c r="AF293" i="1"/>
  <c r="AD294" i="1"/>
  <c r="AF294" i="1"/>
  <c r="AD295" i="1"/>
  <c r="AF295" i="1"/>
  <c r="AD296" i="1"/>
  <c r="AF296" i="1"/>
  <c r="AD297" i="1"/>
  <c r="AF297" i="1"/>
  <c r="AD298" i="1"/>
  <c r="AF298" i="1"/>
  <c r="AD299" i="1"/>
  <c r="AF299" i="1"/>
  <c r="AD300" i="1"/>
  <c r="AF300" i="1"/>
  <c r="AD301" i="1"/>
  <c r="AF301" i="1"/>
  <c r="AD302" i="1"/>
  <c r="AF302" i="1"/>
  <c r="AD303" i="1"/>
  <c r="AF303" i="1"/>
  <c r="AD304" i="1"/>
  <c r="AF304" i="1"/>
  <c r="AD305" i="1"/>
  <c r="AF305" i="1"/>
  <c r="AD306" i="1"/>
  <c r="AF306" i="1"/>
  <c r="AD307" i="1"/>
  <c r="AF307" i="1"/>
  <c r="AD308" i="1"/>
  <c r="AF308" i="1"/>
  <c r="AD309" i="1"/>
  <c r="AF309" i="1"/>
  <c r="AD310" i="1"/>
  <c r="AF310" i="1"/>
  <c r="AD311" i="1"/>
  <c r="AF311" i="1"/>
  <c r="AD312" i="1"/>
  <c r="AF312" i="1"/>
  <c r="AD313" i="1"/>
  <c r="AF313" i="1"/>
  <c r="AD314" i="1"/>
  <c r="AF314" i="1"/>
  <c r="AD315" i="1"/>
  <c r="AF315" i="1"/>
  <c r="AD316" i="1"/>
  <c r="AF316" i="1"/>
  <c r="AD317" i="1"/>
  <c r="AF317" i="1"/>
  <c r="AD318" i="1"/>
  <c r="AF318" i="1"/>
  <c r="AD319" i="1"/>
  <c r="AF319" i="1"/>
  <c r="AD320" i="1"/>
  <c r="AF320" i="1"/>
  <c r="AD321" i="1"/>
  <c r="AF321" i="1"/>
  <c r="AD322" i="1"/>
  <c r="AF322" i="1"/>
  <c r="AD323" i="1"/>
  <c r="AF323" i="1"/>
  <c r="AD324" i="1"/>
  <c r="AF324" i="1"/>
  <c r="AD325" i="1"/>
  <c r="AF325" i="1"/>
  <c r="AE219" i="1"/>
  <c r="B52" i="34"/>
  <c r="X207" i="32"/>
  <c r="AB207" i="32"/>
  <c r="AD207" i="32"/>
  <c r="AF207" i="32"/>
  <c r="X208" i="32"/>
  <c r="AB208" i="32"/>
  <c r="AD208" i="32"/>
  <c r="AF208" i="32"/>
  <c r="AB209" i="32"/>
  <c r="AD209" i="32"/>
  <c r="X209" i="32"/>
  <c r="AF209" i="32"/>
  <c r="X210" i="32"/>
  <c r="AB210" i="32"/>
  <c r="AD210" i="32"/>
  <c r="AF210" i="32"/>
  <c r="AB211" i="32"/>
  <c r="AD211" i="32"/>
  <c r="X211" i="32"/>
  <c r="AF211" i="32"/>
  <c r="AB212" i="32"/>
  <c r="AD212" i="32"/>
  <c r="X212" i="32"/>
  <c r="AF212" i="32"/>
  <c r="X213" i="32"/>
  <c r="AB213" i="32"/>
  <c r="AD213" i="32"/>
  <c r="AF213" i="32"/>
  <c r="AB215" i="32"/>
  <c r="AD215" i="32"/>
  <c r="X215" i="32"/>
  <c r="AF215" i="32"/>
  <c r="AB214" i="32"/>
  <c r="AD214" i="32"/>
  <c r="X214" i="32"/>
  <c r="AF214" i="32"/>
  <c r="X177" i="32"/>
  <c r="AB177" i="32"/>
  <c r="AD177" i="32"/>
  <c r="AF177" i="32"/>
  <c r="X178" i="32"/>
  <c r="AD178" i="32"/>
  <c r="AF178" i="32"/>
  <c r="X179" i="32"/>
  <c r="AB179" i="32"/>
  <c r="AD179" i="32"/>
  <c r="AF179" i="32"/>
  <c r="X180" i="32"/>
  <c r="AB180" i="32"/>
  <c r="AD180" i="32"/>
  <c r="AF180" i="32"/>
  <c r="X181" i="32"/>
  <c r="AB181" i="32"/>
  <c r="AD181" i="32"/>
  <c r="AF181" i="32"/>
  <c r="S182" i="32"/>
  <c r="X182" i="32"/>
  <c r="AB182" i="32"/>
  <c r="AD182" i="32"/>
  <c r="AF182" i="32"/>
  <c r="S183" i="32"/>
  <c r="X183" i="32"/>
  <c r="AB183" i="32"/>
  <c r="AD183" i="32"/>
  <c r="AF183" i="32"/>
  <c r="X184" i="32"/>
  <c r="AB184" i="32"/>
  <c r="AD184" i="32"/>
  <c r="AF184" i="32"/>
  <c r="X185" i="32"/>
  <c r="AB185" i="32"/>
  <c r="AD185" i="32"/>
  <c r="AF185" i="32"/>
  <c r="X186" i="32"/>
  <c r="AB186" i="32"/>
  <c r="AD186" i="32"/>
  <c r="AF186" i="32"/>
  <c r="X187" i="32"/>
  <c r="AB187" i="32"/>
  <c r="AD187" i="32"/>
  <c r="AF187" i="32"/>
  <c r="X188" i="32"/>
  <c r="AB188" i="32"/>
  <c r="AD188" i="32"/>
  <c r="AF188" i="32"/>
  <c r="X189" i="32"/>
  <c r="AA189" i="32"/>
  <c r="AB189" i="32"/>
  <c r="AD189" i="32"/>
  <c r="AF189" i="32"/>
  <c r="X190" i="32"/>
  <c r="AB190" i="32"/>
  <c r="AD190" i="32"/>
  <c r="AF190" i="32"/>
  <c r="X191" i="32"/>
  <c r="AB191" i="32"/>
  <c r="AD191" i="32"/>
  <c r="AF191" i="32"/>
  <c r="X192" i="32"/>
  <c r="AB192" i="32"/>
  <c r="AD192" i="32"/>
  <c r="AF192" i="32"/>
  <c r="X193" i="32"/>
  <c r="AB193" i="32"/>
  <c r="AD193" i="32"/>
  <c r="AF193" i="32"/>
  <c r="X194" i="32"/>
  <c r="AB194" i="32"/>
  <c r="AD194" i="32"/>
  <c r="AF194" i="32"/>
  <c r="X195" i="32"/>
  <c r="AB195" i="32"/>
  <c r="AD195" i="32"/>
  <c r="AF195" i="32"/>
  <c r="X196" i="32"/>
  <c r="AB196" i="32"/>
  <c r="AD196" i="32"/>
  <c r="AF196" i="32"/>
  <c r="X197" i="32"/>
  <c r="AB197" i="32"/>
  <c r="AD197" i="32"/>
  <c r="AF197" i="32"/>
  <c r="X198" i="32"/>
  <c r="AB198" i="32"/>
  <c r="AD198" i="32"/>
  <c r="AF198" i="32"/>
  <c r="X199" i="32"/>
  <c r="AB199" i="32"/>
  <c r="AD199" i="32"/>
  <c r="AF199" i="32"/>
  <c r="X200" i="32"/>
  <c r="AB200" i="32"/>
  <c r="AD200" i="32"/>
  <c r="AF200" i="32"/>
  <c r="X201" i="32"/>
  <c r="AB201" i="32"/>
  <c r="AD201" i="32"/>
  <c r="AF201" i="32"/>
  <c r="X202" i="32"/>
  <c r="AB202" i="32"/>
  <c r="AD202" i="32"/>
  <c r="AF202" i="32"/>
  <c r="X203" i="32"/>
  <c r="AB203" i="32"/>
  <c r="AD203" i="32"/>
  <c r="AF203" i="32"/>
  <c r="AB204" i="32"/>
  <c r="AD204" i="32"/>
  <c r="X204" i="32"/>
  <c r="AF204" i="32"/>
  <c r="AB205" i="32"/>
  <c r="AD205" i="32"/>
  <c r="X205" i="32"/>
  <c r="AF205" i="32"/>
  <c r="AB206" i="32"/>
  <c r="AD206" i="32"/>
  <c r="X206" i="32"/>
  <c r="AF206" i="32"/>
  <c r="AB2" i="32"/>
  <c r="AD2" i="32"/>
  <c r="X2" i="32"/>
  <c r="AF2" i="32"/>
  <c r="AB3" i="32"/>
  <c r="AD3" i="32"/>
  <c r="S3" i="32"/>
  <c r="X3" i="32"/>
  <c r="AF3" i="32"/>
  <c r="AB4" i="32"/>
  <c r="AD4" i="32"/>
  <c r="X4" i="32"/>
  <c r="AF4" i="32"/>
  <c r="AB5" i="32"/>
  <c r="AD5" i="32"/>
  <c r="X5" i="32"/>
  <c r="AF5" i="32"/>
  <c r="AB6" i="32"/>
  <c r="AD6" i="32"/>
  <c r="X6" i="32"/>
  <c r="AF6" i="32"/>
  <c r="AB7" i="32"/>
  <c r="AD7" i="32"/>
  <c r="X7" i="32"/>
  <c r="AF7" i="32"/>
  <c r="AB8" i="32"/>
  <c r="AD8" i="32"/>
  <c r="X8" i="32"/>
  <c r="AF8" i="32"/>
  <c r="AB9" i="32"/>
  <c r="AD9" i="32"/>
  <c r="X9" i="32"/>
  <c r="AF9" i="32"/>
  <c r="AB10" i="32"/>
  <c r="AD10" i="32"/>
  <c r="X10" i="32"/>
  <c r="AF10" i="32"/>
  <c r="Z11" i="32"/>
  <c r="AB11" i="32"/>
  <c r="AD11" i="32"/>
  <c r="X11" i="32"/>
  <c r="AF11" i="32"/>
  <c r="Z12" i="32"/>
  <c r="AB12" i="32"/>
  <c r="AD12" i="32"/>
  <c r="X12" i="32"/>
  <c r="AF12" i="32"/>
  <c r="AB13" i="32"/>
  <c r="AD13" i="32"/>
  <c r="X13" i="32"/>
  <c r="AF13" i="32"/>
  <c r="Y14" i="32"/>
  <c r="Z14" i="32"/>
  <c r="AB14" i="32"/>
  <c r="AD14" i="32"/>
  <c r="X14" i="32"/>
  <c r="AF14" i="32"/>
  <c r="AB15" i="32"/>
  <c r="AD15" i="32"/>
  <c r="X15" i="32"/>
  <c r="AF15" i="32"/>
  <c r="AB16" i="32"/>
  <c r="AD16" i="32"/>
  <c r="S16" i="32"/>
  <c r="X16" i="32"/>
  <c r="AF16" i="32"/>
  <c r="AB17" i="32"/>
  <c r="AD17" i="32"/>
  <c r="X17" i="32"/>
  <c r="AF17" i="32"/>
  <c r="AB18" i="32"/>
  <c r="AD18" i="32"/>
  <c r="X18" i="32"/>
  <c r="AF18" i="32"/>
  <c r="AB19" i="32"/>
  <c r="AD19" i="32"/>
  <c r="X19" i="32"/>
  <c r="AF19" i="32"/>
  <c r="Z20" i="32"/>
  <c r="AB20" i="32"/>
  <c r="AD20" i="32"/>
  <c r="X20" i="32"/>
  <c r="AF20" i="32"/>
  <c r="AB21" i="32"/>
  <c r="AD21" i="32"/>
  <c r="X21" i="32"/>
  <c r="AF21" i="32"/>
  <c r="AB22" i="32"/>
  <c r="AD22" i="32"/>
  <c r="X22" i="32"/>
  <c r="AF22" i="32"/>
  <c r="AB23" i="32"/>
  <c r="AD23" i="32"/>
  <c r="X23" i="32"/>
  <c r="AF23" i="32"/>
  <c r="AB24" i="32"/>
  <c r="AD24" i="32"/>
  <c r="X24" i="32"/>
  <c r="AF24" i="32"/>
  <c r="AB25" i="32"/>
  <c r="AD25" i="32"/>
  <c r="X25" i="32"/>
  <c r="AF25" i="32"/>
  <c r="AB26" i="32"/>
  <c r="AD26" i="32"/>
  <c r="X26" i="32"/>
  <c r="AF26" i="32"/>
  <c r="AB27" i="32"/>
  <c r="AD27" i="32"/>
  <c r="X27" i="32"/>
  <c r="AF27" i="32"/>
  <c r="Z28" i="32"/>
  <c r="AB28" i="32"/>
  <c r="AD28" i="32"/>
  <c r="X28" i="32"/>
  <c r="AF28" i="32"/>
  <c r="Z29" i="32"/>
  <c r="AB29" i="32"/>
  <c r="AD29" i="32"/>
  <c r="S29" i="32"/>
  <c r="X29" i="32"/>
  <c r="AF29" i="32"/>
  <c r="Z30" i="32"/>
  <c r="AB30" i="32"/>
  <c r="AD30" i="32"/>
  <c r="X30" i="32"/>
  <c r="AF30" i="32"/>
  <c r="AB31" i="32"/>
  <c r="AD31" i="32"/>
  <c r="X31" i="32"/>
  <c r="AF31" i="32"/>
  <c r="AB32" i="32"/>
  <c r="AD32" i="32"/>
  <c r="X32" i="32"/>
  <c r="AF32" i="32"/>
  <c r="AB33" i="32"/>
  <c r="AD33" i="32"/>
  <c r="X33" i="32"/>
  <c r="AF33" i="32"/>
  <c r="AB35" i="32"/>
  <c r="AD35" i="32"/>
  <c r="X35" i="32"/>
  <c r="AF35" i="32"/>
  <c r="AB36" i="32"/>
  <c r="AD36" i="32"/>
  <c r="X36" i="32"/>
  <c r="AF36" i="32"/>
  <c r="AB37" i="32"/>
  <c r="AD37" i="32"/>
  <c r="X37" i="32"/>
  <c r="AF37" i="32"/>
  <c r="AB38" i="32"/>
  <c r="AD38" i="32"/>
  <c r="X38" i="32"/>
  <c r="AF38" i="32"/>
  <c r="AB39" i="32"/>
  <c r="AD39" i="32"/>
  <c r="X39" i="32"/>
  <c r="AF39" i="32"/>
  <c r="AB40" i="32"/>
  <c r="AD40" i="32"/>
  <c r="X40" i="32"/>
  <c r="AF40" i="32"/>
  <c r="AB41" i="32"/>
  <c r="AD41" i="32"/>
  <c r="X41" i="32"/>
  <c r="AF41" i="32"/>
  <c r="AB42" i="32"/>
  <c r="AD42" i="32"/>
  <c r="X42" i="32"/>
  <c r="AF42" i="32"/>
  <c r="AB43" i="32"/>
  <c r="AD43" i="32"/>
  <c r="X43" i="32"/>
  <c r="AF43" i="32"/>
  <c r="AB44" i="32"/>
  <c r="AD44" i="32"/>
  <c r="X44" i="32"/>
  <c r="AF44" i="32"/>
  <c r="AB45" i="32"/>
  <c r="AD45" i="32"/>
  <c r="X45" i="32"/>
  <c r="AF45" i="32"/>
  <c r="AB46" i="32"/>
  <c r="AD46" i="32"/>
  <c r="X46" i="32"/>
  <c r="AF46" i="32"/>
  <c r="AB47" i="32"/>
  <c r="AD47" i="32"/>
  <c r="X47" i="32"/>
  <c r="AF47" i="32"/>
  <c r="AB48" i="32"/>
  <c r="AD48" i="32"/>
  <c r="X48" i="32"/>
  <c r="AF48" i="32"/>
  <c r="AB49" i="32"/>
  <c r="AD49" i="32"/>
  <c r="X49" i="32"/>
  <c r="AF49" i="32"/>
  <c r="Y50" i="32"/>
  <c r="AB50" i="32"/>
  <c r="AD50" i="32"/>
  <c r="S50" i="32"/>
  <c r="X50" i="32"/>
  <c r="AF50" i="32"/>
  <c r="AB51" i="32"/>
  <c r="AD51" i="32"/>
  <c r="X51" i="32"/>
  <c r="AF51" i="32"/>
  <c r="Y52" i="32"/>
  <c r="AB52" i="32"/>
  <c r="AD52" i="32"/>
  <c r="S52" i="32"/>
  <c r="X52" i="32"/>
  <c r="AF52" i="32"/>
  <c r="AB53" i="32"/>
  <c r="AD53" i="32"/>
  <c r="X53" i="32"/>
  <c r="AF53" i="32"/>
  <c r="AB54" i="32"/>
  <c r="AD54" i="32"/>
  <c r="X54" i="32"/>
  <c r="AF54" i="32"/>
  <c r="AB55" i="32"/>
  <c r="AD55" i="32"/>
  <c r="X55" i="32"/>
  <c r="AF55" i="32"/>
  <c r="AB56" i="32"/>
  <c r="AD56" i="32"/>
  <c r="X56" i="32"/>
  <c r="AF56" i="32"/>
  <c r="AB57" i="32"/>
  <c r="AD57" i="32"/>
  <c r="X57" i="32"/>
  <c r="AF57" i="32"/>
  <c r="AB58" i="32"/>
  <c r="AD58" i="32"/>
  <c r="X58" i="32"/>
  <c r="AF58" i="32"/>
  <c r="Y59" i="32"/>
  <c r="AB59" i="32"/>
  <c r="AD59" i="32"/>
  <c r="X59" i="32"/>
  <c r="AF59" i="32"/>
  <c r="AB60" i="32"/>
  <c r="AD60" i="32"/>
  <c r="X60" i="32"/>
  <c r="AF60" i="32"/>
  <c r="Y61" i="32"/>
  <c r="AB61" i="32"/>
  <c r="AD61" i="32"/>
  <c r="X61" i="32"/>
  <c r="AF61" i="32"/>
  <c r="AB62" i="32"/>
  <c r="AD62" i="32"/>
  <c r="X62" i="32"/>
  <c r="AF62" i="32"/>
  <c r="AB63" i="32"/>
  <c r="AD63" i="32"/>
  <c r="X63" i="32"/>
  <c r="AF63" i="32"/>
  <c r="AB64" i="32"/>
  <c r="AD64" i="32"/>
  <c r="S64" i="32"/>
  <c r="X64" i="32"/>
  <c r="AF64" i="32"/>
  <c r="AB65" i="32"/>
  <c r="AD65" i="32"/>
  <c r="X65" i="32"/>
  <c r="AF65" i="32"/>
  <c r="AB66" i="32"/>
  <c r="AD66" i="32"/>
  <c r="X66" i="32"/>
  <c r="AF66" i="32"/>
  <c r="AB67" i="32"/>
  <c r="AD67" i="32"/>
  <c r="X67" i="32"/>
  <c r="AF67" i="32"/>
  <c r="AB68" i="32"/>
  <c r="AD68" i="32"/>
  <c r="X68" i="32"/>
  <c r="AF68" i="32"/>
  <c r="AB69" i="32"/>
  <c r="AD69" i="32"/>
  <c r="X69" i="32"/>
  <c r="AF69" i="32"/>
  <c r="AB70" i="32"/>
  <c r="AD70" i="32"/>
  <c r="X70" i="32"/>
  <c r="AF70" i="32"/>
  <c r="AB71" i="32"/>
  <c r="AD71" i="32"/>
  <c r="X71" i="32"/>
  <c r="AF71" i="32"/>
  <c r="AB72" i="32"/>
  <c r="AD72" i="32"/>
  <c r="X72" i="32"/>
  <c r="AF72" i="32"/>
  <c r="AB73" i="32"/>
  <c r="AD73" i="32"/>
  <c r="X73" i="32"/>
  <c r="AF73" i="32"/>
  <c r="Y74" i="32"/>
  <c r="AB74" i="32"/>
  <c r="AD74" i="32"/>
  <c r="X74" i="32"/>
  <c r="AF74" i="32"/>
  <c r="AB75" i="32"/>
  <c r="AD75" i="32"/>
  <c r="X75" i="32"/>
  <c r="AF75" i="32"/>
  <c r="AB76" i="32"/>
  <c r="AD76" i="32"/>
  <c r="X76" i="32"/>
  <c r="AF76" i="32"/>
  <c r="AB77" i="32"/>
  <c r="AD77" i="32"/>
  <c r="X77" i="32"/>
  <c r="AF77" i="32"/>
  <c r="AB78" i="32"/>
  <c r="AD78" i="32"/>
  <c r="X78" i="32"/>
  <c r="AF78" i="32"/>
  <c r="AB79" i="32"/>
  <c r="AD79" i="32"/>
  <c r="X79" i="32"/>
  <c r="AF79" i="32"/>
  <c r="AB80" i="32"/>
  <c r="AD80" i="32"/>
  <c r="X80" i="32"/>
  <c r="AF80" i="32"/>
  <c r="AB81" i="32"/>
  <c r="AD81" i="32"/>
  <c r="X81" i="32"/>
  <c r="AF81" i="32"/>
  <c r="AB82" i="32"/>
  <c r="AD82" i="32"/>
  <c r="X82" i="32"/>
  <c r="AF82" i="32"/>
  <c r="AB83" i="32"/>
  <c r="AD83" i="32"/>
  <c r="X83" i="32"/>
  <c r="AF83" i="32"/>
  <c r="AB84" i="32"/>
  <c r="AD84" i="32"/>
  <c r="X84" i="32"/>
  <c r="AF84" i="32"/>
  <c r="AB85" i="32"/>
  <c r="AD85" i="32"/>
  <c r="X85" i="32"/>
  <c r="AF85" i="32"/>
  <c r="AD86" i="32"/>
  <c r="X86" i="32"/>
  <c r="AF86" i="32"/>
  <c r="AB87" i="32"/>
  <c r="AD87" i="32"/>
  <c r="X87" i="32"/>
  <c r="AF87" i="32"/>
  <c r="AB88" i="32"/>
  <c r="AD88" i="32"/>
  <c r="X88" i="32"/>
  <c r="AF88" i="32"/>
  <c r="AB89" i="32"/>
  <c r="AD89" i="32"/>
  <c r="X89" i="32"/>
  <c r="AF89" i="32"/>
  <c r="AB90" i="32"/>
  <c r="AD90" i="32"/>
  <c r="X90" i="32"/>
  <c r="AF90" i="32"/>
  <c r="AB91" i="32"/>
  <c r="AD91" i="32"/>
  <c r="X91" i="32"/>
  <c r="AF91" i="32"/>
  <c r="AB92" i="32"/>
  <c r="AD92" i="32"/>
  <c r="X92" i="32"/>
  <c r="AF92" i="32"/>
  <c r="AB93" i="32"/>
  <c r="AD93" i="32"/>
  <c r="X93" i="32"/>
  <c r="AF93" i="32"/>
  <c r="AB94" i="32"/>
  <c r="AD94" i="32"/>
  <c r="X94" i="32"/>
  <c r="AF94" i="32"/>
  <c r="AB95" i="32"/>
  <c r="AD95" i="32"/>
  <c r="X95" i="32"/>
  <c r="AF95" i="32"/>
  <c r="AB96" i="32"/>
  <c r="AD96" i="32"/>
  <c r="S96" i="32"/>
  <c r="X96" i="32"/>
  <c r="AF96" i="32"/>
  <c r="AB97" i="32"/>
  <c r="AD97" i="32"/>
  <c r="S97" i="32"/>
  <c r="X97" i="32"/>
  <c r="AF97" i="32"/>
  <c r="AB98" i="32"/>
  <c r="AD98" i="32"/>
  <c r="X98" i="32"/>
  <c r="AF98" i="32"/>
  <c r="Z99" i="32"/>
  <c r="AB99" i="32"/>
  <c r="AD99" i="32"/>
  <c r="S99" i="32"/>
  <c r="X99" i="32"/>
  <c r="AF99" i="32"/>
  <c r="Y100" i="32"/>
  <c r="AB100" i="32"/>
  <c r="AD100" i="32"/>
  <c r="X100" i="32"/>
  <c r="AF100" i="32"/>
  <c r="AD101" i="32"/>
  <c r="X101" i="32"/>
  <c r="AF101" i="32"/>
  <c r="AB102" i="32"/>
  <c r="AD102" i="32"/>
  <c r="X102" i="32"/>
  <c r="AF102" i="32"/>
  <c r="Y103" i="32"/>
  <c r="AD103" i="32"/>
  <c r="X103" i="32"/>
  <c r="AF103" i="32"/>
  <c r="AB104" i="32"/>
  <c r="AD104" i="32"/>
  <c r="X104" i="32"/>
  <c r="AF104" i="32"/>
  <c r="AB105" i="32"/>
  <c r="AD105" i="32"/>
  <c r="X105" i="32"/>
  <c r="AF105" i="32"/>
  <c r="AB106" i="32"/>
  <c r="AD106" i="32"/>
  <c r="X106" i="32"/>
  <c r="AF106" i="32"/>
  <c r="AB107" i="32"/>
  <c r="AD107" i="32"/>
  <c r="S107" i="32"/>
  <c r="X107" i="32"/>
  <c r="AF107" i="32"/>
  <c r="AB108" i="32"/>
  <c r="AD108" i="32"/>
  <c r="X108" i="32"/>
  <c r="AF108" i="32"/>
  <c r="AB109" i="32"/>
  <c r="AD109" i="32"/>
  <c r="X109" i="32"/>
  <c r="AF109" i="32"/>
  <c r="Y110" i="32"/>
  <c r="AB110" i="32"/>
  <c r="AD110" i="32"/>
  <c r="X110" i="32"/>
  <c r="AF110" i="32"/>
  <c r="AB111" i="32"/>
  <c r="AD111" i="32"/>
  <c r="S111" i="32"/>
  <c r="X111" i="32"/>
  <c r="AF111" i="32"/>
  <c r="AB112" i="32"/>
  <c r="AD112" i="32"/>
  <c r="S112" i="32"/>
  <c r="X112" i="32"/>
  <c r="AF112" i="32"/>
  <c r="AB113" i="32"/>
  <c r="AD113" i="32"/>
  <c r="S113" i="32"/>
  <c r="X113" i="32"/>
  <c r="AF113" i="32"/>
  <c r="AB114" i="32"/>
  <c r="AD114" i="32"/>
  <c r="X114" i="32"/>
  <c r="AF114" i="32"/>
  <c r="AB115" i="32"/>
  <c r="AD115" i="32"/>
  <c r="X115" i="32"/>
  <c r="AF115" i="32"/>
  <c r="AB116" i="32"/>
  <c r="AD116" i="32"/>
  <c r="X116" i="32"/>
  <c r="AF116" i="32"/>
  <c r="AB117" i="32"/>
  <c r="AD117" i="32"/>
  <c r="X117" i="32"/>
  <c r="AF117" i="32"/>
  <c r="AB118" i="32"/>
  <c r="AD118" i="32"/>
  <c r="X118" i="32"/>
  <c r="AF118" i="32"/>
  <c r="Y119" i="32"/>
  <c r="AB119" i="32"/>
  <c r="AD119" i="32"/>
  <c r="X119" i="32"/>
  <c r="AF119" i="32"/>
  <c r="AB120" i="32"/>
  <c r="AD120" i="32"/>
  <c r="X120" i="32"/>
  <c r="AF120" i="32"/>
  <c r="AB121" i="32"/>
  <c r="AD121" i="32"/>
  <c r="X121" i="32"/>
  <c r="AF121" i="32"/>
  <c r="AB122" i="32"/>
  <c r="AD122" i="32"/>
  <c r="X122" i="32"/>
  <c r="AF122" i="32"/>
  <c r="AB123" i="32"/>
  <c r="AD123" i="32"/>
  <c r="S123" i="32"/>
  <c r="X123" i="32"/>
  <c r="AF123" i="32"/>
  <c r="AB124" i="32"/>
  <c r="AD124" i="32"/>
  <c r="X124" i="32"/>
  <c r="AF124" i="32"/>
  <c r="AB125" i="32"/>
  <c r="AD125" i="32"/>
  <c r="X125" i="32"/>
  <c r="AF125" i="32"/>
  <c r="AB126" i="32"/>
  <c r="AD126" i="32"/>
  <c r="X126" i="32"/>
  <c r="AF126" i="32"/>
  <c r="AB127" i="32"/>
  <c r="AD127" i="32"/>
  <c r="X127" i="32"/>
  <c r="AF127" i="32"/>
  <c r="AB128" i="32"/>
  <c r="AD128" i="32"/>
  <c r="X128" i="32"/>
  <c r="AF128" i="32"/>
  <c r="AB129" i="32"/>
  <c r="AD129" i="32"/>
  <c r="X129" i="32"/>
  <c r="AF129" i="32"/>
  <c r="AD130" i="32"/>
  <c r="X130" i="32"/>
  <c r="AF130" i="32"/>
  <c r="AD131" i="32"/>
  <c r="X131" i="32"/>
  <c r="AF131" i="32"/>
  <c r="AD132" i="32"/>
  <c r="X132" i="32"/>
  <c r="AF132" i="32"/>
  <c r="AD133" i="32"/>
  <c r="X133" i="32"/>
  <c r="AF133" i="32"/>
  <c r="AD134" i="32"/>
  <c r="X134" i="32"/>
  <c r="AF134" i="32"/>
  <c r="AB135" i="32"/>
  <c r="AD135" i="32"/>
  <c r="X135" i="32"/>
  <c r="AF135" i="32"/>
  <c r="AB136" i="32"/>
  <c r="AD136" i="32"/>
  <c r="X136" i="32"/>
  <c r="AF136" i="32"/>
  <c r="AB137" i="32"/>
  <c r="AD137" i="32"/>
  <c r="X137" i="32"/>
  <c r="AF137" i="32"/>
  <c r="AB138" i="32"/>
  <c r="AD138" i="32"/>
  <c r="X138" i="32"/>
  <c r="AF138" i="32"/>
  <c r="AB139" i="32"/>
  <c r="AD139" i="32"/>
  <c r="X139" i="32"/>
  <c r="AF139" i="32"/>
  <c r="AB140" i="32"/>
  <c r="AD140" i="32"/>
  <c r="X140" i="32"/>
  <c r="AF140" i="32"/>
  <c r="AB141" i="32"/>
  <c r="AD141" i="32"/>
  <c r="X141" i="32"/>
  <c r="AF141" i="32"/>
  <c r="AB142" i="32"/>
  <c r="AD142" i="32"/>
  <c r="X142" i="32"/>
  <c r="AF142" i="32"/>
  <c r="Y143" i="32"/>
  <c r="AB143" i="32"/>
  <c r="AD143" i="32"/>
  <c r="X143" i="32"/>
  <c r="AF143" i="32"/>
  <c r="AB144" i="32"/>
  <c r="AD144" i="32"/>
  <c r="X144" i="32"/>
  <c r="AF144" i="32"/>
  <c r="AB145" i="32"/>
  <c r="AD145" i="32"/>
  <c r="X145" i="32"/>
  <c r="AF145" i="32"/>
  <c r="AB146" i="32"/>
  <c r="AD146" i="32"/>
  <c r="X146" i="32"/>
  <c r="AF146" i="32"/>
  <c r="AB147" i="32"/>
  <c r="AD147" i="32"/>
  <c r="X147" i="32"/>
  <c r="AF147" i="32"/>
  <c r="AB148" i="32"/>
  <c r="AD148" i="32"/>
  <c r="X148" i="32"/>
  <c r="AF148" i="32"/>
  <c r="AD149" i="32"/>
  <c r="X149" i="32"/>
  <c r="AF149" i="32"/>
  <c r="AD150" i="32"/>
  <c r="X150" i="32"/>
  <c r="AF150" i="32"/>
  <c r="AB151" i="32"/>
  <c r="AD151" i="32"/>
  <c r="X151" i="32"/>
  <c r="AF151" i="32"/>
  <c r="AD152" i="32"/>
  <c r="X152" i="32"/>
  <c r="AF152" i="32"/>
  <c r="AB153" i="32"/>
  <c r="AD153" i="32"/>
  <c r="X153" i="32"/>
  <c r="AF153" i="32"/>
  <c r="AB154" i="32"/>
  <c r="AD154" i="32"/>
  <c r="X154" i="32"/>
  <c r="AF154" i="32"/>
  <c r="AB155" i="32"/>
  <c r="AD155" i="32"/>
  <c r="X155" i="32"/>
  <c r="AF155" i="32"/>
  <c r="AB156" i="32"/>
  <c r="AD156" i="32"/>
  <c r="X156" i="32"/>
  <c r="AF156" i="32"/>
  <c r="AB157" i="32"/>
  <c r="AD157" i="32"/>
  <c r="X157" i="32"/>
  <c r="AF157" i="32"/>
  <c r="AB158" i="32"/>
  <c r="AD158" i="32"/>
  <c r="X158" i="32"/>
  <c r="AF158" i="32"/>
  <c r="AB159" i="32"/>
  <c r="AD159" i="32"/>
  <c r="X159" i="32"/>
  <c r="AF159" i="32"/>
  <c r="AB160" i="32"/>
  <c r="AD160" i="32"/>
  <c r="X160" i="32"/>
  <c r="AF160" i="32"/>
  <c r="AB161" i="32"/>
  <c r="AD161" i="32"/>
  <c r="X161" i="32"/>
  <c r="AF161" i="32"/>
  <c r="AB162" i="32"/>
  <c r="AD162" i="32"/>
  <c r="X162" i="32"/>
  <c r="AF162" i="32"/>
  <c r="AB163" i="32"/>
  <c r="AD163" i="32"/>
  <c r="X163" i="32"/>
  <c r="AF163" i="32"/>
  <c r="AA164" i="32"/>
  <c r="AB164" i="32"/>
  <c r="AD164" i="32"/>
  <c r="X164" i="32"/>
  <c r="AF164" i="32"/>
  <c r="AA165" i="32"/>
  <c r="AB165" i="32"/>
  <c r="AD165" i="32"/>
  <c r="X165" i="32"/>
  <c r="AF165" i="32"/>
  <c r="AB166" i="32"/>
  <c r="AD166" i="32"/>
  <c r="X166" i="32"/>
  <c r="AF166" i="32"/>
  <c r="AA167" i="32"/>
  <c r="AB167" i="32"/>
  <c r="AD167" i="32"/>
  <c r="X167" i="32"/>
  <c r="AF167" i="32"/>
  <c r="AA168" i="32"/>
  <c r="AB168" i="32"/>
  <c r="AD168" i="32"/>
  <c r="X168" i="32"/>
  <c r="AF168" i="32"/>
  <c r="AA169" i="32"/>
  <c r="AB169" i="32"/>
  <c r="AD169" i="32"/>
  <c r="X169" i="32"/>
  <c r="AF169" i="32"/>
  <c r="AA170" i="32"/>
  <c r="AB170" i="32"/>
  <c r="AD170" i="32"/>
  <c r="X170" i="32"/>
  <c r="AF170" i="32"/>
  <c r="AA171" i="32"/>
  <c r="AB171" i="32"/>
  <c r="AD171" i="32"/>
  <c r="X171" i="32"/>
  <c r="AF171" i="32"/>
  <c r="AD172" i="32"/>
  <c r="X172" i="32"/>
  <c r="AF172" i="32"/>
  <c r="AD173" i="32"/>
  <c r="X173" i="32"/>
  <c r="AF173" i="32"/>
  <c r="AD174" i="32"/>
  <c r="X174" i="32"/>
  <c r="AF174" i="32"/>
  <c r="AD175" i="32"/>
  <c r="X175" i="32"/>
  <c r="AF175" i="32"/>
  <c r="AB176" i="32"/>
  <c r="AD176" i="32"/>
  <c r="X176" i="32"/>
  <c r="AF176" i="32"/>
  <c r="C52" i="34"/>
  <c r="C53" i="34"/>
  <c r="C54" i="34"/>
  <c r="C55" i="34"/>
  <c r="C56" i="34"/>
  <c r="B53" i="34"/>
  <c r="B54" i="34"/>
  <c r="B55" i="34"/>
  <c r="B56" i="34"/>
  <c r="D52" i="34"/>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E52" i="34"/>
  <c r="AI207" i="32"/>
  <c r="AI208" i="32"/>
  <c r="AI209" i="32"/>
  <c r="AI210" i="32"/>
  <c r="AI211" i="32"/>
  <c r="AI212" i="32"/>
  <c r="AI213" i="32"/>
  <c r="AI215" i="32"/>
  <c r="AI214" i="32"/>
  <c r="AI177" i="32"/>
  <c r="AI178" i="32"/>
  <c r="AI179" i="32"/>
  <c r="AI180" i="32"/>
  <c r="AI181" i="32"/>
  <c r="AI182" i="32"/>
  <c r="AI183" i="32"/>
  <c r="AI184" i="32"/>
  <c r="AI185" i="32"/>
  <c r="AI186" i="32"/>
  <c r="AI187" i="32"/>
  <c r="AI188" i="32"/>
  <c r="AI189" i="32"/>
  <c r="AI190" i="32"/>
  <c r="AI191" i="32"/>
  <c r="AI192" i="32"/>
  <c r="AI193" i="32"/>
  <c r="AI194" i="32"/>
  <c r="AI195" i="32"/>
  <c r="AI196" i="32"/>
  <c r="AI197" i="32"/>
  <c r="AI198" i="32"/>
  <c r="AI199" i="32"/>
  <c r="AI200" i="32"/>
  <c r="AI201" i="32"/>
  <c r="AI202" i="32"/>
  <c r="AI203" i="32"/>
  <c r="AI204" i="32"/>
  <c r="AI205" i="32"/>
  <c r="AI206" i="32"/>
  <c r="AI2" i="32"/>
  <c r="AI3" i="32"/>
  <c r="AI4" i="32"/>
  <c r="AI5" i="32"/>
  <c r="AI6" i="32"/>
  <c r="AI7" i="32"/>
  <c r="AI8" i="32"/>
  <c r="AI9" i="32"/>
  <c r="AI10" i="32"/>
  <c r="AI11" i="32"/>
  <c r="AI12" i="32"/>
  <c r="AI13" i="32"/>
  <c r="AI14" i="32"/>
  <c r="AI15" i="32"/>
  <c r="AI16" i="32"/>
  <c r="AI17" i="32"/>
  <c r="AI18" i="32"/>
  <c r="AI19" i="32"/>
  <c r="AI20" i="32"/>
  <c r="AI21" i="32"/>
  <c r="AI22" i="32"/>
  <c r="AI23" i="32"/>
  <c r="AI24" i="32"/>
  <c r="AI25" i="32"/>
  <c r="AI26" i="32"/>
  <c r="AI27" i="32"/>
  <c r="AI28" i="32"/>
  <c r="AI29" i="32"/>
  <c r="AI30" i="32"/>
  <c r="AI31" i="32"/>
  <c r="AI32" i="32"/>
  <c r="AI33" i="32"/>
  <c r="AI35" i="32"/>
  <c r="AI36" i="32"/>
  <c r="AI37" i="32"/>
  <c r="AI38" i="32"/>
  <c r="AI39" i="32"/>
  <c r="AI40" i="32"/>
  <c r="AI41" i="32"/>
  <c r="AI42" i="32"/>
  <c r="AI43" i="32"/>
  <c r="AI44" i="32"/>
  <c r="AI45" i="32"/>
  <c r="AI46" i="32"/>
  <c r="AI47" i="32"/>
  <c r="AI48" i="32"/>
  <c r="AI49" i="32"/>
  <c r="AI50" i="32"/>
  <c r="AI51" i="32"/>
  <c r="AI52" i="32"/>
  <c r="AI53" i="32"/>
  <c r="AI54" i="32"/>
  <c r="AI55" i="32"/>
  <c r="AI56" i="32"/>
  <c r="AI57" i="32"/>
  <c r="AI58" i="32"/>
  <c r="AI59" i="32"/>
  <c r="AI60" i="32"/>
  <c r="AI61" i="32"/>
  <c r="AI62" i="32"/>
  <c r="AI63" i="32"/>
  <c r="AI64" i="32"/>
  <c r="AI65" i="32"/>
  <c r="AI66" i="32"/>
  <c r="AI67" i="32"/>
  <c r="AI68" i="32"/>
  <c r="AI69" i="32"/>
  <c r="AI70" i="32"/>
  <c r="AI71" i="32"/>
  <c r="AI72" i="32"/>
  <c r="AI73" i="32"/>
  <c r="AI74" i="32"/>
  <c r="AI75" i="32"/>
  <c r="AI76" i="32"/>
  <c r="AI77" i="32"/>
  <c r="AI78" i="32"/>
  <c r="AI79" i="32"/>
  <c r="AI80" i="32"/>
  <c r="AI81" i="32"/>
  <c r="AI82" i="32"/>
  <c r="AI83" i="32"/>
  <c r="AI84" i="32"/>
  <c r="AI85" i="32"/>
  <c r="AI86" i="32"/>
  <c r="AI87" i="32"/>
  <c r="AI88" i="32"/>
  <c r="AI89" i="32"/>
  <c r="AI90" i="32"/>
  <c r="AI91" i="32"/>
  <c r="AI92" i="32"/>
  <c r="AI93" i="32"/>
  <c r="AI94" i="32"/>
  <c r="AI95" i="32"/>
  <c r="AI96" i="32"/>
  <c r="AI97" i="32"/>
  <c r="AI98" i="32"/>
  <c r="AI99" i="32"/>
  <c r="AI100" i="32"/>
  <c r="AI101" i="32"/>
  <c r="AI102" i="32"/>
  <c r="AI103" i="32"/>
  <c r="AI104" i="32"/>
  <c r="AI105" i="32"/>
  <c r="AI106" i="32"/>
  <c r="AI107" i="32"/>
  <c r="AI108" i="32"/>
  <c r="AI109" i="32"/>
  <c r="AI110" i="32"/>
  <c r="AI111" i="32"/>
  <c r="AI112" i="32"/>
  <c r="AI113" i="32"/>
  <c r="AI114" i="32"/>
  <c r="AI115" i="32"/>
  <c r="AI116" i="32"/>
  <c r="AI117" i="32"/>
  <c r="AI118" i="32"/>
  <c r="AI119" i="32"/>
  <c r="AI120" i="32"/>
  <c r="AI121" i="32"/>
  <c r="AI122" i="32"/>
  <c r="AI123" i="32"/>
  <c r="AI124" i="32"/>
  <c r="AI125" i="32"/>
  <c r="AI126" i="32"/>
  <c r="AI127" i="32"/>
  <c r="AI128" i="32"/>
  <c r="AI129" i="32"/>
  <c r="AI130" i="32"/>
  <c r="AI131" i="32"/>
  <c r="AI132" i="32"/>
  <c r="AI133" i="32"/>
  <c r="AI134" i="32"/>
  <c r="AI135" i="32"/>
  <c r="AI136" i="32"/>
  <c r="AI137" i="32"/>
  <c r="AI138" i="32"/>
  <c r="AI139" i="32"/>
  <c r="AI140" i="32"/>
  <c r="AI141" i="32"/>
  <c r="AI142" i="32"/>
  <c r="AI143" i="32"/>
  <c r="AI144" i="32"/>
  <c r="AI145" i="32"/>
  <c r="AI146" i="32"/>
  <c r="AI147" i="32"/>
  <c r="AI148" i="32"/>
  <c r="AI149" i="32"/>
  <c r="AI150" i="32"/>
  <c r="AI151" i="32"/>
  <c r="AI152" i="32"/>
  <c r="AI153" i="32"/>
  <c r="AI154" i="32"/>
  <c r="AI155" i="32"/>
  <c r="AI156" i="32"/>
  <c r="AI157" i="32"/>
  <c r="AI158" i="32"/>
  <c r="AI159" i="32"/>
  <c r="AI160" i="32"/>
  <c r="AI161" i="32"/>
  <c r="AI162" i="32"/>
  <c r="AI163" i="32"/>
  <c r="AI164" i="32"/>
  <c r="AI165" i="32"/>
  <c r="AI166" i="32"/>
  <c r="AI167" i="32"/>
  <c r="AI168" i="32"/>
  <c r="AI169" i="32"/>
  <c r="AI170" i="32"/>
  <c r="AI171" i="32"/>
  <c r="AI172" i="32"/>
  <c r="AI173" i="32"/>
  <c r="AI174" i="32"/>
  <c r="AI175" i="32"/>
  <c r="AI176" i="32"/>
  <c r="F52" i="34"/>
  <c r="F53" i="34"/>
  <c r="F54" i="34"/>
  <c r="F55" i="34"/>
  <c r="F56" i="34"/>
  <c r="E53" i="34"/>
  <c r="E54" i="34"/>
  <c r="E55" i="34"/>
  <c r="E56" i="34"/>
  <c r="G52" i="34"/>
  <c r="AH207" i="32"/>
  <c r="AH208" i="32"/>
  <c r="AH209" i="32"/>
  <c r="AH210" i="32"/>
  <c r="AH211" i="32"/>
  <c r="AH212" i="32"/>
  <c r="AH213" i="32"/>
  <c r="AH215" i="32"/>
  <c r="AH214" i="32"/>
  <c r="AH177" i="32"/>
  <c r="AH178" i="32"/>
  <c r="AH179" i="32"/>
  <c r="AH180" i="32"/>
  <c r="AH181" i="32"/>
  <c r="AH182" i="32"/>
  <c r="AH183" i="32"/>
  <c r="AH184" i="32"/>
  <c r="AH185" i="32"/>
  <c r="AH186" i="32"/>
  <c r="AH187" i="32"/>
  <c r="AH188" i="32"/>
  <c r="AH189" i="32"/>
  <c r="AH190" i="32"/>
  <c r="AH191" i="32"/>
  <c r="AH192" i="32"/>
  <c r="AH193" i="32"/>
  <c r="AH194" i="32"/>
  <c r="AH195" i="32"/>
  <c r="AH196" i="32"/>
  <c r="AH197" i="32"/>
  <c r="AH198" i="32"/>
  <c r="AH199" i="32"/>
  <c r="AH200" i="32"/>
  <c r="AH201" i="32"/>
  <c r="AH202" i="32"/>
  <c r="AH203" i="32"/>
  <c r="AH204" i="32"/>
  <c r="AH205" i="32"/>
  <c r="AH206" i="32"/>
  <c r="AH2" i="32"/>
  <c r="AH3" i="32"/>
  <c r="AH4" i="32"/>
  <c r="AH5" i="32"/>
  <c r="AH6" i="32"/>
  <c r="AH7" i="32"/>
  <c r="AH8" i="32"/>
  <c r="AH9" i="32"/>
  <c r="AH10" i="32"/>
  <c r="AH11" i="32"/>
  <c r="AH12" i="32"/>
  <c r="AH13" i="32"/>
  <c r="AH14" i="32"/>
  <c r="AH15" i="32"/>
  <c r="AH16" i="32"/>
  <c r="AH17" i="32"/>
  <c r="AH18" i="32"/>
  <c r="AH19" i="32"/>
  <c r="AH20" i="32"/>
  <c r="AH21" i="32"/>
  <c r="AH22" i="32"/>
  <c r="AH23" i="32"/>
  <c r="AH24" i="32"/>
  <c r="AH25" i="32"/>
  <c r="AH26" i="32"/>
  <c r="AH27" i="32"/>
  <c r="AH28" i="32"/>
  <c r="AH29" i="32"/>
  <c r="AH30" i="32"/>
  <c r="AH31" i="32"/>
  <c r="AH32" i="32"/>
  <c r="AH33" i="32"/>
  <c r="AH35" i="32"/>
  <c r="AH36" i="32"/>
  <c r="AH37" i="32"/>
  <c r="AH38" i="32"/>
  <c r="AH39" i="32"/>
  <c r="AH40" i="32"/>
  <c r="AH41" i="32"/>
  <c r="AH42" i="32"/>
  <c r="AH43" i="32"/>
  <c r="AH44" i="32"/>
  <c r="AH45" i="32"/>
  <c r="AH46" i="32"/>
  <c r="AH47" i="32"/>
  <c r="AH48" i="32"/>
  <c r="AH49" i="32"/>
  <c r="AH50" i="32"/>
  <c r="AH51" i="32"/>
  <c r="AH52" i="32"/>
  <c r="AH53" i="32"/>
  <c r="AH54" i="32"/>
  <c r="AH55" i="32"/>
  <c r="AH56" i="32"/>
  <c r="AH57" i="32"/>
  <c r="AH58" i="32"/>
  <c r="AH59" i="32"/>
  <c r="AH60" i="32"/>
  <c r="AH61" i="32"/>
  <c r="AH62" i="32"/>
  <c r="AH63" i="32"/>
  <c r="AH64" i="32"/>
  <c r="AH65" i="32"/>
  <c r="AH66" i="32"/>
  <c r="AH67" i="32"/>
  <c r="AH68" i="32"/>
  <c r="AH69" i="32"/>
  <c r="AH70" i="32"/>
  <c r="AH71" i="32"/>
  <c r="AH72" i="32"/>
  <c r="AH73" i="32"/>
  <c r="AH74" i="32"/>
  <c r="AH75" i="32"/>
  <c r="AH76" i="32"/>
  <c r="AH77" i="32"/>
  <c r="AH78" i="32"/>
  <c r="AH79" i="32"/>
  <c r="AH80" i="32"/>
  <c r="AH81" i="32"/>
  <c r="AH82" i="32"/>
  <c r="AH83" i="32"/>
  <c r="AH84" i="32"/>
  <c r="AH85" i="32"/>
  <c r="AH86" i="32"/>
  <c r="AH87" i="32"/>
  <c r="AH88" i="32"/>
  <c r="AH89" i="32"/>
  <c r="AH90" i="32"/>
  <c r="AH91" i="32"/>
  <c r="AH92" i="32"/>
  <c r="AH93" i="32"/>
  <c r="AH94" i="32"/>
  <c r="AH95" i="32"/>
  <c r="AH96" i="32"/>
  <c r="AH97" i="32"/>
  <c r="AH98" i="32"/>
  <c r="AH99" i="32"/>
  <c r="AH100" i="32"/>
  <c r="AH101" i="32"/>
  <c r="AH102" i="32"/>
  <c r="AH103" i="32"/>
  <c r="AH104" i="32"/>
  <c r="AH105" i="32"/>
  <c r="AH106" i="32"/>
  <c r="AH107" i="32"/>
  <c r="AH108" i="32"/>
  <c r="AH109" i="32"/>
  <c r="AH110" i="32"/>
  <c r="AH111" i="32"/>
  <c r="AH112" i="32"/>
  <c r="AH113" i="32"/>
  <c r="AH114" i="32"/>
  <c r="AH115" i="32"/>
  <c r="AH116" i="32"/>
  <c r="AH117" i="32"/>
  <c r="AH118" i="32"/>
  <c r="AH119" i="32"/>
  <c r="AH120" i="32"/>
  <c r="AH121" i="32"/>
  <c r="AH122" i="32"/>
  <c r="AH123" i="32"/>
  <c r="AH124" i="32"/>
  <c r="AH125" i="32"/>
  <c r="AH126" i="32"/>
  <c r="AH127" i="32"/>
  <c r="AH128" i="32"/>
  <c r="AH129" i="32"/>
  <c r="AH130" i="32"/>
  <c r="AH131" i="32"/>
  <c r="AH132" i="32"/>
  <c r="AH133" i="32"/>
  <c r="AH134" i="32"/>
  <c r="AH135" i="32"/>
  <c r="AH136" i="32"/>
  <c r="AH137" i="32"/>
  <c r="AH138" i="32"/>
  <c r="AH139" i="32"/>
  <c r="AH140" i="32"/>
  <c r="AH141" i="32"/>
  <c r="AH142" i="32"/>
  <c r="AH143" i="32"/>
  <c r="AH144" i="32"/>
  <c r="AH145" i="32"/>
  <c r="AH146" i="32"/>
  <c r="AH147" i="32"/>
  <c r="AH148" i="32"/>
  <c r="AH149" i="32"/>
  <c r="AH150" i="32"/>
  <c r="AH151" i="32"/>
  <c r="AH152" i="32"/>
  <c r="AH153" i="32"/>
  <c r="AH154" i="32"/>
  <c r="AH155" i="32"/>
  <c r="AH156" i="32"/>
  <c r="AH157" i="32"/>
  <c r="AH158" i="32"/>
  <c r="AH159" i="32"/>
  <c r="AH160" i="32"/>
  <c r="AH161" i="32"/>
  <c r="AH162" i="32"/>
  <c r="AH163" i="32"/>
  <c r="AH164" i="32"/>
  <c r="AH165" i="32"/>
  <c r="AH166" i="32"/>
  <c r="AH167" i="32"/>
  <c r="AH168" i="32"/>
  <c r="AH169" i="32"/>
  <c r="AH170" i="32"/>
  <c r="AH171" i="32"/>
  <c r="AH172" i="32"/>
  <c r="AH173" i="32"/>
  <c r="AH174" i="32"/>
  <c r="AH175" i="32"/>
  <c r="AH176" i="32"/>
  <c r="J52" i="34"/>
  <c r="J53" i="34"/>
  <c r="J54" i="34"/>
  <c r="J55" i="34"/>
  <c r="J56" i="34"/>
  <c r="I53" i="34"/>
  <c r="I54" i="34"/>
  <c r="I55" i="34"/>
  <c r="I56" i="34"/>
  <c r="K52" i="34"/>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L52" i="34"/>
  <c r="AJ207" i="32"/>
  <c r="AJ208" i="32"/>
  <c r="AJ209" i="32"/>
  <c r="AJ210" i="32"/>
  <c r="AJ211" i="32"/>
  <c r="AJ212" i="32"/>
  <c r="AJ213" i="32"/>
  <c r="AJ215" i="32"/>
  <c r="AJ214" i="32"/>
  <c r="AJ177" i="32"/>
  <c r="AJ178" i="32"/>
  <c r="AJ179" i="32"/>
  <c r="AJ180" i="32"/>
  <c r="AJ181" i="32"/>
  <c r="AJ182" i="32"/>
  <c r="AJ183" i="32"/>
  <c r="AJ184" i="32"/>
  <c r="AJ185" i="32"/>
  <c r="AJ186" i="32"/>
  <c r="AJ187" i="32"/>
  <c r="AJ188" i="32"/>
  <c r="AJ189" i="32"/>
  <c r="AJ190" i="32"/>
  <c r="AJ191" i="32"/>
  <c r="AJ192" i="32"/>
  <c r="AJ193" i="32"/>
  <c r="AJ194" i="32"/>
  <c r="AJ195" i="32"/>
  <c r="AJ196" i="32"/>
  <c r="AJ197" i="32"/>
  <c r="AJ198" i="32"/>
  <c r="AJ199" i="32"/>
  <c r="AJ200" i="32"/>
  <c r="AJ201" i="32"/>
  <c r="AJ202" i="32"/>
  <c r="AJ203" i="32"/>
  <c r="AJ204" i="32"/>
  <c r="AJ205" i="32"/>
  <c r="AJ206" i="32"/>
  <c r="AJ2" i="32"/>
  <c r="AJ3" i="32"/>
  <c r="AJ4" i="32"/>
  <c r="AJ5" i="32"/>
  <c r="AJ6" i="32"/>
  <c r="AJ7" i="32"/>
  <c r="AJ8" i="32"/>
  <c r="AJ9" i="32"/>
  <c r="AJ10" i="32"/>
  <c r="AJ11" i="32"/>
  <c r="AJ12" i="32"/>
  <c r="AJ13" i="32"/>
  <c r="AJ14" i="32"/>
  <c r="AJ15" i="32"/>
  <c r="AJ16" i="32"/>
  <c r="AJ17" i="32"/>
  <c r="AJ18" i="32"/>
  <c r="AJ19" i="32"/>
  <c r="AJ20" i="32"/>
  <c r="AJ21" i="32"/>
  <c r="AJ22" i="32"/>
  <c r="AJ23" i="32"/>
  <c r="AJ24" i="32"/>
  <c r="AJ25" i="32"/>
  <c r="AJ26" i="32"/>
  <c r="AJ27" i="32"/>
  <c r="AJ28" i="32"/>
  <c r="AJ29" i="32"/>
  <c r="AJ30" i="32"/>
  <c r="AJ31" i="32"/>
  <c r="AJ32" i="32"/>
  <c r="AJ33" i="32"/>
  <c r="AJ35" i="32"/>
  <c r="AJ36" i="32"/>
  <c r="AJ37" i="32"/>
  <c r="AJ38" i="32"/>
  <c r="AJ39" i="32"/>
  <c r="AJ40" i="32"/>
  <c r="AJ41" i="32"/>
  <c r="AJ42" i="32"/>
  <c r="AJ43" i="32"/>
  <c r="AJ44" i="32"/>
  <c r="AJ45" i="32"/>
  <c r="AJ46" i="32"/>
  <c r="AJ47" i="32"/>
  <c r="AJ48" i="32"/>
  <c r="AJ49" i="32"/>
  <c r="AJ50" i="32"/>
  <c r="AJ51" i="32"/>
  <c r="AJ52" i="32"/>
  <c r="AJ53" i="32"/>
  <c r="AJ54" i="32"/>
  <c r="AJ55" i="32"/>
  <c r="AJ56" i="32"/>
  <c r="AJ57" i="32"/>
  <c r="AJ58" i="32"/>
  <c r="AJ59" i="32"/>
  <c r="AJ60" i="32"/>
  <c r="AJ61" i="32"/>
  <c r="AJ62" i="32"/>
  <c r="AJ63" i="32"/>
  <c r="AJ64" i="32"/>
  <c r="AJ65" i="32"/>
  <c r="AJ66" i="32"/>
  <c r="AJ67" i="32"/>
  <c r="AJ68" i="32"/>
  <c r="AJ69" i="32"/>
  <c r="AJ70" i="32"/>
  <c r="AJ71" i="32"/>
  <c r="AJ72" i="32"/>
  <c r="AJ73" i="32"/>
  <c r="AJ74" i="32"/>
  <c r="AJ75" i="32"/>
  <c r="AJ76" i="32"/>
  <c r="AJ77" i="32"/>
  <c r="AJ78" i="32"/>
  <c r="AJ79" i="32"/>
  <c r="AJ80" i="32"/>
  <c r="AJ81" i="32"/>
  <c r="AJ82" i="32"/>
  <c r="AJ83" i="32"/>
  <c r="AJ84" i="32"/>
  <c r="AJ85" i="32"/>
  <c r="AJ86" i="32"/>
  <c r="AJ87" i="32"/>
  <c r="AJ88" i="32"/>
  <c r="AJ89" i="32"/>
  <c r="AJ90" i="32"/>
  <c r="AJ91" i="32"/>
  <c r="AJ92" i="32"/>
  <c r="AJ93" i="32"/>
  <c r="AJ94" i="32"/>
  <c r="AJ95" i="32"/>
  <c r="AJ96" i="32"/>
  <c r="AJ97" i="32"/>
  <c r="AJ98" i="32"/>
  <c r="AJ99" i="32"/>
  <c r="AJ100" i="32"/>
  <c r="AJ101" i="32"/>
  <c r="AJ102" i="32"/>
  <c r="AJ103" i="32"/>
  <c r="AJ104" i="32"/>
  <c r="AJ105" i="32"/>
  <c r="AJ106" i="32"/>
  <c r="AJ107" i="32"/>
  <c r="AJ108" i="32"/>
  <c r="AJ109" i="32"/>
  <c r="AJ110" i="32"/>
  <c r="AJ111" i="32"/>
  <c r="AJ112" i="32"/>
  <c r="AJ113" i="32"/>
  <c r="AJ114" i="32"/>
  <c r="AJ115" i="32"/>
  <c r="AJ116" i="32"/>
  <c r="AJ117" i="32"/>
  <c r="AJ118" i="32"/>
  <c r="AJ119" i="32"/>
  <c r="AJ120" i="32"/>
  <c r="AJ121" i="32"/>
  <c r="AJ122" i="32"/>
  <c r="AJ123" i="32"/>
  <c r="AJ124" i="32"/>
  <c r="AJ125" i="32"/>
  <c r="AJ126" i="32"/>
  <c r="AJ127" i="32"/>
  <c r="AJ128" i="32"/>
  <c r="AJ129" i="32"/>
  <c r="AJ130" i="32"/>
  <c r="AJ131" i="32"/>
  <c r="AJ132" i="32"/>
  <c r="AJ133" i="32"/>
  <c r="AJ134" i="32"/>
  <c r="AJ135" i="32"/>
  <c r="AJ136" i="32"/>
  <c r="AJ137" i="32"/>
  <c r="AJ138" i="32"/>
  <c r="AJ139" i="32"/>
  <c r="AJ140" i="32"/>
  <c r="AJ141" i="32"/>
  <c r="AJ142" i="32"/>
  <c r="AJ143" i="32"/>
  <c r="AJ144" i="32"/>
  <c r="AJ145" i="32"/>
  <c r="AJ146" i="32"/>
  <c r="AJ147" i="32"/>
  <c r="AJ148" i="32"/>
  <c r="AJ149" i="32"/>
  <c r="AJ150" i="32"/>
  <c r="AJ151" i="32"/>
  <c r="AJ152" i="32"/>
  <c r="AJ153" i="32"/>
  <c r="AJ154" i="32"/>
  <c r="AJ155" i="32"/>
  <c r="AJ156" i="32"/>
  <c r="AJ157" i="32"/>
  <c r="AJ158" i="32"/>
  <c r="AJ159" i="32"/>
  <c r="AJ160" i="32"/>
  <c r="AJ161" i="32"/>
  <c r="AJ162" i="32"/>
  <c r="AJ163" i="32"/>
  <c r="AJ164" i="32"/>
  <c r="AJ165" i="32"/>
  <c r="AJ166" i="32"/>
  <c r="AJ167" i="32"/>
  <c r="AJ168" i="32"/>
  <c r="AJ169" i="32"/>
  <c r="AJ170" i="32"/>
  <c r="AJ171" i="32"/>
  <c r="AJ172" i="32"/>
  <c r="AJ173" i="32"/>
  <c r="AJ174" i="32"/>
  <c r="AJ175" i="32"/>
  <c r="AJ176" i="32"/>
  <c r="M52" i="34"/>
  <c r="M53" i="34"/>
  <c r="M54" i="34"/>
  <c r="M55" i="34"/>
  <c r="M56" i="34"/>
  <c r="L53" i="34"/>
  <c r="L54" i="34"/>
  <c r="L55" i="34"/>
  <c r="L56" i="34"/>
  <c r="N52" i="34"/>
  <c r="D53" i="34"/>
  <c r="G53" i="34"/>
  <c r="K53" i="34"/>
  <c r="N53" i="34"/>
  <c r="D54" i="34"/>
  <c r="G54" i="34"/>
  <c r="K54" i="34"/>
  <c r="N54" i="34"/>
  <c r="D55" i="34"/>
  <c r="G55" i="34"/>
  <c r="K55" i="34"/>
  <c r="N55" i="34"/>
  <c r="D56" i="34"/>
  <c r="G56" i="34"/>
  <c r="K56" i="34"/>
  <c r="N56" i="34"/>
  <c r="B57" i="34"/>
  <c r="C57" i="34"/>
  <c r="D57" i="34"/>
  <c r="E57" i="34"/>
  <c r="F57" i="34"/>
  <c r="G57" i="34"/>
  <c r="I57" i="34" a="1"/>
  <c r="I57" i="34"/>
  <c r="J57" i="34" a="1"/>
  <c r="J57" i="34"/>
  <c r="K57" i="34" a="1"/>
  <c r="K57" i="34"/>
  <c r="L57" i="34" a="1"/>
  <c r="L57" i="34"/>
  <c r="M57" i="34" a="1"/>
  <c r="M57" i="34"/>
  <c r="N57" i="34" a="1"/>
  <c r="N57" i="34"/>
  <c r="G59" i="34"/>
  <c r="N59" i="34"/>
  <c r="B65" i="34"/>
  <c r="C65" i="34"/>
  <c r="D65" i="34"/>
  <c r="B66" i="34"/>
  <c r="C66" i="34"/>
  <c r="D66" i="34"/>
  <c r="B67" i="34"/>
  <c r="C67" i="34"/>
  <c r="D67" i="34"/>
  <c r="B68" i="34"/>
  <c r="C68" i="34"/>
  <c r="D68" i="34"/>
  <c r="B69" i="34"/>
  <c r="C69" i="34"/>
  <c r="D69" i="34"/>
  <c r="B70" i="34"/>
  <c r="C70" i="34"/>
  <c r="D70" i="34"/>
  <c r="B71" i="34"/>
  <c r="C71" i="34"/>
  <c r="D71" i="34"/>
  <c r="B72" i="34"/>
  <c r="C72" i="34"/>
  <c r="D72" i="34"/>
  <c r="B73" i="34"/>
  <c r="C73" i="34"/>
  <c r="D73" i="34"/>
  <c r="B74" i="34"/>
  <c r="C74" i="34"/>
  <c r="D74" i="34"/>
  <c r="B75" i="34"/>
  <c r="C75" i="34"/>
  <c r="D75" i="34"/>
  <c r="B76" i="34"/>
  <c r="C76" i="34"/>
  <c r="D76" i="34"/>
  <c r="B77" i="34"/>
  <c r="C77" i="34"/>
  <c r="D77" i="34"/>
  <c r="B78" i="34"/>
  <c r="C78" i="34"/>
  <c r="D78" i="34"/>
  <c r="B79" i="34"/>
  <c r="C79" i="34"/>
  <c r="D79" i="34"/>
  <c r="B80" i="34"/>
  <c r="C80" i="34"/>
  <c r="D80" i="34"/>
  <c r="B81" i="34"/>
  <c r="C81" i="34"/>
  <c r="D81" i="34"/>
  <c r="B82" i="34"/>
  <c r="C82" i="34"/>
  <c r="D82" i="34"/>
  <c r="B83" i="34"/>
  <c r="C83" i="34"/>
  <c r="D83" i="34"/>
  <c r="B84" i="34"/>
  <c r="C84" i="34"/>
  <c r="D84" i="34"/>
  <c r="B85" i="34"/>
  <c r="C85" i="34"/>
  <c r="D85" i="34"/>
  <c r="B86" i="34"/>
  <c r="C86" i="34"/>
  <c r="D86" i="34"/>
  <c r="B87" i="34"/>
  <c r="C87" i="34"/>
  <c r="D87" i="34"/>
  <c r="B88" i="34"/>
  <c r="C88" i="34"/>
  <c r="D88" i="34"/>
  <c r="B89" i="34"/>
  <c r="C89" i="34"/>
  <c r="D89" i="34"/>
  <c r="B90" i="34"/>
  <c r="C90" i="34"/>
  <c r="D90" i="34"/>
  <c r="B91" i="34"/>
  <c r="C91" i="34"/>
  <c r="D91" i="34"/>
  <c r="B92" i="34"/>
  <c r="C92" i="34"/>
  <c r="D92" i="34"/>
  <c r="B93" i="34"/>
  <c r="C93" i="34"/>
  <c r="D93" i="34"/>
  <c r="B94" i="34"/>
  <c r="C94" i="34"/>
  <c r="D94" i="34"/>
  <c r="B95" i="34"/>
  <c r="C95" i="34"/>
  <c r="D95" i="34"/>
  <c r="B96" i="34"/>
  <c r="C96" i="34"/>
  <c r="D96" i="34"/>
  <c r="B97" i="34"/>
  <c r="C97" i="34"/>
  <c r="D97" i="34"/>
  <c r="B98" i="34"/>
  <c r="C98" i="34"/>
  <c r="D98" i="34"/>
  <c r="B99" i="34"/>
  <c r="C99" i="34"/>
  <c r="D99" i="34"/>
  <c r="B100" i="34"/>
  <c r="C100" i="34"/>
  <c r="D100" i="34"/>
  <c r="B101" i="34"/>
  <c r="C101" i="34"/>
  <c r="D101" i="34"/>
  <c r="B102" i="34"/>
  <c r="C102" i="34"/>
  <c r="D102" i="34"/>
  <c r="B103" i="34"/>
  <c r="C103" i="34"/>
  <c r="D103" i="34"/>
  <c r="B104" i="34"/>
  <c r="C104" i="34"/>
  <c r="D104" i="34"/>
  <c r="B105" i="34"/>
  <c r="C105" i="34"/>
  <c r="D105" i="34"/>
  <c r="B106" i="34"/>
  <c r="C106" i="34"/>
  <c r="D106" i="34"/>
  <c r="B107" i="34"/>
  <c r="C107" i="34"/>
  <c r="D107" i="34"/>
  <c r="B108" i="34"/>
  <c r="C108" i="34"/>
  <c r="D108" i="34"/>
  <c r="B109" i="34"/>
  <c r="C109" i="34"/>
  <c r="D109" i="34"/>
  <c r="B110" i="34"/>
  <c r="C110" i="34"/>
  <c r="D110" i="34"/>
  <c r="B111" i="34"/>
  <c r="C111" i="34"/>
  <c r="D111" i="34"/>
  <c r="B112" i="34"/>
  <c r="C112" i="34"/>
  <c r="D112" i="34"/>
  <c r="B113" i="34"/>
  <c r="C113" i="34"/>
  <c r="D113" i="34"/>
  <c r="B114" i="34"/>
  <c r="C114" i="34"/>
  <c r="D114" i="34"/>
  <c r="B115" i="34"/>
  <c r="C115" i="34"/>
  <c r="D115" i="34"/>
  <c r="B116" i="34"/>
  <c r="C116" i="34"/>
  <c r="D116" i="34"/>
  <c r="B117" i="34"/>
  <c r="C117" i="34"/>
  <c r="D117" i="34"/>
  <c r="B118" i="34"/>
  <c r="C118" i="34"/>
  <c r="D118" i="34"/>
  <c r="B119" i="34"/>
  <c r="C119" i="34"/>
  <c r="D119" i="34"/>
  <c r="B120" i="34"/>
  <c r="C120" i="34"/>
  <c r="D120" i="34"/>
  <c r="B121" i="34"/>
  <c r="C121" i="34"/>
  <c r="D121" i="34"/>
  <c r="B122" i="34"/>
  <c r="C122" i="34"/>
  <c r="D122" i="34"/>
  <c r="B123" i="34"/>
  <c r="C123" i="34"/>
  <c r="D123" i="34"/>
  <c r="B124" i="34"/>
  <c r="C124" i="34"/>
  <c r="D124" i="34"/>
  <c r="B125" i="34"/>
  <c r="C125" i="34"/>
  <c r="D125" i="34"/>
  <c r="B126" i="34"/>
  <c r="C126" i="34"/>
  <c r="D126" i="34"/>
  <c r="B127" i="34"/>
  <c r="C127" i="34"/>
  <c r="D127" i="34"/>
  <c r="B128" i="34"/>
  <c r="C128" i="34"/>
  <c r="D128" i="34"/>
  <c r="B129" i="34"/>
  <c r="C129" i="34"/>
  <c r="D129" i="34"/>
  <c r="B130" i="34"/>
  <c r="C130" i="34"/>
  <c r="D130" i="34"/>
  <c r="B131" i="34"/>
  <c r="C131" i="34"/>
  <c r="D131" i="34"/>
  <c r="B132" i="34"/>
  <c r="C132" i="34"/>
  <c r="D132" i="34"/>
  <c r="B133" i="34"/>
  <c r="C133" i="34"/>
  <c r="D133" i="34"/>
  <c r="B134" i="34"/>
  <c r="C134" i="34"/>
  <c r="D134" i="34"/>
  <c r="B135" i="34"/>
  <c r="C135" i="34"/>
  <c r="D135" i="34"/>
  <c r="B136" i="34"/>
  <c r="C136" i="34"/>
  <c r="D136" i="34"/>
  <c r="B137" i="34"/>
  <c r="C137" i="34"/>
  <c r="D137" i="34"/>
  <c r="B138" i="34"/>
  <c r="C138" i="34"/>
  <c r="D138" i="34"/>
  <c r="B139" i="34"/>
  <c r="C139" i="34"/>
  <c r="D139" i="34"/>
  <c r="B140" i="34"/>
  <c r="C140" i="34"/>
  <c r="D140" i="34"/>
  <c r="B141" i="34"/>
  <c r="C141" i="34"/>
  <c r="D141" i="34"/>
  <c r="B142" i="34"/>
  <c r="C142" i="34"/>
  <c r="D142" i="34"/>
  <c r="B143" i="34"/>
  <c r="C143" i="34"/>
  <c r="D143" i="34"/>
  <c r="B144" i="34"/>
  <c r="C144" i="34"/>
  <c r="D144" i="34"/>
  <c r="B145" i="34"/>
  <c r="C145" i="34"/>
  <c r="D145" i="34"/>
  <c r="B146" i="34"/>
  <c r="C146" i="34"/>
  <c r="D146" i="34"/>
  <c r="B147" i="34"/>
  <c r="C147" i="34"/>
  <c r="D147" i="34"/>
  <c r="B148" i="34"/>
  <c r="C148" i="34"/>
  <c r="D148" i="34"/>
  <c r="B149" i="34"/>
  <c r="C149" i="34"/>
  <c r="D149" i="34"/>
  <c r="B150" i="34"/>
  <c r="C150" i="34"/>
  <c r="D150" i="34"/>
  <c r="B151" i="34"/>
  <c r="C151" i="34"/>
  <c r="D151" i="34"/>
  <c r="B152" i="34"/>
  <c r="C152" i="34"/>
  <c r="D152" i="34"/>
  <c r="B153" i="34"/>
  <c r="C153" i="34"/>
  <c r="D153" i="34"/>
  <c r="B154" i="34"/>
  <c r="C154" i="34"/>
  <c r="D154" i="34"/>
  <c r="B155" i="34"/>
  <c r="C155" i="34"/>
  <c r="D155" i="34"/>
  <c r="B156" i="34"/>
  <c r="C156" i="34"/>
  <c r="D156" i="34"/>
  <c r="B157" i="34"/>
  <c r="C157" i="34"/>
  <c r="D157" i="34"/>
  <c r="B158" i="34"/>
  <c r="C158" i="34"/>
  <c r="D158" i="34"/>
  <c r="B159" i="34"/>
  <c r="C159" i="34"/>
  <c r="D159" i="34"/>
  <c r="B160" i="34"/>
  <c r="C160" i="34"/>
  <c r="D160" i="34"/>
  <c r="B161" i="34"/>
  <c r="C161" i="34"/>
  <c r="D161" i="34"/>
  <c r="B162" i="34"/>
  <c r="C162" i="34"/>
  <c r="D162" i="34"/>
  <c r="B163" i="34"/>
  <c r="C163" i="34"/>
  <c r="D163" i="34"/>
  <c r="B164" i="34"/>
  <c r="C164" i="34"/>
  <c r="D164" i="34"/>
  <c r="B165" i="34"/>
  <c r="C165" i="34"/>
  <c r="D165" i="34"/>
  <c r="AE2" i="32"/>
  <c r="AG2" i="32"/>
  <c r="Q3" i="32"/>
  <c r="AE3" i="32"/>
  <c r="AG3" i="32"/>
  <c r="R4" i="32"/>
  <c r="AE4" i="32"/>
  <c r="AG4" i="32"/>
  <c r="R5" i="32"/>
  <c r="AE5" i="32"/>
  <c r="AG5" i="32"/>
  <c r="AE6" i="32"/>
  <c r="AG6" i="32"/>
  <c r="AE7" i="32"/>
  <c r="AG7" i="32"/>
  <c r="AE8" i="32"/>
  <c r="AG8" i="32"/>
  <c r="AE9" i="32"/>
  <c r="AG9" i="32"/>
  <c r="AE10" i="32"/>
  <c r="AG10" i="32"/>
  <c r="R11" i="32"/>
  <c r="AE11" i="32"/>
  <c r="AG11" i="32"/>
  <c r="R12" i="32"/>
  <c r="AE12" i="32"/>
  <c r="AG12" i="32"/>
  <c r="AE13" i="32"/>
  <c r="AG13" i="32"/>
  <c r="R14" i="32"/>
  <c r="AE14" i="32"/>
  <c r="AG14" i="32"/>
  <c r="AE15" i="32"/>
  <c r="AG15" i="32"/>
  <c r="AE16" i="32"/>
  <c r="AG16" i="32"/>
  <c r="AE17" i="32"/>
  <c r="AG17" i="32"/>
  <c r="AE18" i="32"/>
  <c r="AG18" i="32"/>
  <c r="AE19" i="32"/>
  <c r="AG19" i="32"/>
  <c r="R20" i="32"/>
  <c r="AE20" i="32"/>
  <c r="AG20" i="32"/>
  <c r="AE21" i="32"/>
  <c r="AG21" i="32"/>
  <c r="H22" i="32"/>
  <c r="AE22" i="32"/>
  <c r="AG22" i="32"/>
  <c r="AE23" i="32"/>
  <c r="AG23" i="32"/>
  <c r="AE24" i="32"/>
  <c r="AG24" i="32"/>
  <c r="H25" i="32"/>
  <c r="AE25" i="32"/>
  <c r="AG25" i="32"/>
  <c r="H26" i="32"/>
  <c r="AE26" i="32"/>
  <c r="AG26" i="32"/>
  <c r="AE27" i="32"/>
  <c r="AG27" i="32"/>
  <c r="R28" i="32"/>
  <c r="U28" i="32"/>
  <c r="AE28" i="32"/>
  <c r="AG28" i="32"/>
  <c r="R29" i="32"/>
  <c r="AE29" i="32"/>
  <c r="AG29" i="32"/>
  <c r="R30" i="32"/>
  <c r="AE30" i="32"/>
  <c r="AG30" i="32"/>
  <c r="AE31" i="32"/>
  <c r="AG31" i="32"/>
  <c r="AE32" i="32"/>
  <c r="AG32" i="32"/>
  <c r="AE33" i="32"/>
  <c r="AG33" i="32"/>
  <c r="AE35" i="32"/>
  <c r="AG35" i="32"/>
  <c r="AE36" i="32"/>
  <c r="AG36" i="32"/>
  <c r="H37" i="32"/>
  <c r="AE37" i="32"/>
  <c r="AG37" i="32"/>
  <c r="AE38" i="32"/>
  <c r="AG38" i="32"/>
  <c r="R39" i="32"/>
  <c r="AE39" i="32"/>
  <c r="AG39" i="32"/>
  <c r="R40" i="32"/>
  <c r="AE40" i="32"/>
  <c r="AG40" i="32"/>
  <c r="AE41" i="32"/>
  <c r="AG41" i="32"/>
  <c r="AE42" i="32"/>
  <c r="AG42" i="32"/>
  <c r="A43" i="32"/>
  <c r="B43" i="32"/>
  <c r="C43" i="32"/>
  <c r="D43" i="32"/>
  <c r="E43" i="32"/>
  <c r="H43" i="32"/>
  <c r="AE43" i="32"/>
  <c r="AG43" i="32"/>
  <c r="AE44" i="32"/>
  <c r="AG44" i="32"/>
  <c r="AE45" i="32"/>
  <c r="AG45" i="32"/>
  <c r="AE46" i="32"/>
  <c r="AG46" i="32"/>
  <c r="AE47" i="32"/>
  <c r="AG47" i="32"/>
  <c r="AE48" i="32"/>
  <c r="AG48" i="32"/>
  <c r="AE49" i="32"/>
  <c r="AG49" i="32"/>
  <c r="R50" i="32"/>
  <c r="AE50" i="32"/>
  <c r="AG50" i="32"/>
  <c r="R51" i="32"/>
  <c r="AE51" i="32"/>
  <c r="AG51" i="32"/>
  <c r="R52" i="32"/>
  <c r="AE52" i="32"/>
  <c r="AG52" i="32"/>
  <c r="R53" i="32"/>
  <c r="AE53" i="32"/>
  <c r="AG53" i="32"/>
  <c r="R54" i="32"/>
  <c r="AE54" i="32"/>
  <c r="AG54" i="32"/>
  <c r="R55" i="32"/>
  <c r="AE55" i="32"/>
  <c r="AG55" i="32"/>
  <c r="R56" i="32"/>
  <c r="AE56" i="32"/>
  <c r="AG56" i="32"/>
  <c r="AE57" i="32"/>
  <c r="AG57" i="32"/>
  <c r="AE58" i="32"/>
  <c r="AG58" i="32"/>
  <c r="AE59" i="32"/>
  <c r="AG59" i="32"/>
  <c r="AE60" i="32"/>
  <c r="AG60" i="32"/>
  <c r="AE61" i="32"/>
  <c r="AG61" i="32"/>
  <c r="R62" i="32"/>
  <c r="AE62" i="32"/>
  <c r="AG62" i="32"/>
  <c r="R63" i="32"/>
  <c r="AE63" i="32"/>
  <c r="AG63" i="32"/>
  <c r="R64" i="32"/>
  <c r="AE64" i="32"/>
  <c r="AG64" i="32"/>
  <c r="R65" i="32"/>
  <c r="AE65" i="32"/>
  <c r="AG65" i="32"/>
  <c r="R66" i="32"/>
  <c r="AE66" i="32"/>
  <c r="AG66" i="32"/>
  <c r="R67" i="32"/>
  <c r="AE67" i="32"/>
  <c r="AG67" i="32"/>
  <c r="AE68" i="32"/>
  <c r="AG68" i="32"/>
  <c r="AE69" i="32"/>
  <c r="AG69" i="32"/>
  <c r="H70" i="32"/>
  <c r="AE70" i="32"/>
  <c r="AG70" i="32"/>
  <c r="AE71" i="32"/>
  <c r="AG71" i="32"/>
  <c r="R72" i="32"/>
  <c r="AE72" i="32"/>
  <c r="AG72" i="32"/>
  <c r="R73" i="32"/>
  <c r="AE73" i="32"/>
  <c r="AG73" i="32"/>
  <c r="R74" i="32"/>
  <c r="AE74" i="32"/>
  <c r="AG74" i="32"/>
  <c r="R75" i="32"/>
  <c r="AE75" i="32"/>
  <c r="AG75" i="32"/>
  <c r="AE76" i="32"/>
  <c r="AG76" i="32"/>
  <c r="AE77" i="32"/>
  <c r="AG77" i="32"/>
  <c r="AE78" i="32"/>
  <c r="AG78" i="32"/>
  <c r="AE79" i="32"/>
  <c r="AG79" i="32"/>
  <c r="AE80" i="32"/>
  <c r="AG80" i="32"/>
  <c r="AE81" i="32"/>
  <c r="AG81" i="32"/>
  <c r="AE82" i="32"/>
  <c r="AG82" i="32"/>
  <c r="AE83" i="32"/>
  <c r="AG83" i="32"/>
  <c r="R84" i="32"/>
  <c r="AE84" i="32"/>
  <c r="AG84" i="32"/>
  <c r="AE85" i="32"/>
  <c r="AG85" i="32"/>
  <c r="R86" i="32"/>
  <c r="AA86" i="32"/>
  <c r="AE86" i="32"/>
  <c r="AG86" i="32"/>
  <c r="R87" i="32"/>
  <c r="AE87" i="32"/>
  <c r="AG87" i="32"/>
  <c r="R88" i="32"/>
  <c r="AA88" i="32"/>
  <c r="AE88" i="32"/>
  <c r="AG88" i="32"/>
  <c r="R89" i="32"/>
  <c r="AA89" i="32"/>
  <c r="AE89" i="32"/>
  <c r="AG89" i="32"/>
  <c r="R90" i="32"/>
  <c r="AA90" i="32"/>
  <c r="AE90" i="32"/>
  <c r="AG90" i="32"/>
  <c r="R91" i="32"/>
  <c r="AA91" i="32"/>
  <c r="AE91" i="32"/>
  <c r="AG91" i="32"/>
  <c r="R92" i="32"/>
  <c r="AA92" i="32"/>
  <c r="AE92" i="32"/>
  <c r="AG92" i="32"/>
  <c r="R93" i="32"/>
  <c r="AA93" i="32"/>
  <c r="AE93" i="32"/>
  <c r="AG93" i="32"/>
  <c r="AE94" i="32"/>
  <c r="AG94" i="32"/>
  <c r="AE95" i="32"/>
  <c r="AG95" i="32"/>
  <c r="R96" i="32"/>
  <c r="AE96" i="32"/>
  <c r="AG96" i="32"/>
  <c r="R97" i="32"/>
  <c r="AE97" i="32"/>
  <c r="AG97" i="32"/>
  <c r="R98" i="32"/>
  <c r="AE98" i="32"/>
  <c r="AG98" i="32"/>
  <c r="R99" i="32"/>
  <c r="AE99" i="32"/>
  <c r="AG99" i="32"/>
  <c r="R100" i="32"/>
  <c r="AE100" i="32"/>
  <c r="AG100" i="32"/>
  <c r="R101" i="32"/>
  <c r="AE101" i="32"/>
  <c r="AG101" i="32"/>
  <c r="R102" i="32"/>
  <c r="AA102" i="32"/>
  <c r="AE102" i="32"/>
  <c r="AG102" i="32"/>
  <c r="R103" i="32"/>
  <c r="AA103" i="32"/>
  <c r="AE103" i="32"/>
  <c r="AG103" i="32"/>
  <c r="R104" i="32"/>
  <c r="AA104" i="32"/>
  <c r="AE104" i="32"/>
  <c r="AG104" i="32"/>
  <c r="R105" i="32"/>
  <c r="AE105" i="32"/>
  <c r="AG105" i="32"/>
  <c r="R106" i="32"/>
  <c r="AE106" i="32"/>
  <c r="AG106" i="32"/>
  <c r="R107" i="32"/>
  <c r="AE107" i="32"/>
  <c r="AG107" i="32"/>
  <c r="AE108" i="32"/>
  <c r="AG108" i="32"/>
  <c r="R109" i="32"/>
  <c r="AE109" i="32"/>
  <c r="AG109" i="32"/>
  <c r="R110" i="32"/>
  <c r="AE110" i="32"/>
  <c r="AG110" i="32"/>
  <c r="P111" i="32"/>
  <c r="R111" i="32"/>
  <c r="AE111" i="32"/>
  <c r="AG111" i="32"/>
  <c r="P112" i="32"/>
  <c r="R112" i="32"/>
  <c r="AE112" i="32"/>
  <c r="AG112" i="32"/>
  <c r="P113" i="32"/>
  <c r="R113" i="32"/>
  <c r="AE113" i="32"/>
  <c r="AG113" i="32"/>
  <c r="R114" i="32"/>
  <c r="AE114" i="32"/>
  <c r="AG114" i="32"/>
  <c r="R115" i="32"/>
  <c r="AE115" i="32"/>
  <c r="AG115" i="32"/>
  <c r="R116" i="32"/>
  <c r="AE116" i="32"/>
  <c r="AG116" i="32"/>
  <c r="R117" i="32"/>
  <c r="AE117" i="32"/>
  <c r="AG117" i="32"/>
  <c r="R118" i="32"/>
  <c r="AE118" i="32"/>
  <c r="AG118" i="32"/>
  <c r="R119" i="32"/>
  <c r="AE119" i="32"/>
  <c r="AG119" i="32"/>
  <c r="R120" i="32"/>
  <c r="AE120" i="32"/>
  <c r="AG120" i="32"/>
  <c r="P121" i="32"/>
  <c r="R121" i="32"/>
  <c r="AE121" i="32"/>
  <c r="AG121" i="32"/>
  <c r="R122" i="32"/>
  <c r="AE122" i="32"/>
  <c r="AG122" i="32"/>
  <c r="R123" i="32"/>
  <c r="AE123" i="32"/>
  <c r="AG123" i="32"/>
  <c r="R124" i="32"/>
  <c r="AE124" i="32"/>
  <c r="AG124" i="32"/>
  <c r="R125" i="32"/>
  <c r="AE125" i="32"/>
  <c r="AG125" i="32"/>
  <c r="R126" i="32"/>
  <c r="AE126" i="32"/>
  <c r="AG126" i="32"/>
  <c r="R127" i="32"/>
  <c r="AE127" i="32"/>
  <c r="AG127" i="32"/>
  <c r="R128" i="32"/>
  <c r="AE128" i="32"/>
  <c r="AG128" i="32"/>
  <c r="R129" i="32"/>
  <c r="AE129" i="32"/>
  <c r="AG129" i="32"/>
  <c r="R130" i="32"/>
  <c r="AA130" i="32"/>
  <c r="AE130" i="32"/>
  <c r="AG130" i="32"/>
  <c r="R131" i="32"/>
  <c r="AA131" i="32"/>
  <c r="AE131" i="32"/>
  <c r="AG131" i="32"/>
  <c r="R132" i="32"/>
  <c r="AA132" i="32"/>
  <c r="AE132" i="32"/>
  <c r="AG132" i="32"/>
  <c r="R133" i="32"/>
  <c r="AA133" i="32"/>
  <c r="AE133" i="32"/>
  <c r="AG133" i="32"/>
  <c r="R134" i="32"/>
  <c r="AA134" i="32"/>
  <c r="AE134" i="32"/>
  <c r="AG134" i="32"/>
  <c r="R135" i="32"/>
  <c r="AE135" i="32"/>
  <c r="AG135" i="32"/>
  <c r="R136" i="32"/>
  <c r="AE136" i="32"/>
  <c r="AG136" i="32"/>
  <c r="AE137" i="32"/>
  <c r="AG137" i="32"/>
  <c r="R138" i="32"/>
  <c r="AE138" i="32"/>
  <c r="AG138" i="32"/>
  <c r="R139" i="32"/>
  <c r="AE139" i="32"/>
  <c r="AG139" i="32"/>
  <c r="Q140" i="32"/>
  <c r="AE140" i="32"/>
  <c r="AG140" i="32"/>
  <c r="R141" i="32"/>
  <c r="AE141" i="32"/>
  <c r="AG141" i="32"/>
  <c r="R142" i="32"/>
  <c r="AE142" i="32"/>
  <c r="AG142" i="32"/>
  <c r="R143" i="32"/>
  <c r="AE143" i="32"/>
  <c r="AG143" i="32"/>
  <c r="R144" i="32"/>
  <c r="AE144" i="32"/>
  <c r="AG144" i="32"/>
  <c r="AE145" i="32"/>
  <c r="AG145" i="32"/>
  <c r="AE146" i="32"/>
  <c r="AG146" i="32"/>
  <c r="AE147" i="32"/>
  <c r="AG147" i="32"/>
  <c r="AE148" i="32"/>
  <c r="AG148" i="32"/>
  <c r="AA149" i="32"/>
  <c r="AE149" i="32"/>
  <c r="AG149" i="32"/>
  <c r="AA150" i="32"/>
  <c r="AE150" i="32"/>
  <c r="AG150" i="32"/>
  <c r="AE151" i="32"/>
  <c r="AG151" i="32"/>
  <c r="P152" i="32"/>
  <c r="AA152" i="32"/>
  <c r="AE152" i="32"/>
  <c r="AG152" i="32"/>
  <c r="AE153" i="32"/>
  <c r="AG153" i="32"/>
  <c r="AE154" i="32"/>
  <c r="AG154" i="32"/>
  <c r="AE155" i="32"/>
  <c r="AG155" i="32"/>
  <c r="AE156" i="32"/>
  <c r="AG156" i="32"/>
  <c r="O157" i="32"/>
  <c r="R157" i="32"/>
  <c r="AE157" i="32"/>
  <c r="AG157" i="32"/>
  <c r="R158" i="32"/>
  <c r="AE158" i="32"/>
  <c r="AG158" i="32"/>
  <c r="R159" i="32"/>
  <c r="AE159" i="32"/>
  <c r="AG159" i="32"/>
  <c r="P160" i="32"/>
  <c r="R160" i="32"/>
  <c r="AE160" i="32"/>
  <c r="AG160" i="32"/>
  <c r="R161" i="32"/>
  <c r="AE161" i="32"/>
  <c r="AG161" i="32"/>
  <c r="R162" i="32"/>
  <c r="AE162" i="32"/>
  <c r="AG162" i="32"/>
  <c r="R163" i="32"/>
  <c r="AE163" i="32"/>
  <c r="AG163" i="32"/>
  <c r="R164" i="32"/>
  <c r="AE164" i="32"/>
  <c r="AG164" i="32"/>
  <c r="R165" i="32"/>
  <c r="AE165" i="32"/>
  <c r="AG165" i="32"/>
  <c r="R166" i="32"/>
  <c r="AE166" i="32"/>
  <c r="AG166" i="32"/>
  <c r="R167" i="32"/>
  <c r="AE167" i="32"/>
  <c r="AG167" i="32"/>
  <c r="R168" i="32"/>
  <c r="AE168" i="32"/>
  <c r="AG168" i="32"/>
  <c r="R169" i="32"/>
  <c r="AE169" i="32"/>
  <c r="AG169" i="32"/>
  <c r="R170" i="32"/>
  <c r="AE170" i="32"/>
  <c r="AG170" i="32"/>
  <c r="R171" i="32"/>
  <c r="AE171" i="32"/>
  <c r="AG171" i="32"/>
  <c r="AA172" i="32"/>
  <c r="AE172" i="32"/>
  <c r="AG172" i="32"/>
  <c r="AA173" i="32"/>
  <c r="AE173" i="32"/>
  <c r="AG173" i="32"/>
  <c r="AA174" i="32"/>
  <c r="AE174" i="32"/>
  <c r="AG174" i="32"/>
  <c r="AA175" i="32"/>
  <c r="AE175" i="32"/>
  <c r="AG175" i="32"/>
  <c r="AE176" i="32"/>
  <c r="AG176" i="32"/>
  <c r="AE177" i="32"/>
  <c r="AG177" i="32"/>
  <c r="AA178" i="32"/>
  <c r="AE178" i="32"/>
  <c r="AG178" i="32"/>
  <c r="AE179" i="32"/>
  <c r="AG179" i="32"/>
  <c r="P180" i="32"/>
  <c r="AE180" i="32"/>
  <c r="AG180" i="32"/>
  <c r="AE181" i="32"/>
  <c r="AG181" i="32"/>
  <c r="AE182" i="32"/>
  <c r="AG182" i="32"/>
  <c r="Q183" i="32"/>
  <c r="AE183" i="32"/>
  <c r="AG183" i="32"/>
  <c r="O184" i="32"/>
  <c r="AE184" i="32"/>
  <c r="AG184" i="32"/>
  <c r="AE185" i="32"/>
  <c r="AG185" i="32"/>
  <c r="AE186" i="32"/>
  <c r="AG186" i="32"/>
  <c r="AE187" i="32"/>
  <c r="AG187" i="32"/>
  <c r="AE188" i="32"/>
  <c r="AG188" i="32"/>
  <c r="AE189" i="32"/>
  <c r="AG189" i="32"/>
  <c r="AE190" i="32"/>
  <c r="AG190" i="32"/>
  <c r="P191" i="32"/>
  <c r="AE191" i="32"/>
  <c r="AG191" i="32"/>
  <c r="AE192" i="32"/>
  <c r="AG192" i="32"/>
  <c r="AE193" i="32"/>
  <c r="AG193" i="32"/>
  <c r="O194" i="32"/>
  <c r="AE194" i="32"/>
  <c r="AG194" i="32"/>
  <c r="AE195" i="32"/>
  <c r="AG195" i="32"/>
  <c r="AE196" i="32"/>
  <c r="AG196" i="32"/>
  <c r="AE197" i="32"/>
  <c r="AG197" i="32"/>
  <c r="AE198" i="32"/>
  <c r="AG198" i="32"/>
  <c r="AE199" i="32"/>
  <c r="AG199" i="32"/>
  <c r="AE200" i="32"/>
  <c r="AG200" i="32"/>
  <c r="P201" i="32"/>
  <c r="AE201" i="32"/>
  <c r="AG201" i="32"/>
  <c r="AE202" i="32"/>
  <c r="AG202" i="32"/>
  <c r="AE203" i="32"/>
  <c r="AG203" i="32"/>
  <c r="AE204" i="32"/>
  <c r="AG204" i="32"/>
  <c r="AE205" i="32"/>
  <c r="AG205" i="32"/>
  <c r="AE206" i="32"/>
  <c r="AG206" i="32"/>
  <c r="R207" i="32"/>
  <c r="AE207" i="32"/>
  <c r="AG207" i="32"/>
  <c r="AE208" i="32"/>
  <c r="AG208" i="32"/>
  <c r="AE209" i="32"/>
  <c r="AG209" i="32"/>
  <c r="AE210" i="32"/>
  <c r="AG210" i="32"/>
  <c r="AE211" i="32"/>
  <c r="AG211" i="32"/>
  <c r="AE212" i="32"/>
  <c r="AG212" i="32"/>
  <c r="AE213" i="32"/>
  <c r="AG213" i="32"/>
  <c r="AE215" i="32"/>
  <c r="AG215" i="32"/>
  <c r="AE214" i="32"/>
  <c r="AG214" i="32"/>
  <c r="R2" i="1"/>
  <c r="AE2" i="1"/>
  <c r="AG2" i="1"/>
  <c r="R3" i="1"/>
  <c r="AE3" i="1"/>
  <c r="AG3" i="1"/>
  <c r="R4" i="1"/>
  <c r="AE4" i="1"/>
  <c r="AG4" i="1"/>
  <c r="R5" i="1"/>
  <c r="AE5" i="1"/>
  <c r="AG5" i="1"/>
  <c r="R6" i="1"/>
  <c r="AE6" i="1"/>
  <c r="AG6" i="1"/>
  <c r="AE7" i="1"/>
  <c r="AG7" i="1"/>
  <c r="AE8" i="1"/>
  <c r="AG8" i="1"/>
  <c r="AE9" i="1"/>
  <c r="AG9" i="1"/>
  <c r="AE10" i="1"/>
  <c r="AG10" i="1"/>
  <c r="AE11" i="1"/>
  <c r="AG11" i="1"/>
  <c r="AE12" i="1"/>
  <c r="AG12" i="1"/>
  <c r="AE13" i="1"/>
  <c r="AG13" i="1"/>
  <c r="AE14" i="1"/>
  <c r="AG14" i="1"/>
  <c r="AE15" i="1"/>
  <c r="AG15" i="1"/>
  <c r="AE16" i="1"/>
  <c r="AG16" i="1"/>
  <c r="AE17" i="1"/>
  <c r="AG17" i="1"/>
  <c r="AE18" i="1"/>
  <c r="AG18" i="1"/>
  <c r="AE19" i="1"/>
  <c r="AG19" i="1"/>
  <c r="AE20" i="1"/>
  <c r="AG20" i="1"/>
  <c r="AE21" i="1"/>
  <c r="AG21" i="1"/>
  <c r="AE22" i="1"/>
  <c r="AG22" i="1"/>
  <c r="AE23" i="1"/>
  <c r="AG23" i="1"/>
  <c r="AE24" i="1"/>
  <c r="AG24" i="1"/>
  <c r="AE25" i="1"/>
  <c r="AG25" i="1"/>
  <c r="AE26" i="1"/>
  <c r="AG26" i="1"/>
  <c r="AE27" i="1"/>
  <c r="AG27" i="1"/>
  <c r="AE28" i="1"/>
  <c r="AG28" i="1"/>
  <c r="AE29" i="1"/>
  <c r="AG29" i="1"/>
  <c r="AE30" i="1"/>
  <c r="AG30" i="1"/>
  <c r="AE31" i="1"/>
  <c r="AG31" i="1"/>
  <c r="AE32" i="1"/>
  <c r="AG32" i="1"/>
  <c r="AE33" i="1"/>
  <c r="AG33" i="1"/>
  <c r="AE34" i="1"/>
  <c r="AG34" i="1"/>
  <c r="AE35" i="1"/>
  <c r="AG35" i="1"/>
  <c r="AE36" i="1"/>
  <c r="AG36" i="1"/>
  <c r="AE37" i="1"/>
  <c r="AG37" i="1"/>
  <c r="AE38" i="1"/>
  <c r="AG38" i="1"/>
  <c r="AE39" i="1"/>
  <c r="AG39" i="1"/>
  <c r="AE40" i="1"/>
  <c r="AG40" i="1"/>
  <c r="AE41" i="1"/>
  <c r="AG41" i="1"/>
  <c r="AE42" i="1"/>
  <c r="AG42" i="1"/>
  <c r="AE43" i="1"/>
  <c r="AG43" i="1"/>
  <c r="AE44" i="1"/>
  <c r="AG44" i="1"/>
  <c r="AE45" i="1"/>
  <c r="AG45" i="1"/>
  <c r="AE46" i="1"/>
  <c r="AG46" i="1"/>
  <c r="AE47" i="1"/>
  <c r="AG47" i="1"/>
  <c r="AE48" i="1"/>
  <c r="AG48" i="1"/>
  <c r="AE49" i="1"/>
  <c r="AG49" i="1"/>
  <c r="AE50" i="1"/>
  <c r="AG50" i="1"/>
  <c r="AE51" i="1"/>
  <c r="AG51" i="1"/>
  <c r="AE52" i="1"/>
  <c r="AG52" i="1"/>
  <c r="Q53" i="1"/>
  <c r="AE53" i="1"/>
  <c r="AG53" i="1"/>
  <c r="AE54" i="1"/>
  <c r="AG54" i="1"/>
  <c r="AE55" i="1"/>
  <c r="AG55" i="1"/>
  <c r="AE56" i="1"/>
  <c r="AG56" i="1"/>
  <c r="AE57" i="1"/>
  <c r="AG57" i="1"/>
  <c r="AE58" i="1"/>
  <c r="AG58" i="1"/>
  <c r="AE59" i="1"/>
  <c r="AG59" i="1"/>
  <c r="AE60" i="1"/>
  <c r="AG60" i="1"/>
  <c r="AE61" i="1"/>
  <c r="AG61" i="1"/>
  <c r="AE62" i="1"/>
  <c r="AG62" i="1"/>
  <c r="AE63" i="1"/>
  <c r="AG63" i="1"/>
  <c r="AE64" i="1"/>
  <c r="AG64" i="1"/>
  <c r="AE65" i="1"/>
  <c r="AG65" i="1"/>
  <c r="AE66" i="1"/>
  <c r="AG66" i="1"/>
  <c r="AE67" i="1"/>
  <c r="AG67" i="1"/>
  <c r="AE68" i="1"/>
  <c r="AG68" i="1"/>
  <c r="AE69" i="1"/>
  <c r="AG69" i="1"/>
  <c r="AE70" i="1"/>
  <c r="AG70" i="1"/>
  <c r="AE71" i="1"/>
  <c r="AG71" i="1"/>
  <c r="AE72" i="1"/>
  <c r="AG72" i="1"/>
  <c r="Z73" i="1"/>
  <c r="AE73" i="1"/>
  <c r="AG73" i="1"/>
  <c r="AE74" i="1"/>
  <c r="AG74" i="1"/>
  <c r="AE75" i="1"/>
  <c r="AG75" i="1"/>
  <c r="AE76" i="1"/>
  <c r="AG76" i="1"/>
  <c r="AE77" i="1"/>
  <c r="AG77" i="1"/>
  <c r="R78" i="1"/>
  <c r="AE78" i="1"/>
  <c r="AG78" i="1"/>
  <c r="P79" i="1"/>
  <c r="Q79" i="1"/>
  <c r="AE79" i="1"/>
  <c r="AG79" i="1"/>
  <c r="AE80" i="1"/>
  <c r="AG80" i="1"/>
  <c r="AE81" i="1"/>
  <c r="AG81" i="1"/>
  <c r="AE82" i="1"/>
  <c r="AG82" i="1"/>
  <c r="AE83" i="1"/>
  <c r="AG83" i="1"/>
  <c r="AE84" i="1"/>
  <c r="AG84" i="1"/>
  <c r="AE85" i="1"/>
  <c r="AG85" i="1"/>
  <c r="AE86" i="1"/>
  <c r="AG86" i="1"/>
  <c r="AE87" i="1"/>
  <c r="AG87" i="1"/>
  <c r="AE88" i="1"/>
  <c r="AG88" i="1"/>
  <c r="AE89" i="1"/>
  <c r="AG89" i="1"/>
  <c r="AE90" i="1"/>
  <c r="AG90" i="1"/>
  <c r="AE91" i="1"/>
  <c r="AG91" i="1"/>
  <c r="AE92" i="1"/>
  <c r="AG92" i="1"/>
  <c r="AE93" i="1"/>
  <c r="AG93" i="1"/>
  <c r="AE94" i="1"/>
  <c r="AG94" i="1"/>
  <c r="AE95" i="1"/>
  <c r="AG95" i="1"/>
  <c r="AE96" i="1"/>
  <c r="AG96" i="1"/>
  <c r="AE97" i="1"/>
  <c r="AG97" i="1"/>
  <c r="AE98" i="1"/>
  <c r="AG98" i="1"/>
  <c r="AE99" i="1"/>
  <c r="AG99" i="1"/>
  <c r="AE100" i="1"/>
  <c r="AG100" i="1"/>
  <c r="AE101" i="1"/>
  <c r="AG101" i="1"/>
  <c r="AE102" i="1"/>
  <c r="AG102" i="1"/>
  <c r="AE103" i="1"/>
  <c r="AG103" i="1"/>
  <c r="AE104" i="1"/>
  <c r="AG104" i="1"/>
  <c r="AE105" i="1"/>
  <c r="AG105" i="1"/>
  <c r="AE106" i="1"/>
  <c r="AG106" i="1"/>
  <c r="AE107" i="1"/>
  <c r="AG107" i="1"/>
  <c r="AE108" i="1"/>
  <c r="AG108" i="1"/>
  <c r="AE109" i="1"/>
  <c r="AG109" i="1"/>
  <c r="AE110" i="1"/>
  <c r="AG110" i="1"/>
  <c r="AE111" i="1"/>
  <c r="AG111" i="1"/>
  <c r="AE112" i="1"/>
  <c r="AG112" i="1"/>
  <c r="AE113" i="1"/>
  <c r="AG113" i="1"/>
  <c r="AE114" i="1"/>
  <c r="AG114" i="1"/>
  <c r="AE115" i="1"/>
  <c r="AG115" i="1"/>
  <c r="AE116" i="1"/>
  <c r="AG116" i="1"/>
  <c r="AE117" i="1"/>
  <c r="AG117" i="1"/>
  <c r="AE118" i="1"/>
  <c r="AG118" i="1"/>
  <c r="AE119" i="1"/>
  <c r="AG119" i="1"/>
  <c r="AE120" i="1"/>
  <c r="AG120" i="1"/>
  <c r="AE121" i="1"/>
  <c r="AG121" i="1"/>
  <c r="AE122" i="1"/>
  <c r="AG122" i="1"/>
  <c r="AE123" i="1"/>
  <c r="AG123" i="1"/>
  <c r="AA124" i="1"/>
  <c r="AE124" i="1"/>
  <c r="AG124" i="1"/>
  <c r="AE125" i="1"/>
  <c r="AG125" i="1"/>
  <c r="R126" i="1"/>
  <c r="AA126" i="1"/>
  <c r="AE126" i="1"/>
  <c r="AG126" i="1"/>
  <c r="AE127" i="1"/>
  <c r="AG127" i="1"/>
  <c r="AE128" i="1"/>
  <c r="AG128" i="1"/>
  <c r="AE129" i="1"/>
  <c r="AG129" i="1"/>
  <c r="Z130" i="1"/>
  <c r="AE131" i="1"/>
  <c r="AG131" i="1"/>
  <c r="AE132" i="1"/>
  <c r="AG132" i="1"/>
  <c r="AE133" i="1"/>
  <c r="AG133" i="1"/>
  <c r="AE134" i="1"/>
  <c r="AG134" i="1"/>
  <c r="AE135" i="1"/>
  <c r="AG135" i="1"/>
  <c r="AE136" i="1"/>
  <c r="AG136" i="1"/>
  <c r="AE137" i="1"/>
  <c r="AG137" i="1"/>
  <c r="AE138" i="1"/>
  <c r="AG138" i="1"/>
  <c r="AE139" i="1"/>
  <c r="AG139" i="1"/>
  <c r="AE140" i="1"/>
  <c r="AG140" i="1"/>
  <c r="R141" i="1"/>
  <c r="AE141" i="1"/>
  <c r="AG141" i="1"/>
  <c r="AE142" i="1"/>
  <c r="AG142" i="1"/>
  <c r="AE143" i="1"/>
  <c r="AG143" i="1"/>
  <c r="AE144" i="1"/>
  <c r="AG144" i="1"/>
  <c r="AE145" i="1"/>
  <c r="AG145" i="1"/>
  <c r="AE146" i="1"/>
  <c r="AG146" i="1"/>
  <c r="AA147" i="1"/>
  <c r="AE147" i="1"/>
  <c r="AG147" i="1"/>
  <c r="AE148" i="1"/>
  <c r="AG148" i="1"/>
  <c r="AE149" i="1"/>
  <c r="AG149" i="1"/>
  <c r="AE150" i="1"/>
  <c r="AG150" i="1"/>
  <c r="R151" i="1"/>
  <c r="AE151" i="1"/>
  <c r="AG151" i="1"/>
  <c r="AE152" i="1"/>
  <c r="AG152" i="1"/>
  <c r="AE153" i="1"/>
  <c r="AG153" i="1"/>
  <c r="AE154" i="1"/>
  <c r="AG154" i="1"/>
  <c r="AE155" i="1"/>
  <c r="AG155" i="1"/>
  <c r="AE156" i="1"/>
  <c r="AG156" i="1"/>
  <c r="AE157" i="1"/>
  <c r="AG157" i="1"/>
  <c r="AE158" i="1"/>
  <c r="AG158" i="1"/>
  <c r="AE159" i="1"/>
  <c r="AG159" i="1"/>
  <c r="AE160" i="1"/>
  <c r="AG160" i="1"/>
  <c r="AE161" i="1"/>
  <c r="AG161" i="1"/>
  <c r="AE162" i="1"/>
  <c r="AG162" i="1"/>
  <c r="AE163" i="1"/>
  <c r="AG163" i="1"/>
  <c r="AE164" i="1"/>
  <c r="AG164" i="1"/>
  <c r="AE165" i="1"/>
  <c r="AG165" i="1"/>
  <c r="AE166" i="1"/>
  <c r="AG166" i="1"/>
  <c r="AE167" i="1"/>
  <c r="AG167" i="1"/>
  <c r="R168" i="1"/>
  <c r="AA168" i="1"/>
  <c r="AE168" i="1"/>
  <c r="AG168" i="1"/>
  <c r="R169" i="1"/>
  <c r="AA169" i="1"/>
  <c r="AE169" i="1"/>
  <c r="AG169" i="1"/>
  <c r="AA170" i="1"/>
  <c r="AE170" i="1"/>
  <c r="AG170" i="1"/>
  <c r="AE171" i="1"/>
  <c r="AG171" i="1"/>
  <c r="R172" i="1"/>
  <c r="AA172" i="1"/>
  <c r="AE172" i="1"/>
  <c r="AG172" i="1"/>
  <c r="AE173" i="1"/>
  <c r="AG173" i="1"/>
  <c r="AE174" i="1"/>
  <c r="AG174" i="1"/>
  <c r="AE175" i="1"/>
  <c r="AG175" i="1"/>
  <c r="AE176" i="1"/>
  <c r="AG176" i="1"/>
  <c r="Q177" i="1"/>
  <c r="AE177" i="1"/>
  <c r="AG177" i="1"/>
  <c r="AE178" i="1"/>
  <c r="AG178" i="1"/>
  <c r="AE179" i="1"/>
  <c r="AG179" i="1"/>
  <c r="AE180" i="1"/>
  <c r="AG180" i="1"/>
  <c r="AE181" i="1"/>
  <c r="AG181" i="1"/>
  <c r="P182" i="1"/>
  <c r="AE182" i="1"/>
  <c r="AG182" i="1"/>
  <c r="AE183" i="1"/>
  <c r="AG183" i="1"/>
  <c r="AE184" i="1"/>
  <c r="AG184" i="1"/>
  <c r="AE185" i="1"/>
  <c r="AG185" i="1"/>
  <c r="R186" i="1"/>
  <c r="AE186" i="1"/>
  <c r="AG186" i="1"/>
  <c r="AE187" i="1"/>
  <c r="AG187" i="1"/>
  <c r="AE188" i="1"/>
  <c r="AG188" i="1"/>
  <c r="AE189" i="1"/>
  <c r="AG189" i="1"/>
  <c r="R190" i="1"/>
  <c r="AE190" i="1"/>
  <c r="AG190" i="1"/>
  <c r="AE191" i="1"/>
  <c r="AG191" i="1"/>
  <c r="AE192" i="1"/>
  <c r="AG192" i="1"/>
  <c r="AE193" i="1"/>
  <c r="AG193" i="1"/>
  <c r="AE194" i="1"/>
  <c r="AG194" i="1"/>
  <c r="AE195" i="1"/>
  <c r="AG195" i="1"/>
  <c r="R196" i="1"/>
  <c r="AE196" i="1"/>
  <c r="AG196" i="1"/>
  <c r="R197" i="1"/>
  <c r="AE197" i="1"/>
  <c r="AG197" i="1"/>
  <c r="R198" i="1"/>
  <c r="AE198" i="1"/>
  <c r="AG198" i="1"/>
  <c r="AE199" i="1"/>
  <c r="AG199" i="1"/>
  <c r="R200" i="1"/>
  <c r="AE200" i="1"/>
  <c r="AG200" i="1"/>
  <c r="R201" i="1"/>
  <c r="AE201" i="1"/>
  <c r="AG201" i="1"/>
  <c r="R202" i="1"/>
  <c r="AE202" i="1"/>
  <c r="AG202" i="1"/>
  <c r="R203" i="1"/>
  <c r="AE203" i="1"/>
  <c r="AG203" i="1"/>
  <c r="R204" i="1"/>
  <c r="AE204" i="1"/>
  <c r="AG204" i="1"/>
  <c r="R205" i="1"/>
  <c r="AE205" i="1"/>
  <c r="AG205" i="1"/>
  <c r="R206" i="1"/>
  <c r="AE206" i="1"/>
  <c r="AG206" i="1"/>
  <c r="R207" i="1"/>
  <c r="AE207" i="1"/>
  <c r="AG207" i="1"/>
  <c r="Q208" i="1"/>
  <c r="AE208" i="1"/>
  <c r="AG208" i="1"/>
  <c r="R209" i="1"/>
  <c r="AE209" i="1"/>
  <c r="AG209" i="1"/>
  <c r="R210" i="1"/>
  <c r="AE210" i="1"/>
  <c r="AG210" i="1"/>
  <c r="R211" i="1"/>
  <c r="AE211" i="1"/>
  <c r="AG211" i="1"/>
  <c r="R212" i="1"/>
  <c r="AE212" i="1"/>
  <c r="AG212" i="1"/>
  <c r="R213" i="1"/>
  <c r="AE213" i="1"/>
  <c r="AG213" i="1"/>
  <c r="R214" i="1"/>
  <c r="AE214" i="1"/>
  <c r="AG214" i="1"/>
  <c r="R215" i="1"/>
  <c r="AA215" i="1"/>
  <c r="AE215" i="1"/>
  <c r="AG215" i="1"/>
  <c r="R216" i="1"/>
  <c r="Z216" i="1"/>
  <c r="AE216" i="1"/>
  <c r="AG216" i="1"/>
  <c r="R217" i="1"/>
  <c r="AE217" i="1"/>
  <c r="AG217" i="1"/>
  <c r="R218" i="1"/>
  <c r="AE218" i="1"/>
  <c r="AG218" i="1"/>
  <c r="R219" i="1"/>
  <c r="Z219" i="1"/>
  <c r="R220" i="1"/>
  <c r="AE220" i="1"/>
  <c r="AG220" i="1"/>
  <c r="R221" i="1"/>
  <c r="AE221" i="1"/>
  <c r="AG221" i="1"/>
  <c r="R222" i="1"/>
  <c r="AE222" i="1"/>
  <c r="AG222" i="1"/>
  <c r="AE223" i="1"/>
  <c r="AG223" i="1"/>
  <c r="R224" i="1"/>
  <c r="AE224" i="1"/>
  <c r="AG224" i="1"/>
  <c r="R225" i="1"/>
  <c r="AE225" i="1"/>
  <c r="AG225" i="1"/>
  <c r="R226" i="1"/>
  <c r="AE226" i="1"/>
  <c r="AG226" i="1"/>
  <c r="Q227" i="1"/>
  <c r="AE227" i="1"/>
  <c r="AG227" i="1"/>
  <c r="R228" i="1"/>
  <c r="AE228" i="1"/>
  <c r="AG228" i="1"/>
  <c r="R229" i="1"/>
  <c r="AE229" i="1"/>
  <c r="AG229" i="1"/>
  <c r="R230" i="1"/>
  <c r="AE230" i="1"/>
  <c r="AG230" i="1"/>
  <c r="P231" i="1"/>
  <c r="R231" i="1"/>
  <c r="AE231" i="1"/>
  <c r="AG231" i="1"/>
  <c r="P232" i="1"/>
  <c r="R232" i="1"/>
  <c r="AE232" i="1"/>
  <c r="AG232" i="1"/>
  <c r="R233" i="1"/>
  <c r="AE233" i="1"/>
  <c r="AG233" i="1"/>
  <c r="R234" i="1"/>
  <c r="AE234" i="1"/>
  <c r="AG234" i="1"/>
  <c r="R235" i="1"/>
  <c r="AE235" i="1"/>
  <c r="AG235" i="1"/>
  <c r="R236" i="1"/>
  <c r="AE236" i="1"/>
  <c r="AG236" i="1"/>
  <c r="R237" i="1"/>
  <c r="AE237" i="1"/>
  <c r="AG237" i="1"/>
  <c r="R238" i="1"/>
  <c r="AE238" i="1"/>
  <c r="AG238" i="1"/>
  <c r="R239" i="1"/>
  <c r="AE239" i="1"/>
  <c r="AG239" i="1"/>
  <c r="R240" i="1"/>
  <c r="AE240" i="1"/>
  <c r="AG240" i="1"/>
  <c r="R241" i="1"/>
  <c r="AE241" i="1"/>
  <c r="AG241" i="1"/>
  <c r="P242" i="1"/>
  <c r="R242" i="1"/>
  <c r="AE242" i="1"/>
  <c r="AG242" i="1"/>
  <c r="R243" i="1"/>
  <c r="AE243" i="1"/>
  <c r="AG243" i="1"/>
  <c r="R244" i="1"/>
  <c r="AE244" i="1"/>
  <c r="AG244" i="1"/>
  <c r="R245" i="1"/>
  <c r="AE245" i="1"/>
  <c r="AG245" i="1"/>
  <c r="P246" i="1"/>
  <c r="AE246" i="1"/>
  <c r="AG246" i="1"/>
  <c r="R247" i="1"/>
  <c r="AE247" i="1"/>
  <c r="AG247" i="1"/>
  <c r="R248" i="1"/>
  <c r="AE248" i="1"/>
  <c r="AG248" i="1"/>
  <c r="R249" i="1"/>
  <c r="AE249" i="1"/>
  <c r="AG249" i="1"/>
  <c r="AE250" i="1"/>
  <c r="AG250" i="1"/>
  <c r="O251" i="1"/>
  <c r="AE251" i="1"/>
  <c r="AG251" i="1"/>
  <c r="O252" i="1"/>
  <c r="AE252" i="1"/>
  <c r="AG252" i="1"/>
  <c r="P253" i="1"/>
  <c r="AE253" i="1"/>
  <c r="AG253" i="1"/>
  <c r="AE254" i="1"/>
  <c r="AG254" i="1"/>
  <c r="P255" i="1"/>
  <c r="AE255" i="1"/>
  <c r="AG255" i="1"/>
  <c r="AE256" i="1"/>
  <c r="AG256" i="1"/>
  <c r="AE257" i="1"/>
  <c r="AG257" i="1"/>
  <c r="AE258" i="1"/>
  <c r="AG258" i="1"/>
  <c r="AE259" i="1"/>
  <c r="AG259" i="1"/>
  <c r="AE260" i="1"/>
  <c r="AG260" i="1"/>
  <c r="R261" i="1"/>
  <c r="AE261" i="1"/>
  <c r="AG261" i="1"/>
  <c r="AE262" i="1"/>
  <c r="AG262" i="1"/>
  <c r="AE263" i="1"/>
  <c r="AG263" i="1"/>
  <c r="AE264" i="1"/>
  <c r="AG264" i="1"/>
  <c r="AE265" i="1"/>
  <c r="AG265" i="1"/>
  <c r="R266" i="1"/>
  <c r="AA266" i="1"/>
  <c r="AE266" i="1"/>
  <c r="AG266" i="1"/>
  <c r="R267" i="1"/>
  <c r="AE267" i="1"/>
  <c r="AG267" i="1"/>
  <c r="R268" i="1"/>
  <c r="AA268" i="1"/>
  <c r="AE268" i="1"/>
  <c r="AG268" i="1"/>
  <c r="AE269" i="1"/>
  <c r="AG269" i="1"/>
  <c r="AE270" i="1"/>
  <c r="AG270" i="1"/>
  <c r="AE271" i="1"/>
  <c r="AG271" i="1"/>
  <c r="AE272" i="1"/>
  <c r="AG272" i="1"/>
  <c r="AE273" i="1"/>
  <c r="AG273" i="1"/>
  <c r="AE274" i="1"/>
  <c r="AG274" i="1"/>
  <c r="AE275" i="1"/>
  <c r="AG275" i="1"/>
  <c r="AE276" i="1"/>
  <c r="AG276" i="1"/>
  <c r="AE277" i="1"/>
  <c r="AG277" i="1"/>
  <c r="AE278" i="1"/>
  <c r="AG278" i="1"/>
  <c r="AE279" i="1"/>
  <c r="AG279" i="1"/>
  <c r="AE280" i="1"/>
  <c r="AG280" i="1"/>
  <c r="P281" i="1"/>
  <c r="Q281" i="1"/>
  <c r="AE281" i="1"/>
  <c r="AG281" i="1"/>
  <c r="AE282" i="1"/>
  <c r="AG282" i="1"/>
  <c r="AA283" i="1"/>
  <c r="AE283" i="1"/>
  <c r="AG283" i="1"/>
  <c r="AA284" i="1"/>
  <c r="AE284" i="1"/>
  <c r="AG284" i="1"/>
  <c r="P285" i="1"/>
  <c r="Z285" i="1"/>
  <c r="AE285" i="1"/>
  <c r="AG285" i="1"/>
  <c r="AA286" i="1"/>
  <c r="AE286" i="1"/>
  <c r="AG286" i="1"/>
  <c r="AE287" i="1"/>
  <c r="AG287" i="1"/>
  <c r="AA288" i="1"/>
  <c r="AE288" i="1"/>
  <c r="AG288" i="1"/>
  <c r="P289" i="1"/>
  <c r="AA289" i="1"/>
  <c r="AE289" i="1"/>
  <c r="AG289" i="1"/>
  <c r="AA290" i="1"/>
  <c r="AE290" i="1"/>
  <c r="AG290" i="1"/>
  <c r="AE291" i="1"/>
  <c r="AG291" i="1"/>
  <c r="AE292" i="1"/>
  <c r="AG292" i="1"/>
  <c r="AE293" i="1"/>
  <c r="AG293" i="1"/>
  <c r="AE294" i="1"/>
  <c r="AG294" i="1"/>
  <c r="O295" i="1"/>
  <c r="AE295" i="1"/>
  <c r="AG295" i="1"/>
  <c r="AE296" i="1"/>
  <c r="AG296" i="1"/>
  <c r="Q297" i="1"/>
  <c r="AA297" i="1"/>
  <c r="AE297" i="1"/>
  <c r="AG297" i="1"/>
  <c r="AE298" i="1"/>
  <c r="AG298" i="1"/>
  <c r="AE299" i="1"/>
  <c r="AG299" i="1"/>
  <c r="AE300" i="1"/>
  <c r="AG300" i="1"/>
  <c r="Q301" i="1"/>
  <c r="AE301" i="1"/>
  <c r="AG301" i="1"/>
  <c r="AE302" i="1"/>
  <c r="AG302" i="1"/>
  <c r="AE303" i="1"/>
  <c r="AG303" i="1"/>
  <c r="P304" i="1"/>
  <c r="AE304" i="1"/>
  <c r="AG304" i="1"/>
  <c r="Z305" i="1"/>
  <c r="AE305" i="1"/>
  <c r="AG305" i="1"/>
  <c r="AA306" i="1"/>
  <c r="AE306" i="1"/>
  <c r="AG306" i="1"/>
  <c r="R307" i="1"/>
  <c r="AA307" i="1"/>
  <c r="AE307" i="1"/>
  <c r="AG307" i="1"/>
  <c r="AE308" i="1"/>
  <c r="AG308" i="1"/>
  <c r="AE309" i="1"/>
  <c r="AG309" i="1"/>
  <c r="AE310" i="1"/>
  <c r="AG310" i="1"/>
  <c r="AE311" i="1"/>
  <c r="AG311" i="1"/>
  <c r="Q312" i="1"/>
  <c r="AE312" i="1"/>
  <c r="AG312" i="1"/>
  <c r="AA313" i="1"/>
  <c r="AE313" i="1"/>
  <c r="AG313" i="1"/>
  <c r="AA314" i="1"/>
  <c r="AE314" i="1"/>
  <c r="AG314" i="1"/>
  <c r="Z315" i="1"/>
  <c r="AE315" i="1"/>
  <c r="AG315" i="1"/>
  <c r="AE316" i="1"/>
  <c r="AG316" i="1"/>
  <c r="AA317" i="1"/>
  <c r="AE317" i="1"/>
  <c r="AG317" i="1"/>
  <c r="AA318" i="1"/>
  <c r="AE318" i="1"/>
  <c r="AG318" i="1"/>
  <c r="AE319" i="1"/>
  <c r="AG319" i="1"/>
  <c r="AE320" i="1"/>
  <c r="AG320" i="1"/>
  <c r="AA321" i="1"/>
  <c r="AE321" i="1"/>
  <c r="AG321" i="1"/>
  <c r="AA322" i="1"/>
  <c r="AE322" i="1"/>
  <c r="AG322" i="1"/>
  <c r="P323" i="1"/>
  <c r="AE323" i="1"/>
  <c r="AG323" i="1"/>
  <c r="AE324" i="1"/>
  <c r="AG324" i="1"/>
  <c r="Z325" i="1"/>
  <c r="AE325" i="1"/>
  <c r="AG325" i="1"/>
</calcChain>
</file>

<file path=xl/sharedStrings.xml><?xml version="1.0" encoding="utf-8"?>
<sst xmlns="http://schemas.openxmlformats.org/spreadsheetml/2006/main" count="6471" uniqueCount="3360">
  <si>
    <t>We have improved the noise-shaping signal flow in order to solve the latch error problem at low voltage supply and have fabricated a 1.2-V, 16-bit swing-suppression A/D converter for audio. The converter achieves S/(N+THD) of 91.5 dB, DR of 94.0 dB, and low power consumption of 6.5 mW.</t>
  </si>
  <si>
    <t>Power includes digital (addtl. 70mW)</t>
  </si>
  <si>
    <t>A 65fJ/Conversion-Step, 0–50MS/s 0–0.7mW 9bit Charge Sharing SAR ADC in 90nm Digital CMOS</t>
  </si>
  <si>
    <t>Data taken for 20MS/s, Nyquist input (ENOB=7.4)</t>
  </si>
  <si>
    <t>Data taken for GSM mode, (best FOM=0.2pJ/conv-step)</t>
  </si>
  <si>
    <t>Data taken for CDMA mode (best FOM=0.5pJ/conv-step)</t>
  </si>
  <si>
    <t>A MOSFET-only, 10 b, 200 ksample/s A/D converter capable of 12 b untrimmed linearity</t>
  </si>
  <si>
    <t xml:space="preserve">A 7bit 800Msps folding and interpolation ADC is presented. This ADC uses new offset-averaging schemes in preamplifiers and current-mode interpolation stages and a digital-averaging scheme in a comparator stage to operate at higher speed with low power dissipation. The measured SNR is 36.8dB at a 200MHz input frequency. The prototype of the complete ADC is fabricated in a 90nm digital CMOS process and consumes 120mW with 2.5V and 1.2V supply </t>
  </si>
  <si>
    <t xml:space="preserve">A 1.2V 6mW 500MS/s 5-bit ADC for use in a UWB receiver has been fabricated in a pure digital 65nm CMOS technology. The ADC uses a 6-channel time-interleaved successive approximation register architecture. Each of the channels has a split capacitor array to reduce switching energy and sensitivity to digital timing skew. A variable delay line is used to optimize the instant of latch strobing to reduce preamplifier currents </t>
  </si>
  <si>
    <t>A 0.16pJ/Conversion-Step 2.5mW 1.25GS/s 4b ADC in a 90nm Digital CMOS Process</t>
  </si>
  <si>
    <t>G. Van der Plas, S. Decoutere, S. Donnay</t>
  </si>
  <si>
    <t>A 90nm CMOS 1.2V 6b 1GS/s Two-Step Subranging ADC</t>
  </si>
  <si>
    <t>A 4GS/s 4b Flash ADC in 0.18µm CMOS</t>
  </si>
  <si>
    <t>A 22GS/s 5b ADC in 130nm SiGe BiCMOS</t>
  </si>
  <si>
    <t>P. Schvan, D. Pollex, S-C. Wang, C. Falt, N. Ben-Hamida</t>
  </si>
  <si>
    <t>A 6b 600MS/s 5.3mW Asynchronous ADC in 0.13µm CMOS</t>
  </si>
  <si>
    <t>S-W. Chen, R. Brodersen</t>
  </si>
  <si>
    <t>A 1GS/s 11b Time-Interleaved ADC in 0.13µm CMOS</t>
  </si>
  <si>
    <t>S. Gupta, M. Choi, M. Inerfield, J. Wang</t>
  </si>
  <si>
    <t>Subranging</t>
  </si>
  <si>
    <t>ID</t>
  </si>
  <si>
    <t>TYPE</t>
  </si>
  <si>
    <t>OS</t>
  </si>
  <si>
    <t>NQ</t>
  </si>
  <si>
    <t>ARCHITECTURE</t>
  </si>
  <si>
    <t>SDSC</t>
  </si>
  <si>
    <t>Pipe</t>
  </si>
  <si>
    <t>Flash</t>
  </si>
  <si>
    <t>Folding</t>
  </si>
  <si>
    <t>Two-Step</t>
  </si>
  <si>
    <t>SDCT</t>
  </si>
  <si>
    <t>SAR</t>
  </si>
  <si>
    <t>Thanks,</t>
  </si>
  <si>
    <t>Boris</t>
  </si>
  <si>
    <t>YEAR</t>
  </si>
  <si>
    <t>Power inlcudes SHA. SNDR and SFDR taken from charts (diff.)</t>
  </si>
  <si>
    <t>A 0.8V 10b 80MS/s 6.5mW Pipelined ADC with Regulated Overdrive Voltage Biasing</t>
  </si>
  <si>
    <t>Data taken for VDD=0.8V</t>
  </si>
  <si>
    <t>A 92.5mW 205MS/s 10b Pipeline IF ADC Implemented in 1.2V/3.3V 0.13&amp;[mu]m CMOS</t>
  </si>
  <si>
    <t>An 820uW 9b 40MS/s Noise-Tolerant Dynamic0SAR ADC in 90nm Digital CMOS</t>
  </si>
  <si>
    <t>V. Giannini, P. Nuzzo, V. Chironi, A. Baschirotto, G. Vander Plas, J. Craninckx</t>
  </si>
  <si>
    <t>Highly-Intereleaved 5b 250MS/s ADC with Redundant Channels in 65nm CMOS</t>
  </si>
  <si>
    <t>B. Ginsburg, A. Chandrakasan</t>
  </si>
  <si>
    <t>A 150MS/s 133uW 7b ADC in 90nm Digital CMOS Using a Comparator-Based Asynchronous Binary-Search Sub-ADC</t>
  </si>
  <si>
    <t>G. Van der Plas, B. Verbruggen</t>
  </si>
  <si>
    <t>A 1.9uW 4.4fJ/conversion-step 10b 1MS/s Charge-Redistribution ADC</t>
  </si>
  <si>
    <t>M. van Elzakker, E. van Tuijl, P. Geraedts, D. Schinkel, E. Klumperink, B. Nauta</t>
  </si>
  <si>
    <t>A 9.4-ENOB 1V 3.8uW 100kS/s SAR ADC with Time-Domain Comparator</t>
  </si>
  <si>
    <t>A Agnes, E. Bonizzoni, P. Malcovati, F. Maloberti</t>
  </si>
  <si>
    <t>A 14b 100MS/s Pipelined ADC with a Merged Active S/H and first MDAC</t>
  </si>
  <si>
    <t>B. Lee, B. Min, G. Manganaro, J. W. Valvano</t>
  </si>
  <si>
    <t>M. Boulemnakher, E. Andre, J. Roux, F. Paillardet</t>
  </si>
  <si>
    <t>A 2.2mW 5b 1.75GS/s Folding Flash ADC in 90nm Digital CMOS</t>
  </si>
  <si>
    <t>B. Verbruggen, J. Cranickx, M. Kuijk, P. Wambacq, G. Van der Plas</t>
  </si>
  <si>
    <t>A 0.7V 36uW 85dB-DR Audio delta-sigma Modulator Using a Class-C Inverter</t>
  </si>
  <si>
    <t>Y. Chae, I. Lee, G. Han</t>
  </si>
  <si>
    <t>An Inverter-Based Hybrid delta sigma Modulator</t>
  </si>
  <si>
    <t>R. Veldhoven, R. Rutten, L. Breems</t>
  </si>
  <si>
    <t>A Noise-Coupled Time-Interleaved delta sigma AD with 4.2MHz Bw, -98dB THD, and 79dB SNDR</t>
  </si>
  <si>
    <t>K. Lee, J. Chae, M. Aniya, K. Hamashita, K. Takasuka, S. Takeuchi, G. Temes</t>
  </si>
  <si>
    <t>A 28mW Spectrum-Sensing Reconfigurable 20MHz 72dB-SNR 70dB-SNDR DT delta sigma ADC for 802.11n/WiMax Receivers</t>
  </si>
  <si>
    <t>P. Malla, H. Lakdawala, K. Kornegay, K. Soumyanath</t>
  </si>
  <si>
    <t>A 100mW 10MHz-BW CT delta sigma Modulator with 87dB DR and -91dBc IMD</t>
  </si>
  <si>
    <t>A 65nm CMOS CT delta sigma Modulator with 81dB DR and 8MHz BW Auto-Tuned by Pulse Injection</t>
  </si>
  <si>
    <t>Y-S. Shu, B-S. Song, K. Bacrania</t>
  </si>
  <si>
    <t>A CT delta sigma ADC for Voice Coding with 82dB DR in 45nm CMOS</t>
  </si>
  <si>
    <t>L. Doerrer, F. Kuttner, A. Santner, C. Kropf, T. Puaschitz, T. Hartig</t>
  </si>
  <si>
    <t>An Over-60dB True Rail-to-Rail Performance Using Correlated Level Shifting and an Opamp with 30dB Loop Gain</t>
  </si>
  <si>
    <t>A 32mW 1.25GS/s 6b 2b/step SAR ADC in 0.13um CMOS</t>
  </si>
  <si>
    <t>Z. Cao, S. Yan, Y. Li</t>
  </si>
  <si>
    <t>A 24GS/s 6b ADC in 90nm CMOS</t>
  </si>
  <si>
    <t>P. Schvan, J. Bach, C. Falt, P. Flemke, R. Gibbins, Y. Greshishchev, N. Ben-Hamida, D. Pollex, J. Sitch, S-C. Wang, J. Wolczanski</t>
  </si>
  <si>
    <t>A 1V 11b 200MS/s Pipelined ADC with Digital Background Calibration in 65nm CMOS</t>
  </si>
  <si>
    <t>K-W. Hsueh, Y-K. Chou, Y-H. Tu, Y-F. Chen, Y-L. Yang, H-S. Li</t>
  </si>
  <si>
    <t>A Split-Load Interpolation-Amplifier-Array 300MS/s 8b Subranging Adc in 90nm CMOS</t>
  </si>
  <si>
    <t>Y. Shimizu, S. Murayama, K. Kudoh, H. Yatsuda</t>
  </si>
  <si>
    <t>A 6b 0.2-to-0.9V Highly-Digital Flash ADC with Comparator Redundancy</t>
  </si>
  <si>
    <t>D. Daly, A. Chandrakasan</t>
  </si>
  <si>
    <t>A 1 V 6 b 50 MHz current-interpolating CMOS ADC</t>
  </si>
  <si>
    <t xml:space="preserve">Bang-Sup Song   Myung-Jun Choe   Rakers, P.   Gillig, S.   </t>
  </si>
  <si>
    <t xml:space="preserve">Myung-Jun Choe   Bang-Sup Song   Bacrania, K.   </t>
  </si>
  <si>
    <t>A 50-mW 14-bit 2.5-MS/s Σ-Δ modulator in a 0.25 μm digital CMOS technology</t>
  </si>
  <si>
    <t xml:space="preserve">Balmelli, P.   Qiuting Huang   Piazza, F.   </t>
  </si>
  <si>
    <t>0.6 BiCMOS</t>
  </si>
  <si>
    <t>A 12 b 105 Msample/s, 850 mW analog to digital converter</t>
  </si>
  <si>
    <t xml:space="preserve">Michalski, C. </t>
  </si>
  <si>
    <t>An 8-bit 125 MS/s CMOS folding ADC for Gigabit Ethernet LSI</t>
  </si>
  <si>
    <t xml:space="preserve">Kwangho Yoon   Jeongho Lee   Deog-Kyoon Jeong   Wonchan Kim   </t>
  </si>
  <si>
    <t>An 8-bit 30 MS/s 18 mW ADC with 1.8 V single power supply</t>
  </si>
  <si>
    <t xml:space="preserve">Sigenobu, T.   Ito, M.   Miki, T.   </t>
  </si>
  <si>
    <t xml:space="preserve">Shabra, A.   Hae-Seung Lee   </t>
  </si>
  <si>
    <t>A 6bit 400Msps 70mW ADC using interpolated parallel scheme</t>
  </si>
  <si>
    <t xml:space="preserve">Ono, K.   Shimizu, H.   Ogawa, J.   Takeda, M.   Yano, M.   </t>
  </si>
  <si>
    <t xml:space="preserve">Blum, A.S.   Engl, B.H.   Eichfeld, H.P.   Hagelauer, R.   Abidi, A.A.   </t>
  </si>
  <si>
    <t>Dong-Young Chang; Gil-Cho Ahn; Un-Ku Moon;</t>
  </si>
  <si>
    <t>Calibration</t>
  </si>
  <si>
    <t>Kye-Shin Lee   Maloberti, F.  </t>
  </si>
  <si>
    <t>A Fourth Order Continuous-Time Complex Sigma-Delta ADC for Low-IF GSM and EDGE Receivers</t>
  </si>
  <si>
    <t>Farzad Esfahani, Philipp Basedau, Roland Ryter, Rolf Becker</t>
  </si>
  <si>
    <t>Assumed ~9.1ENOB at Nyquist</t>
  </si>
  <si>
    <t>Data taken for WLAN mode</t>
  </si>
  <si>
    <t>10.5MHz IF</t>
  </si>
  <si>
    <t>A 1.2V, 121-Mode Continuous-Time SD Modulator for Wireless Receivers in 90nm CMOS</t>
  </si>
  <si>
    <t>TITLE</t>
  </si>
  <si>
    <t>ABSTRACT</t>
  </si>
  <si>
    <t>COMMENTS</t>
  </si>
  <si>
    <t>fs [Hz]</t>
  </si>
  <si>
    <t>SNR [dB]</t>
  </si>
  <si>
    <t>DR [dB]</t>
  </si>
  <si>
    <t>SFDR [dB]</t>
  </si>
  <si>
    <t>P/fsnyq [pJ]</t>
  </si>
  <si>
    <t>A 6GS/s, 4-bit receiver analog-to-digital converter with embedded DFE</t>
  </si>
  <si>
    <t xml:space="preserve">Varzaghani, A.   Yang, C.-K.K.   </t>
  </si>
  <si>
    <t xml:space="preserve">Anderson, M.   Norling, K.   Dreyfert, A.   Yuan, J.   </t>
  </si>
  <si>
    <t xml:space="preserve">Matsui, H.   Ueda, M.   Daito, M.   Iizuka, K.   </t>
  </si>
  <si>
    <t xml:space="preserve">M. Kim   P. Hanumolu   U.-K. Moon   </t>
  </si>
  <si>
    <t>Double-sampling mode</t>
  </si>
  <si>
    <t>A 7bit 800Msps 120mW Folding and Interpolation ADC Using a Mixed-Averaging Scheme</t>
  </si>
  <si>
    <t xml:space="preserve">K. Makigawa   K. Ono   T. Ohkawa   K. Matsuura   M. Segami   </t>
  </si>
  <si>
    <t>A 500MS/s 5b ADC in 65nm CMOS</t>
  </si>
  <si>
    <t>A 0.9V 92dB Double-Sampled Switched-RC SD Audio ADC</t>
  </si>
  <si>
    <t xml:space="preserve">M. Kim   G.-C. Ahn   P. Hanumolu   S.-H. Lee   S.-H. Kim   S.-B. You   J.-W. Kim   G. Temes   U.-K. Moon   </t>
  </si>
  <si>
    <t>A 1.2V, 10.8mW, 500kHz Sigma-Delta Modulator with 84dB SNDR and 96dB SFDR</t>
  </si>
  <si>
    <t xml:space="preserve">C. Tsang   Y. Chiu   B. Nikolic   </t>
  </si>
  <si>
    <t xml:space="preserve">J. Paramesh   R. Bishop   K. Soumyanath   D. Allstot </t>
  </si>
  <si>
    <t>InP HBT</t>
  </si>
  <si>
    <t>A 4GHz 4th-Order Passive LC Bandpass Delta-Sigma Modulator with IF at 1.4GHz</t>
  </si>
  <si>
    <t xml:space="preserve">L. Luh   J. Jensen   C.-M. Lin   C.-T. Tsen   D. Le   A. Cosand   S. Thomas   C. Fields   </t>
  </si>
  <si>
    <t>A 1.35 GS/s, 10b, 175 mW Time-Interleaved AD Converter in 0.13μm CMOS</t>
  </si>
  <si>
    <t>A 6-bit 3.5-GS/s 0.9-V 98-mW Flash ADC in 90nm CMOS</t>
  </si>
  <si>
    <t xml:space="preserve">7b 1.1GS/s Reconfigurable Time-Interleaved ADC in 90nm CMOS </t>
  </si>
  <si>
    <t>J. Lee, S. Park, J. Kang, J.-S. Seo, J. Anders and M. Flynn</t>
  </si>
  <si>
    <t>K. Honda, Z. Liu, M. Furuta and S. Kawahito</t>
  </si>
  <si>
    <t>K.-J. Lee, E.-S. Shin, H.-S. Yang, J.-H. Kim, P.-U. Ko, I.-R. Kim, S.-H. Lee, K.-H. Moon and J.-W. Kim</t>
  </si>
  <si>
    <t>J. Shen and P. Kinget</t>
  </si>
  <si>
    <t>A 12 b 128 MSample/s ADC with 0.05 LSB DNL</t>
  </si>
  <si>
    <t>Two-step</t>
  </si>
  <si>
    <t>A 15 b 5 MSample/s low-spurious CMOS ADC</t>
  </si>
  <si>
    <t>IF=20MHz</t>
  </si>
  <si>
    <t>Jitter</t>
  </si>
  <si>
    <t>snr=-20log(2*pi*sigma*f)</t>
  </si>
  <si>
    <t>f</t>
  </si>
  <si>
    <t xml:space="preserve">A 0.9V third-order 1.5bit delta-sigma ADC with simple dynamic element matching (DEM) is presented. A fully-differential low-voltage double-sampling structure avoids use of clock boosting or bootstrapping. It operates from 0.65V to 1.5V supply with minimal performance degradation. The prototype IC implemented in a 0.13mum CMOS process achieves 92dB DR, 91dB SNR and 89dB SNDR, while consuming 1.5mW from a 0.9V supply </t>
  </si>
  <si>
    <t xml:space="preserve">A 1.2V switched-capacitor sigma-delta modulator achieves 96dB peak SFDR and 84dB peak SNDR at 1 MS/s in a 0.13mum 6M1P general-purpose CMOS process. The high linearity is achieved by using high-gain op-amps and bootstrapped sampling switches. The power dissipation is 10.8mW at 64MHz clock frequency, excluding the voltage references </t>
  </si>
  <si>
    <t xml:space="preserve">A 4th-order bandpass DeltaSigma modulator utilizes a novel passive LC continuous-time DeltaSigma architecture to achieve the high IF (pass band) frequency (1.4GHz). A 3-bit quantizer is used to improve wideband performance. A novel architecture of noise-shaped quantizer is used to noise shape the DAC mismatch without introducing extra loop delay. Eight 2nd-order LC modulators are used for noise shaping with minimal transistor count and power consumption. Implemented with 5195 InP HBT transistors, this modulator achieved 76dB SNR and 90dB dynamic range in 1 MHz bandwidth at 1.4GHz with a 4GHz sample rate </t>
  </si>
  <si>
    <t>A 6-bit 3.5-GS/s flash ADC is fabricated in a 90nm CMOS process. A clamp diode with a replica biasing and an acceleration capacitor are introduced for high-speed overdrive recovery. Averaging network is analyzed to explore the effect of tail current mismatch. The 3.5-GS/s ADC consumes 98mW with 0.9V power supply. Its SNDR is 31.18dB with Nyquist frequency input.</t>
  </si>
  <si>
    <t>A hybrid SD modulator combines the anti-aliasing filtering and high sampling rate advantages of a continuous-time first stage with a low-power discrete-time second stage. A 0.18-um CMOS experimental prototype samples signals at 240 MHz and achieves 77 dB of dynamic range and a peak SNDR of 67 dB for a signal bandwidth of 7.5 MHz, while dissipating 63.6 mW of analog power from a 1.2-V supply.</t>
  </si>
  <si>
    <t>A dual-path 2-0 cascaded (MASH) ADC was implemented with fast digital correction of both DAC errors and MASH mismatch errors. The split structure allows fast convergence and improved accuracy for the correction. Using a 20 MHz clock, the prototype chip achieved an 84 dB dynamic range in a 1.25 MHz signal band, when fabricated in CMOS 0.18um process.</t>
  </si>
  <si>
    <t>A calibration-free, high-resolution ADC designed for bioluminescence sensing employs an extended-counting architecture in which the residual error from a second-order incremental SD modulator is encoded using a successive approximation ADC. The ADC has been integrated in 0.18-um CMOS technology and achieves a dynamic range of 90.1dB and a peak SNDR of 86.3dB at a conversion rate of 1MSample/sec with 38mW power consumption.</t>
  </si>
  <si>
    <t>A combined 5-bit, 1st order noise-shaped quantizer and DEM circuit running at 950MHz based on a multi-phase VCO is presented. This quantizer structure is the key element in a 3rd order noise shaped ADC with 2nd order loop dynamics and a single opamp. Measured performance is 60dB SNR at 20MHz bandwidth in 0.13u CMOS while consuming 32mA from a 1.2V supply.</t>
  </si>
  <si>
    <t>Pipe, Folding</t>
  </si>
  <si>
    <t>Digital calibration using adaptive signal processing corrects offset mismatch, gain mismatch, and sample-time error between time-interleaved channels in a 10b 120MSample/s pipelined ADC. With background calibration, peak SNDR is 56.8dB and power dissipati</t>
  </si>
  <si>
    <t>SNR</t>
  </si>
  <si>
    <t>A 3.3V 10b 25Msample/s two-step ADC in 0.35µm CMOS</t>
  </si>
  <si>
    <t>A 65 mW 10 b 40 Msample/s BiCMOS Nyquist ADC in 0.8 mm 2</t>
  </si>
  <si>
    <t>Gian Hoogzaad and Raf Roovers</t>
  </si>
  <si>
    <t>A 75mW 10b 20MSample/s CMOS subranging ADC with 59dB SNDR</t>
  </si>
  <si>
    <t>A CMOS 6b 500MSample/s ADC for a hard disk drive read channel</t>
  </si>
  <si>
    <t>A 6b 500MSample/s CMOS flash ADC with a background interpolated auto-zeroing technique</t>
  </si>
  <si>
    <t>A 14b 100Msample/s 3-stage A/D converter</t>
  </si>
  <si>
    <t>A 13b 40Msample/s CMOS pipelined folding ADC with background offset trimming</t>
  </si>
  <si>
    <t>A 12b 65Msample/s CMOS ADC with 82dB SFDR at 120MHz</t>
  </si>
  <si>
    <t>A 3.3V, 12b, 50Msample/s A/D converter in 0.6µm CMOS with over 80dB SFDR</t>
  </si>
  <si>
    <t>An 8b 80Msample/s pipelined ADC with background calibration</t>
  </si>
  <si>
    <t>A 14b 20MSample/s CMOS pipelined ADC</t>
  </si>
  <si>
    <t>A 6b 1.3Gsample/s A/D converter in 0.35µm CMOS</t>
  </si>
  <si>
    <t xml:space="preserve">Michael Choi and Asad A. Abidi, </t>
  </si>
  <si>
    <t>A 6b 1.1Gsample/s CMOS A/D converter</t>
  </si>
  <si>
    <t>Govert Geelen</t>
  </si>
  <si>
    <t>A 10b 100Msample/s CMOS pipelined ADC with 1.8V power supply</t>
  </si>
  <si>
    <t>Hendrik van der Ploeg, Gian Hoogzaad, Henk A. H. Termeer, Maarten Vertregt, and Raf L. J. Roovers,</t>
  </si>
  <si>
    <t>A 4GSample/s 8b ADC in 0.35µm CMOS</t>
  </si>
  <si>
    <t>A 6b 1.6GSample/s flash ADC in 0.18µm CMOS Using averaging termination</t>
  </si>
  <si>
    <t>A 10b 120MSample/s time-interleaved analog-to-digital converter with digital background calibration</t>
  </si>
  <si>
    <t>Daisuke Miyazaki, Masanori Furuta, and Shoji Kawahito</t>
  </si>
  <si>
    <t>Franz Kuttner</t>
  </si>
  <si>
    <t>A 20GS/s 8b ADC with a 1MB memory in 0.18µm CMOS</t>
  </si>
  <si>
    <t>A 2GS/s 6b ADC in 0.18µm CMOS</t>
  </si>
  <si>
    <t>A 69mW 10b 80MS/s pipelined CMOS ADC</t>
  </si>
  <si>
    <t>A 10b 150MS/s 123mW 0.18µm CMOS pipelined ADC</t>
  </si>
  <si>
    <t>Sang-Min Yoo, Jong-Bum Park, Hee-Suk Yang, Hyuen-Hee Bae, Kyoung-Ho Moon, Ho-Jin Park, Seung-Hoon Lee, and Jae-Hwui Kim,</t>
  </si>
  <si>
    <t>A 12b 75MS/s pipelined ADC using open-loop residue amplification</t>
  </si>
  <si>
    <t>Impact of dielectric relaxation on a 14b pipeline ADC in 3V SiGe BiCMOS</t>
  </si>
  <si>
    <t>Robert Taft, Chris Menkus, Maria Rosaria Tursi, Ols Hidri, and Valerie Pons</t>
  </si>
  <si>
    <t>An 8b 600MS/s 200mW CMOS folding A/D converter using an amplifier preset technique</t>
  </si>
  <si>
    <t>Govert Geelen and Edward Paulus</t>
  </si>
  <si>
    <t>A 1.2V 220MS/s 10b pipeline ADC implemented in 0.13µm digital CMOS</t>
  </si>
  <si>
    <t>A 150MS/s 8b 71mW time-interleaved ADC in 0.18µm CMOS</t>
  </si>
  <si>
    <t xml:space="preserve">Sotirios Limotyrakis, Scott D. Kulchycki, David Su, and Bruce A. Wooley, </t>
  </si>
  <si>
    <t>Jan Mulder, Christopher M. Ward, Chi-Hung Lin, Dave Kruse, Jan R. Westra, Marcel L. Lugthart, Erol Arslan, Rudy J. van de Plassche, Klaas Bult, and Frank M. L. van der Goes,</t>
  </si>
  <si>
    <t>A 3b 40GS/s ADC-DAC in 0.12µm SiGe</t>
  </si>
  <si>
    <t>A 6b 600MHz 10mW ADC array in digital 90nm CMOS</t>
  </si>
  <si>
    <t>A digitally enhanced 1.8V 15b 40MS/s CMOS pipelined ADC</t>
  </si>
  <si>
    <t>A 15b 20MS/s CMOS pipelined ADC with digital background calibration</t>
  </si>
  <si>
    <t>A 96dB SFDR 50MS/s digitally enhanced CMOS pipeline A/D converter</t>
  </si>
  <si>
    <t>K. Nair and R. Harjani,</t>
  </si>
  <si>
    <t>A 12b 80MS/s pipelined ADC with bootstrapped digital calibration</t>
  </si>
  <si>
    <t>An 80MHz 10b pipeline ADC with dynamic range doubling and dynamic reference selection</t>
  </si>
  <si>
    <t>A 90nm CMOS 1.2V 10b Power and Speed Programmable Pipelined ADC with 0.5pJ/Conversion-Step</t>
  </si>
  <si>
    <t>Geelen, Govert; Paulus, Edward; Simanjuntak, Dobson; Pastoor, Hein; Verlinden, RenÃ©</t>
  </si>
  <si>
    <t>A 10b 50MS/s Pipelined ADC with Opamp Current Reuse</t>
  </si>
  <si>
    <t>Ryu, Seung-Tak; Song, Bang-Sup; Bacrania, Kanti</t>
  </si>
  <si>
    <t>TECHNOLOGY</t>
  </si>
  <si>
    <t>HBT</t>
  </si>
  <si>
    <t>1.00 BiCMOS</t>
  </si>
  <si>
    <t>0.35 BiCMOS</t>
  </si>
  <si>
    <t>0.50 BiCMOS</t>
  </si>
  <si>
    <t>0.60 BiCMOS</t>
  </si>
  <si>
    <t>Data for 10.7MHZ IF, BW=200kHz</t>
  </si>
  <si>
    <t>0.80 BiCMOS</t>
  </si>
  <si>
    <t>Bipolar</t>
  </si>
  <si>
    <t xml:space="preserve">A 4 Gsample/s 8b ADC in 0.35 µm CMOS achieves accuracy of 7 effective bits at DC and 6.1 effective bits for 1 GHz input, while dissipating 4.6 W. It uses 32 current-mode pipelines driven by 32 interleaved clocks with 1.1 ps RMS accuracy </t>
  </si>
  <si>
    <t xml:space="preserve">The authors present a 16 mW 2 V 30 MSample/s 10 b pipelined A/D converter in 0.3 µm CMOS technology which uses a pseudo-differential architecture and a capacitor cross-coupled S/H stage. SNDR and the SFDR at 30 MHz input are 54 dB and 67 dB, respectively </t>
  </si>
  <si>
    <t>A 1 MHz-bandwidth second-order continuous-time quadrature bandpass sigma-delta modulator for low-IF radio receivers</t>
  </si>
  <si>
    <t>An embedded 0.8 V/480 µW 6b/22 MHz flash ADC in 0.13 µm digital CMOS process using nonlinear double-interpolation technique</t>
  </si>
  <si>
    <t xml:space="preserve">For high-data-rate wireless communication, a 0.8 V 480 µW 6b 22 MSample/s flash-interpolation ADC is fabricated in 0.13 µm digital CMOS. The circuit achieves 33 dB SNDR and 47 dB SFDR using a nonlinear double-interpolation technique </t>
  </si>
  <si>
    <t>A 30mW 12b 21MSample/s pipelined CMOS ADC</t>
  </si>
  <si>
    <t>A self-calibrated pipeline ADC with 200MHz IF-sampling frontend</t>
  </si>
  <si>
    <t>A 30mW 12b 40MS/s Subranging ADC with a High-Gain Offset-Canceling Positive-Feedback Amplifier in 90nm Digital CMOS</t>
  </si>
  <si>
    <t>Shimizu, Yasuhide; Murayama, Shigemitsu; Kudoh, Kohhei; Yatsuda, Hiroaki; Ogawa, Akihide</t>
  </si>
  <si>
    <t>Comparator-Based Switched-Capacitor Circuits For Scaled CMOS Technologies</t>
  </si>
  <si>
    <t>Sepke, Todd; Fiorenza, John; Sodini, Charles; Holloway, Peter; Lee, Hae-Seung</t>
  </si>
  <si>
    <t>Verma, Naveen; Chandrakasan, Anantha</t>
  </si>
  <si>
    <t>A 14b 100MS/s Digitally Self-Calibrated Pipelined ADC in 0.13µm CMOS</t>
  </si>
  <si>
    <t>Choi, Hee-Cheol; Kim, Ju-Hwa; Yoo, Sang-Min; Lee, Kang-Jin; Oh, Tae-Hwan; Seo, Mi-Jung; Kim, Jae-Whui</t>
  </si>
  <si>
    <t>A 13b Linear 40MS/s Pipelined ADC with Self-Configured Capacitor Matching</t>
  </si>
  <si>
    <t>Ray, Sourja; Song, Bang-Sup</t>
  </si>
  <si>
    <t xml:space="preserve">Hee-Cheol Choi   Seung-Bin You   Ho-Young Lee   Ho-Jin Park   Jae-Whui Kim   </t>
  </si>
  <si>
    <t xml:space="preserve">Jae Hoon Shim   Beomsup Kim   </t>
  </si>
  <si>
    <t>GSM mode</t>
  </si>
  <si>
    <t>WCDMA mode</t>
  </si>
  <si>
    <t xml:space="preserve">Paton, S.   Di Giandomenic, A.   Hernandez, L.   Wiesbauer, A.   Potscher, T.   Clara, M.   </t>
  </si>
  <si>
    <t xml:space="preserve">Cheung, V.S.L.   Luong, H.C.   </t>
  </si>
  <si>
    <t xml:space="preserve">Paulus, C.   Bluthgen, H.-M.   Low, M.   Sicheneder, E.   Bruls, N.   Courtois, A.   Tiebout, M.   Thewes, R.   </t>
  </si>
  <si>
    <t>SNDR, SNR not reported</t>
  </si>
  <si>
    <t xml:space="preserve">Zheng-Yu Wang   Hui Pan   Chung-Ming Chang   Hai-Rong Yu   Chang, M.F.   </t>
  </si>
  <si>
    <t>0.34 BiCMOS</t>
  </si>
  <si>
    <t xml:space="preserve">Gulati, K.   Munoz, C.   Seonghwan Cho   Manganaro, G.   Lugin, M.   Peng, M.   Pulincherry, A.   Jipeng Li   Bugeja, A.   Chandrakasan, A.   Shoemaker, D.   </t>
  </si>
  <si>
    <t>Algorithmic</t>
  </si>
  <si>
    <t>0.9V 12mW 2MSPS algorithmic ADC with 81dB SFDR</t>
  </si>
  <si>
    <t>An energy-efficient analog front-end circuit for a sub-1V digital hearing aid chip</t>
  </si>
  <si>
    <t xml:space="preserve">Libin Yao   Steyaert, M.   Sansen, W.   </t>
  </si>
  <si>
    <t>Revisions:</t>
  </si>
  <si>
    <t>SNDR taken from Fig.4, large ERBW</t>
  </si>
  <si>
    <t>A Zero-Crossing Based 8b 200MS/s Pipelined ADC</t>
  </si>
  <si>
    <t>Data for 200MS/s</t>
  </si>
  <si>
    <t>An 11-Bit 800-MS/s Time-Interleaved ADC with Digital Background Calibration</t>
  </si>
  <si>
    <t>A 10b 160MS/s 84mW 1V Subranging ADC in 90nm CMOS</t>
  </si>
  <si>
    <t>S.D. Kulchycki, R. Trofin, K. Vleugels and B.A. Wooley</t>
  </si>
  <si>
    <t>A Low Power Sigma-Delta Modulator Using Class- C Inverter</t>
  </si>
  <si>
    <t>Y. Chae and G. Han</t>
  </si>
  <si>
    <t>A Split 2-0 MASH with Dual Digital Error Correction</t>
  </si>
  <si>
    <t>Z. Zhang*, J. Steensgaard**, G.C. Temes* and J.-Y. Wu***</t>
  </si>
  <si>
    <t>Ext. Counting</t>
  </si>
  <si>
    <t>A High-Resolution Low-Power Oversampling ADC with Extended-Range for Bio- Sensor Arrays</t>
  </si>
  <si>
    <t>A 10-Bit 20MHz 38mW 950MHz CT ΣΔ ADC with a 5-Bit Noise-Shaping VCO-Based Quantizer and DEM Circuit in 0.13u CMOS</t>
  </si>
  <si>
    <t>M.Z. Straayer and M.H. Perrott</t>
  </si>
  <si>
    <t xml:space="preserve">Portable electronic systems require low-voltage low-power building blocks. An important building block is an A/D converter. ΔΣ ADCs provide an efficient way of trading off speed for resolution. The switched op amp (SO) technique allows design of switched-capacitor (SC) circuits at very low supply voltage without the use of multithreshold technologies or voltage multipliers to drive the switches. The basic idea of it is to leave out the switches connected to the output of the amplifier in a SC integrator, because those are the ones that fail to conduct when the supply voltage is low. Switches can only be connected to well-chosen reference voltages. In this implementation the differential modified SO integrator cell is used, so the reference voltages are VSS and VDD. This allows maximum overdrive of VDD-VSS for the switches </t>
  </si>
  <si>
    <t>Peluso, V.; Vancorenland, P.; Marques, A.; Steyaert, M.; Sansen, W.</t>
  </si>
  <si>
    <t>This single-ended 12b 20 MSample/s pipeline ADC has good performance for Nyquist frequency inputs. Architecture and calibration algorithms minimize digital correction circuitry and noise crosstalk. The single-ended performance is achieved with a novel input common-mode feedback technique in the S/H stage. The total power dissipation is only 250 mW from a single 5 V supply</t>
  </si>
  <si>
    <t>Pipe, TI</t>
  </si>
  <si>
    <t xml:space="preserve">This time-interleaved pipelined ADC uses monolithic digital background calibration to overcome the effects of the offset and gain mismatches between channels. The contributions here are use of digital background calibration to overcome these mismatches and implementation of these techniques in conjunction with the ADCs on one CMOS IC. Background calibration is done by adding a calibration signal to the ADC input and processing both simultaneously. A potential advantage of this approach is that the calibration signal acts as dither and improves the linearity of the system </t>
  </si>
  <si>
    <t>D. Fu, K. Dyer, S. Lewis, and P. Hurst,</t>
  </si>
  <si>
    <t>Analog background calibration of a 10b 40Msample/s parallel pipelined ADC</t>
  </si>
  <si>
    <t xml:space="preserve">This paper describes a 2.5 V 100 MS/s 8 bit subranging Analog-to-Digital Converter (ADC). To achieve such low voltage operation and high-speed conversion rate at the same time, a “pre-linearization input buffer” and “level up DAC/subtractor” have been newly developed. These circuits prevent voltage drops on the internal analog signal path and make the supply voltage reduction possible. The ADC also uses a simple encoder scheme “noise immunity encoder” that is resistant to bubbling error for thermometer code </t>
  </si>
  <si>
    <t xml:space="preserve">Test results for a fourth-order band pass (BP) ΔΣ modulator (ΔΣM) are presented. The 0.5 μm SiGe HBT design uses active LC resonators with Q enhancement and return-to-zero latches to drive the feedback DACs. The packaged circuit consumes 350 mW from a single 5 V supply when clocking at 4 GHz. Measured results indicate a maximum SNR of 53 dB, SFDR of 69 dB, and a dynamic range of 62 dB, all in a 4 MHz bandwidth </t>
  </si>
  <si>
    <t xml:space="preserve">A current-interpolation technique is used to implement a 6 b 50 MHz ADC operable with a single battery cell as low as 0.9 V without charge pumping. The prototype chip, fabricated in a 0.35 μm standard digital process, occupies an area of 2.4 mm×2 mm, and consumes 10 mW each in analog and digital supplies, respectively </t>
  </si>
  <si>
    <t xml:space="preserve">Matsuya, Y.   Terada, J.  </t>
  </si>
  <si>
    <t>An 8-GSa/s 8-bit ADC System</t>
  </si>
  <si>
    <t>Software calibration</t>
  </si>
  <si>
    <t>0.25 BiCMOS</t>
  </si>
  <si>
    <t>A 2.5 V 100 MS/s 8 bit ADC using pre-linearization input buffer andlevel up DAC/subtractor</t>
  </si>
  <si>
    <t xml:space="preserve">Sugawara, M.   Yoshida, H.   Mitsuishi, M.   Nakamura, S.   Nakaigawa, S.   Kunisaki, Y.   Suzuki, H.   </t>
  </si>
  <si>
    <t>0.5 SiGe</t>
  </si>
  <si>
    <t>A 4 GHz fourth-order SiGe HBT band pass ΔΣ modulator</t>
  </si>
  <si>
    <t xml:space="preserve">Weinan Gao   Cherry, J.A.   Snelgrove, W.M.   </t>
  </si>
  <si>
    <t>An 8 b 500 MS/s full Nyquist cascade A/D converter</t>
  </si>
  <si>
    <t>For use in publications and presentations please cite this data collection as follows:</t>
  </si>
  <si>
    <t>[1] B. Murmann, “Limits on ADC Power Dissipation,” in Analog Circuit Design, by M. Steyaert, A.H.M Roermund, J.H. van Huijsing (eds.), Springer, 2006</t>
  </si>
  <si>
    <t>Data taken for max. BW, IF=55MHz</t>
  </si>
  <si>
    <t>Data taken for max. BW, IF=3.75MHz</t>
  </si>
  <si>
    <t>A single-ended 12b 20Msample/s self-calibrating pipeline A/D converter</t>
  </si>
  <si>
    <t>I. Opris, L. Lewicki, and B. Wong</t>
  </si>
  <si>
    <t>Digital background calibration of a 10b 40Msample/s parallel pipelined ADC</t>
  </si>
  <si>
    <t>K. Dyer, D. Fu, S. Lewis, and P. Hurst,</t>
  </si>
  <si>
    <t>A continuously-calibrated 10Msample/s 12b 3.3V ADC</t>
  </si>
  <si>
    <t>Joseph Ingino Jr. and Bruce Wooley</t>
  </si>
  <si>
    <t>A 5.75b 350Msample/s or 6.75b 150Msample/s reconfigurable flash ADC for a PRML read channel</t>
  </si>
  <si>
    <t>P. Setty, J. Barner, J. Plany, H. Burger, and J. Sonntag</t>
  </si>
  <si>
    <t>A 400Msample/s 6b CMOS folding and interpolating ADC</t>
  </si>
  <si>
    <t>Ozan E. Erdogan, Paul J. Hurst, and Stephen H. Lewis</t>
  </si>
  <si>
    <t xml:space="preserve">A 1.6 Gsample/s 6b flash analog-to-digital converter in 0.18 µm CMOS is for storage read channels. The array of amplifiers and averaging resistors is terminated with less overrange while maintaining full-scale linearity. Consuming 340 mW, it achieves 5.7 </t>
  </si>
  <si>
    <t>20080207: Update ISSCC 2008</t>
  </si>
  <si>
    <t>20080627: Update VLSI 2008</t>
  </si>
  <si>
    <t>A 1.2V 30mW 8b 800MS/s Time-Interleaved ADC in 65nm CMOS</t>
  </si>
  <si>
    <t>W.-H. Tu, T.-H. Kang</t>
  </si>
  <si>
    <t>A 1.2V 250mW 14b 100MS/s Digitally Calibrated Pipeline ADC in 90nm CMOS</t>
  </si>
  <si>
    <t>H. Van de Vel, B. Buter, H. van der Ploeg, M. Vertregt, G. Geelen, E. Paulus</t>
  </si>
  <si>
    <t>A 14b pipeline ADC is realized in 90nm CMOS at a 1.2V supply. Enabling techniques are range-scaling in the first pipeline stage with charge-reset and digital background calibration of non-linearity. The ADC achieves 73dB SNR and 91dB SFDR at 100MS/s sampling rate and 250mW power consumption. The 73dB SNDR performance is maintained within 3dB up to a Nyquist input frequency and the FOM is 0.7pJ/conv</t>
  </si>
  <si>
    <t>A Low Power 6-bit Flash ADC with Reference Voltage and Common-Mode Calibration</t>
  </si>
  <si>
    <t>C.-Y. Chen, M. Le, K.Y. Kim</t>
  </si>
  <si>
    <t>A 7.6 mW 1.75 GS/s 5 Bit Flash A/D Converter In 90nm Digital CMOS</t>
  </si>
  <si>
    <t>A 5 bit 1.75 GS/s flash ADC is realized in 90 nm CMOS. It uses a comparator array with built-in imbalance and offset calibration to lower power consumption. The SNDR is 30.9 dB at low frequencies and gradually degrades to 28.2 dB at 2 GHz. The ADC occupies 280μm by 110μm and draws only 7.6 mA from a 1 V supply yielding an energy efficiency of 0.15 pJ/conversion step</t>
  </si>
  <si>
    <t>B. Verbruggen, P. Wambacq, M. Kuijk*, G. Van der Plas</t>
  </si>
  <si>
    <t>A 6-bit 5-GSample/s Nyquist A/D Converter in 65nm CMOS</t>
  </si>
  <si>
    <t>M. Choi, J. Lee, J. Lee, H. Son</t>
  </si>
  <si>
    <t>A 10.3GS/s 6bit (5.1 ENOB at Nyquist) Time-Interleaved/Pipelined ADC Using Open-Loop Amplifiers and Digital Calibration in 90nm CMOS</t>
  </si>
  <si>
    <t>A. Nazemi, C. Grace, L. Lewyn, B. Kobeissy, O. Agazzi, P. Voois, C. Abidin, G. Eaton, M. Kargar, C. Marquez, S. Ramprasad, F. Bollo*, V. Posse, S. Wang, G. Asmanis</t>
  </si>
  <si>
    <t>A 10.3GS/s ADC with 5GHz input BW and 6 bit resolution in 90nm CMOS is presented. The architecture is based on an 8 way interleaved/ pipelined ADC using open-loop amplifiers and digital calibration. The measured performance is 5.8 ENOB (36.6dB SNDR) for a 100MHz input signal and 5.1 ENOB (32.4dB SNDR) for a 5GHz input (Nyquist) with phase offset correction across the interleaved array</t>
  </si>
  <si>
    <t>A 0.7-V 100-dB 870-μW Digital Audio Σ Δ Modulator</t>
  </si>
  <si>
    <t>A high-precision, low-voltage, low-power ΣΔ modulator has been designed using a delayed input feedforward architecture and a tracking multi-bit quantizer employing a single comparator. A 0.18-μm CMOS experimental prototype achieves 100 dB of dynamic range, 100-dB peak SNR and 95-dB peak SNDR for a signal bandwidth of 25 kHz, while consuming only 870 μW of total power from a 0.7-V supply at a 5-MHz sampling rate</t>
  </si>
  <si>
    <t>H. Park, K. Nam, D. Su, K. Vleugels, B. Wooley</t>
  </si>
  <si>
    <t>A 2.1mW/3.2mW Delay-Compensated GSM/WCDMA Σ Δ Analog-Digital Converter</t>
  </si>
  <si>
    <t>A technique to compensate for the harmful excess loop delay in a continuous time ΣΔ analog-digital converter is presented. With no extra power consumption or area penalty the technique is suitable for variety of applications employing continuous time ΣΔ analog-digital converters. This work presents a dual mode ΣΔ ADC for GSM/WCDMA applications with DR of 86dB/63dB for 100KHz/1.92MHz in a 65nm CMOS technology with power consumption of 2.1mW/3.2mW</t>
  </si>
  <si>
    <t>M. Vadipour, C. Chen, A. Yazdi, M. Nariman, T. Li, P. Kilcoyne, H. Darabi</t>
  </si>
  <si>
    <t>C. Lee, M. Flynn</t>
  </si>
  <si>
    <t>A 9.4-bit, 50-MS/s, 1.44-mW Pipelined ADC Using Dynamic Residue Amplification</t>
  </si>
  <si>
    <t>An ultra-low power pipelined ADC is realized by replacing conventional op-amp circuits with dynamic source-follower gain stages. The presented 90-nm CMOS converter operates at 50MS/s and achieves an SNDR of 49.4dB while dissipating 1.44mW from a 1.2-V supply</t>
  </si>
  <si>
    <t>J. Hu, N. Dolev, B. Murmann</t>
  </si>
  <si>
    <t>A Fully-Differential Zero-Crossing-Based 1.2V 10b 26MS/s Pipelined ADC in 65nm CMOS</t>
  </si>
  <si>
    <t>S.-K. Shin, Y.-S. You, S.-H. Lee, K.-H. Moon, J.-W. Kim, L. Brooks*, H.-S. Lee</t>
  </si>
  <si>
    <t>A 12b 50MS/s 10.2mA 0.18μm CMOS Nyquist ADC with a Fully Differential Class-AB Switched OP-AMP</t>
  </si>
  <si>
    <t>H.-C. Choi, Y.-J. Kim, M.-H. Lee, Y.-L. Kim, S.-H. Lee</t>
  </si>
  <si>
    <t>A Process-Scalable Low-Power Charge-Domain 13-bit Pipeline ADC</t>
  </si>
  <si>
    <t>M. Anthony, E. Kohler, J. Kurtze, L. Kushner, G. Sollner, Kenet Inc.</t>
  </si>
  <si>
    <t>A 13-bit ADC is implemented using a novel charge-domain architecture. Enhanced bucket-brigade circuitry and a tapered charge pipeline provide precision charge-domain operation in a standard CMOS process, while eliminating the need for signal-path op-amps. The prototype ADC, implemented in 0.18μm CMOS, provides 10.65 ENOB at 250 MS/s while consuming only 140 mW, yielding an exceptionally low FoM of 0.28 pJ/conversion-step. Simulations indicate that the architecture and circuitry are well suited to scaling below 90nm.</t>
  </si>
  <si>
    <t>A 1.8V 1.0 GS/s 10b Self-Calibrating Unified-Folding-Interpolating ADC with 9.1 ENOB at Nyquist Frequency</t>
  </si>
  <si>
    <t>R. C. Taft, P. A. Francese, M. R. Tursi, O. Hidri, A. MacKenzie, T. Hoehn, P. Schmitz, H. Werker, A. Glenny</t>
  </si>
  <si>
    <t>A 1.1V 50mW 2.5GS/s 7b Time-Interleaved C-2C SAR ADC in 45nm LP Digital CMOS</t>
  </si>
  <si>
    <t>Erkan Alpman, Hasnain Lakdawala, L. Richard Carley, K. Soumyanath</t>
  </si>
  <si>
    <t>A 5b 800MS/s 2mW Asynchronous Binary-Search ADC in 65nm CMOS</t>
  </si>
  <si>
    <t>Ying-Zu Lin, Soon-Jyh Chang, Yen-Ting Liu, Chun-Cheng Liu, Guang-Ying Huang</t>
  </si>
  <si>
    <t>A 600MS/s 30mW 0.13µm CMOS ADC Array Achieving Over 60dB SFDR with Adaptive Digital Equalization</t>
  </si>
  <si>
    <t>Wenbo Liu, Yuchun Chang, Szu-Kang Hsien, Bo-Wei Chen, Yung-Pin Lee, Wen-Tsao Chen, Tzu-Yi Yang, Gin-Kou Ma, Yun Chiu</t>
  </si>
  <si>
    <t>A 10b 500MHz 55mW CMOS ADC</t>
  </si>
  <si>
    <t>Ashutosh Verma, Behzad Razavi</t>
  </si>
  <si>
    <t xml:space="preserve">A 16b 125MS/s 385mW 78.7dB SNR CMOS Pipeline ADC </t>
  </si>
  <si>
    <t>A 130mW 100MS/s Pipelined ADC with 69dB SNDR Enabled by Digital Harmonic Distortion Correction</t>
  </si>
  <si>
    <t>A 50MS/s 9.9mW Pipelined ADC with 58dB SNDR in 0.18µm CMOS Using Capacitive Charge-Pumps</t>
  </si>
  <si>
    <t>A 12b 50MS/s Fully Differential Zero-Crossing-Based ADC Without CMFB</t>
  </si>
  <si>
    <t>A 0.13µm CMOS 78dB SNDR 87mW 20MHz BW CT ΔΣ ADC with VCO-Based Integrator and Quantizer</t>
  </si>
  <si>
    <t>A 20MHz BW 68dB DR CT ΔΣ ADC Based on a Multi-Bit Time-Domain Quantizer and Feedback Element</t>
  </si>
  <si>
    <t>A Multirate 3.4-to-6.8mW 85-to-66dB DR GSM/Bluetooth/UMTS Cascade DT ΔΣM in 90nm Digital CMOS</t>
  </si>
  <si>
    <t>Andrea Panigada, Ian Galton</t>
  </si>
  <si>
    <t>Imran Ahmed, Jan Mulder, David A. Johns</t>
  </si>
  <si>
    <t>Lane Brooks, Hae-Seung Lee</t>
  </si>
  <si>
    <t>Shahrzad Naraghi, Matthew Courcy, Michael P. Flynn</t>
  </si>
  <si>
    <t>Matt Park, Michael Perrott</t>
  </si>
  <si>
    <t>Sheng-Jui Huang, Yung-Yu Lin</t>
  </si>
  <si>
    <t>Vijay Dhanasekaran, Manisha Gambhir, Mohamed M. Elsayed, Edgar Sánchez-Sinencio, Jose Silva-Martinez, Chinmaya Mishra, Lei Chen, Erik Pankratz</t>
  </si>
  <si>
    <t>Lynn Bos, Gerd Vandersteen, Julien Ryckaert, Pieter Rombouts, Yves Rolain, Geert Van der Plas</t>
  </si>
  <si>
    <t>Siddharth Devarajan, Larry Singer, Dan Kelly, Steven Decker, Abhishek Kamath, Paul Wilkins</t>
  </si>
  <si>
    <t>Binary Search</t>
  </si>
  <si>
    <t>A new circuit configuration realizing 2nd-order resonator with one operational amplifier is applied to a 5th-order deltasigma (􀀧􀀶) modulator. The proposed resonator enables us to any kinds of 2nd-order transfer function, which means that the resonator can realize a single feedback modulator with feed forward compensation[1,2]. Collaborating with other two improved features of a kickback relaxation filter and a simple resistor adder, we fabricated the highly efficient 5th-order 􀀧􀀶 modulator with only three opamps, whose FOM was 0.24 pJ/conv.</t>
  </si>
  <si>
    <t>Kazuo Matsukawa, Yosuke Mitani, Masao Takayama, Koji Obata, Shiro Dosho and Akira Matsuzawa</t>
  </si>
  <si>
    <t xml:space="preserve">A 500kHz-10MHz Multimode Power-Performance Scalable 83-to-67dB DR CTΔΣ in 90 nm Digital CMOS with Flexible Analog Core Circuitry </t>
  </si>
  <si>
    <t>A fully flexible continuous-time (CT) ΔΣ with programmable bandwidth, resolution and power consumption in 1.2V 90 nm CMOS is presented. By introducing flexibility into the core building blocks, a DR of 67/72/78/83dB is achieved in maximum performance mode for WLAN, DVB, UMTS and BT for a power consumption of 6.8/5.5/6.4/5.0mW respectively. GSM operation is also feasible with a DR of 87dB. For a given bandwidth, the flexibility allows to obtain the lowest power consumption for a desired performance.</t>
  </si>
  <si>
    <t>Pieter Crombez, Geert Van der Plas, Michiel Steyaert and Jan Craninckx</t>
  </si>
  <si>
    <t>Robert H.M. van Veldhoven, Nicolo Nizza, Lucien J. Breems</t>
  </si>
  <si>
    <t>A 79dB 80MHz 8X-OSR Hybrid Delta-Sigma/Pipeline ADC</t>
  </si>
  <si>
    <t>A new delta-sigma modulator architecture is presented. The proposed implementation employs a pipeline ADC as the quantizer of a single-loop delta-sigma modulator and makes use of inherent delays of pipeline ADC stages to enhance overall noise shaping properties. With a 5MHz bandwidth and 80MHz clock, the measured dynamic range and SNDR of this prototype IC are 79dB and 75.4dB. The prototype chip is implemented in a 0.18um CMOS process.</t>
  </si>
  <si>
    <t>O. Rajaee, T. Musah, S. Takeuchi, M. Aniya, K. Hamashita, P. Hanumolu, and U. Moon</t>
  </si>
  <si>
    <t>A 0.92mW 10-bit 50-MS/s SAR ADC in 0.13μm CMOS Process</t>
  </si>
  <si>
    <t>Chun-Cheng Liu, Soon-Jyh Chang, Guan-Ying Huang, Yin-Zu Lin</t>
  </si>
  <si>
    <t>A 6-bit 50-MS/s Threshold Configuring SAR ADC in 90-nm Digital CMOS</t>
  </si>
  <si>
    <t>A 12 b 50 M sample/s cascaded folding and interpolating ADC</t>
  </si>
  <si>
    <t xml:space="preserve">A 5th-order single-loop Σ-Δ modulator has been implemented in a 0.25 μm digital CMOS process, where the supply voltage is only 2.5 V and the capacitor option is not available. A tri-level quantizer is used to improve loop stability. The sampling frequency of the modulator is 80 MHz and the oversampling ratio is 32. Measured over a 1 MHz signal bandwidth, dynamic range is 86 dB, peak SNR is 80 dB and peak SNDR is 78 dB. The modulator consumes only 50 mW </t>
  </si>
  <si>
    <t xml:space="preserve">This analog-to-digital converter achieves a minimum sampling rate of 105 Msample/S at a total power dissipation of 850 mW while achieving 11.0 effective number of bits (SNR=68 dB) and an SFDR of &gt;80 dB for sampling analog input frequencies up to 70 MHz. The converter uses a switched capacitor multi-bit per stage architecture and incorporates an on-chip differential input buffer, a dedicated track/hold amplifier and an internally compensated wideband differential reference amplifier. The converter is fabricated on a 0.6 μm BiCMOS process </t>
  </si>
  <si>
    <t xml:space="preserve">This paper describes an 8-bit 30 MS/s 18 mW ADC (Analog-to-Digital Converter) with 1.8 V single power supply for battery powered systems. A folding and interpolation architecture with the auto-zeroed amplifiers is newly developed to achieve the low power consumption and the low power supply voltage. A pipelining technique is also introduced to realize that conversion rate with low power consumption. A test chip of the ADC is fabricated in a 0.18 μm CMOS process. The experimental results at 30 MS/s shows DNL less than +/$0.5 LSB, INL less than +/- 1.0 LSB and SNDR more than 45 dB with 3 MHz input frequency </t>
  </si>
  <si>
    <t xml:space="preserve">This analog-to-digital converter digitizes a radio signal at a 10.7 MHz intermediate frequency (IF) using integrated quadrature mixing and ΣΔ modulation. The paper shows a block diagram of a highly-integrated AM/FM radio receiver. The IF A/D conversion and digital filtering, demodulation and further signal processing can be integrated on a single CMOS IC. The radio front-end mixes both AM and FM signals to 10.7 MHz IF, so that the A/D conversion is shared. A single channel filter is used, selecting one 200 kHz FM channel. For AM, over 20 channels pass through this filter, resulting in high dynamic range of the IF signal. When the radio is tuned to a weak AM radio station, strong neighboring channels should not introduce disturbance of the weak signal. This multi-channel aspect for AM puts severe requirements on the automatic gain control (AGC) amplifier and A/D converter in terms of noise, intermodulation and crossmodulation distortion </t>
  </si>
  <si>
    <t>van der Zwan, E.; Philips, K.; Bastiaansen, C.</t>
  </si>
  <si>
    <t>A two-path bandpass ΣΔ modulator with extended noise shaping</t>
  </si>
  <si>
    <t xml:space="preserve">The proliferation of communications applications stimulates interest in digitizing bandpass signals with bandwidths of several MHz at intermediate frequencies above 10 MHz. This multistage oversampling modulator combines lowpass and bandpass stages to achieve an extended dynamic range at low oversampling ratios. An experimental prototype of the architecture integrated in 0.25 μm CMOS achieves 75 dB dynamic range for 2 MHz signal bandwidth at 16 MHz IF </t>
  </si>
  <si>
    <t>Tabatabaei, A.; Kaviani, K.; Wooley, B.</t>
  </si>
  <si>
    <t>A 13.5mW, 185 MSample/s ΔΣ-modulator for UMTS/GSM dual-standard IF reception</t>
  </si>
  <si>
    <t xml:space="preserve">To accommodate drastically different symbol rates, signal bandwidth and SNR requirements between WCDMA and GSM, the IF frequency, sample-rate and converter architecture are optimized for a dual-standard ΣΔ modulator. In the system and circuit design, attention is given to low power consumption to achieve 13.5 mW at 18 MSample/s. Measured dynamic range is 53 dB for WCDMA and 84 dB for GSM </t>
  </si>
  <si>
    <t>Burger, T.; Qiuting Hueng</t>
  </si>
  <si>
    <t>A 5 mW ΣΔ modulator with 84 dB dynamic range for GSM/EDGE</t>
  </si>
  <si>
    <t>A ΣΔ modulator in 0.35 μm technology for GSM/EDGE applications has 13 MHz clock. Frequency is 13 MHz. The modulator achieves 84 dB dynamic range and 82 dB peak SNDR over 180 kHz bandwidth. Power dissipation is 5 mW from 1.8/2.4 V supplies. Active area is 0.4 mm 2</t>
  </si>
  <si>
    <t>Oliaei, O.; Clement, P.; Gorisse, P.</t>
  </si>
  <si>
    <t>A 2.5 V broadband multi-bit ΣΔ modulator with 95 dB dynamic range</t>
  </si>
  <si>
    <t xml:space="preserve">A cascaded multi-bit ΣΔ modulator uses double sampling to achieve a conversion rate of at least 4 MSample/s at an oversampling ratio of 16. Partitioned data-weighted averaging extends the dynamic range to 95 dB. The circuit, integrated in 0.5 μm CMOS, dissipates 150 mW from a 2.5 V supply </t>
  </si>
  <si>
    <t>Vleugels, K.; Rabii, S.; Wooley, B.A.</t>
  </si>
  <si>
    <t>Pierluigi Nuzzo, Claudio Nani, Costantino Armiento, Alberto Sangiovanni-Vincentelli, Jan Craninckx and Geert Van der Plas</t>
  </si>
  <si>
    <t>A 12b 11MS/s Successive Approximation ADC with two comparators in 0.13μm CMOS</t>
  </si>
  <si>
    <t>A two-comparator architecture, incorporating deliberate comparator offset and pre-amplifier power management, reduces comparator meta-stability and comparator power consumption in a 12b 11MS/s SAR ADC. A prototype, fabricated in 0.13um CMOS achieves an FOM, SNDR, SFDR and error rate of 311fJ/conversion step, 62.4dB and 72.8dB and &lt;1.9×10-12, respectively, at 11MS/s.</t>
  </si>
  <si>
    <t>Joshua J. Kang and Michael P. Flynn</t>
  </si>
  <si>
    <t>A 1.3uW 0.6V 8.7-ENOB Successive Approximation ADC in a 0.18um CMOS</t>
  </si>
  <si>
    <t>Seon-Kyoo Lee, Seung-Jin Park, Yunjae Suh, Hong-June Park, and Jae-Yoon Sim</t>
  </si>
  <si>
    <t>A 7.5-GS/s 3.8-ENOB 52-mW flash ADC with clock duty cycle control in 65nm CMOS</t>
  </si>
  <si>
    <t>Hayun Chung, Alexander Rylyakov, Zeynep Toprak Deniz, John Bulzacchelli, Gu-Yeon Wei, Daniel Friedman</t>
  </si>
  <si>
    <t>sndr</t>
  </si>
  <si>
    <t>p_fs [pJ]</t>
  </si>
  <si>
    <t>20091023: Update VLSI 2009, added FOM lines in Energy plot</t>
  </si>
  <si>
    <t>20090423: Update ISSCC 2009</t>
  </si>
  <si>
    <t>20100226: Update ISSCC 2010, corrections of earlier data</t>
  </si>
  <si>
    <t xml:space="preserve">The linearity of a successive approximation (SA) A/D converter is typically limited by its passive network. Published converters based on capacitive arrays or resistive ladders are limited to around 10 b if no trimming or calibration is used. Although static measurements show that MOS transistors are capable of excellent matching, few MOSFET-only converters achieved more than 10 b accuracy without self-calibration. This A/D converter adopts the current division ladder network based on MOSFETs. Extensive measurements on the MOSFET ladders with different resolutions and geometry establish the achievable linearity </t>
  </si>
  <si>
    <t>This analog-to-digital converter uses integrated dither, dynamic element matching, and output data scrambling to achieve SFDR of 85dB and DNL below 0.05LSB at l28MSample/s. This compares to about 0.5LSB DNL for slower 12b converters. The basic two-step flash architecture is shown. The ±0.25V input is amplified to ±1V and held in the track-and-hold circuit when the input clock rises. The 32 comparators in ADC1 produce an approximation that switches the 32 matched current sources in the main DAC. The residue is formed and amplified in the summer to ±0.5V and is converted by ADC2, an 8b folding-and-interpolating flash ADC. To allow low clock rates, there is no analog pipelining, and all analog settling from the track-to-hold transition to latching the result in ADC2 takes only 4.4ns. The ADC1 and ADC2 results added together form the 12b output. The total signal-to-data-output delay is slightly more than two cycles due to digital pipelining</t>
  </si>
  <si>
    <t xml:space="preserve">This 15b CMOS ADC at 5MSample/s has four stages with 5, 5, 5, and 6b each. The number of bits resolved per stage is set higher to achieve the same resolution with less accurate components. Resolving more bits per stage greatly simplifies op amp design and reduces the initial capacitor matching requirement. Furthermore, residue amplifiers with low feedback factors are less sensitive to summing-node parasitics. The first two 5b stages are calibrated using the remaining part of the ADC. Two stages are selected for calibration. The gain ofthe 5b residue amplifier is set to 16 to make room for digital correction. After digital correction, the chip has an 18b output. Performance up to 16b level can be tested after removing 2 LSBs corrupted by digital processing. System partitioning and multi-stage calibration solve two fundamental problems of capacitor matching and finite opamp gain </t>
  </si>
  <si>
    <t>SDSC, Pipe</t>
  </si>
  <si>
    <t>A 16b ΣΔ pipeline ADC with 2.5 MHz output data-rate</t>
  </si>
  <si>
    <t xml:space="preserve">A 16b 2.5 MHz A/D converter in 0.6 μm CMOS addresses the need for wide dynamic range A/D converters with bandwidths in excess of 1 MHz in multi-tone communication. This A/D converter combines the advantages of ΣΔ and pipeline A/D conversion techniques to provide wide dynamic range at a low-oversampling ratio. The device operates at a 20 MHz clock rate, 2.5 MHz output rate (8× oversampling), and provides 89 dB SNR over a 1.25 MHz input bandwidth </t>
  </si>
  <si>
    <t>Low-voltage double-sampled ΣΔ converters</t>
  </si>
  <si>
    <t>In theory, double-sampling in second-order ΣΔ analog-to-digital converters (ADC) can enhance the signal-to-noise ratio (SNR) by 15 dB. In practice however, the SNR performance is usually severely degraded because of mismatches occurring in switched-capacitors (SC). This paper introduces a simple method to solve this problem. Regarding ΣΔ digital-to-analog converters (DAC), in addition to double-sampling, the accompanying use of internal decimation helps to relax the bandwidth requirements of the opamps. Both circuitries are to be operational to supply voltages as low as 1.5 V by using clock bootstrapping. Chip implementation is in double-poly, 2-metal technology featuring 0.5 μm minimum channel lengths</t>
  </si>
  <si>
    <t>Senderowicz, D.; Nicollini, G.; Pernici, S.; Nagari, A.; Confalonieri, P.; Dallavalle, C.</t>
  </si>
  <si>
    <t>SDSC, TI</t>
  </si>
  <si>
    <t>A two-path bandpass ΣΔ modulator for digital IF extraction at 20 MHz</t>
  </si>
  <si>
    <t xml:space="preserve">There is expanding interest in the possibility of moving the intermediate frequency (IF) signal processing in radio receivers and radio test equipment from the analog domain into the digital domain. Digitization of IF processing confers several important advantages, including greater reliability, potentially lower power consumption, and improved performance as technology scales. Unfortunately, as analog signal processing is eliminated and the A/D conversion is moved away from baseband, the signal that must be digitized has a larger dynamic range, and the converter must operate at a higher sampling rate. This work introduces a two-path, switched-capacitor architecture for a bandpass ΣΔ modulator that is suited to digitizing narrowband radio signals with large dynamic range. A fourth-order bandpass modulator is implemented in a standard 0.6 μm, single-poly, triple-metal CMOS process. Operating from a single 3.3 V supply, the modulator digitizes a 200 kHz signal centered at an IF of 20 MHz with an extrapolated dynamic range of 75 dB </t>
  </si>
  <si>
    <t>Ong, A.K.; Wooley, B.A.</t>
  </si>
  <si>
    <t>A bandpass ΣΔ modulator with 92 dB SNR and center frequency continuously programmable from 0 to 70 MHz</t>
  </si>
  <si>
    <t xml:space="preserve">Use of a bandpass ΣΔ modulator permits direct conversion of an analog signal to digital form at IF frequencies. This allows the ADC to be moved closer to the receiver front end. Moving the digital interface closer to the antenna reduces receiver analog circuit complexity, eliminates DC-offset cancellation, inphase/quadrature (I/Q) gain calibration, dual I/Q mixers and improves system robustness as mixing is in the digital domain. This second-order bandpass ΣΔ modulator is targeted for an airborne radar system but is also expected to find use in a variety of communications applications. Measurements yield signal to noise+distortion ratio (SNR) from 92 dB (15 b) in narrowband ( 366 kHz) to 44 dB (7 b) in broadband (62.6 MHz) about a center frequency of 55.5 MHz. Modulator sampling rate is 4 GHz and it is implemented in AlInAs-InGaAs HBT technology. The performance represents an improvement of approximately a factor of 10 in bandwidth, resolution and center frequency over other reported bandpass modulators </t>
  </si>
  <si>
    <t>Raghavan, G.; Jensen, J.F.; Walden, R.H.; Posey, W.P.</t>
  </si>
  <si>
    <t>SDCT, Complex</t>
  </si>
  <si>
    <t>A quadrature bandpass ΣΔ modulator for digital radio</t>
  </si>
  <si>
    <t xml:space="preserve">In a bandpass ΣΔ modulator, bandpass filtering and feedback around a low-resolution quantizer shape the noise spectrum, facilitating accurate A/D conversion on narrow-band input signals. This is extended to the quadrature, or complex, case if a complex filter - having complex-valued coefficients and thus not restricted to a symmetrical frequency response - is placed in a ΣΔ loop. The modulator performs a “complex” A/D conversion on the pair of analog inputs, that are in phase-quadrature, and it has two high-speed bit stream outputs: one represents the real output; the other the imaginary output. When combined, these outputs form a complex signal that accurately represents the complex input within a narrow frequency band. This quadrature modulator is useful in architectures for a single-chip digital-radio receiver. The receiver ideally has no image response, and thus the bulky narrow-band image-rejection filter in the RF stage of a single-path receiver can be replaced with a broadband one. The architecture alleviates many problems of the direct-conversion receiver, often considered for single-chip implementations, since the input signal is mixed to a non-zero IF where 1/f noise and DC offsets cause no problem and self-interference is not an issue because oscillator frequency is offset from the carrier frequency. The quadrature modulator IC uses standard fully-differential switched-capacitor circuit techniques and is implemented in 0.8 μm CMOS technology </t>
  </si>
  <si>
    <t>Jantzi, S.; Martin, K.; Sedra, A.</t>
  </si>
  <si>
    <t>A 5 V, 118 dB ΣΔ analog-to digital converter for wideband digital audio</t>
  </si>
  <si>
    <t xml:space="preserve">Digital signal processing can replace analog signal processing in professional audio equipment only when analog-to-digital converter dynamic ranges approach 120 dB. Super-high-end audio applications extend the audio band beyond 30 kHz and require 96 kHz sampling frequency. This paper describes a multi-bit ΣΔ modulator developed for high-end digital audio. The modulator is a single-loop, seventh-order type with a 3-level quantizer. The modulator samples the analog input at 6.144 MHz and has 140 dB signal-to-quantization noise in a 48 kHz bandwidth. The device is fabricated in a double-poly, double-metal, 0.8 μm CMOS process </t>
  </si>
  <si>
    <t>Leung, K.Y.; Swanson, E.J.; Kafai Leung; Zhu, S.S.</t>
  </si>
  <si>
    <t>A 2.3 mW CMOS ΣΔ modulator for audio applications</t>
  </si>
  <si>
    <t xml:space="preserve">This audio-quality CMOS ΣΔ modulator operates from a 3.3 V supply with 2.3 mW power consumption. The dynamic range is 96 dB over a 20-20000 Hz bandwidth and THD for a 1 kHz maximum input signal is -104 dB. A modulator with power consumption increased to 6.6 mW at the same supply voltage has 10l dB dynamic range and THD&lt;-110 dB, proving the tradeoff between power consumption and performance </t>
  </si>
  <si>
    <t>van der Zwan, E.J.</t>
  </si>
  <si>
    <t>A 100 kHz 9.6 mW multi bit ΔΣ DAC and ADC using noise shaping dynamic elements matching with tree structure</t>
  </si>
  <si>
    <t xml:space="preserve">A multi-bit ΔΣ modulator (ΔΣM) is an attractive means for realizing a high-speed low-power data converter. A loss in dynamic range occurs if stabilization of the feedback loop for a higher-order DSM uses a 1b feedback signal. The classical 1b ADC and/or DAC do not follow the theoretical SNR of (8+6 N)L(dB), where N is the order of the DSM, and 2L is the oversampling ratio. In contrast, multi-bit feedback stabilizes a higher-order DSM with little loss of dynamic range. As the internal signal swing is reduced with increase in number of feedback signal bits, the multi-bit DSM requires a lower slew rate and thus less power for analog circuits than the 1b case. There is an increase in SNR due to use of a multi-bit internal DAC to reduce the oversampling ratio and hence to reduce power consumption of the analog portion </t>
  </si>
  <si>
    <t>Yasuda, A.; Tanimoto, H.; Lida, T.</t>
  </si>
  <si>
    <t>SDSC, SwOpAmp</t>
  </si>
  <si>
    <t>A 900 mV 40 μW switched opamp ΔΣ modulator with 77 dB dynamic range</t>
  </si>
  <si>
    <t>A new opamp with a short power-on time is used in a 10b 1.5b/stage power scalable pipelined ADC in 0.18 μm CMOS. A current modulation technique is used so that as the power is varied from 15 μW (at 1 kS/s) to 35 mW (at 50 MS/s) the bias currents only increase by a factor of 50. The SNDR is 54 to 56 dB for all sampling rates.</t>
  </si>
  <si>
    <t>Ahmed, I.; Johns, D.</t>
  </si>
  <si>
    <t>A 10 b 125 MS/s 40 mW pipelined ADC in 0.18 μm CMOS</t>
  </si>
  <si>
    <t>Yoshioka, M.; Kudo, M.; Gotoh, K.; Watanabe, Y.</t>
  </si>
  <si>
    <t>A 30mW 8b 200MS/s pipelined CMOS ADC using a switched-opamp technique</t>
  </si>
  <si>
    <t>Hwi-Cheol Kim; Deog-Kyoon Jeong; Wonchan Kim</t>
  </si>
  <si>
    <t>A 3mW 74dB SNR 2MHz CT ΔΣ ADC with a tracking-ADC-quantizer in 0.13 μm CMOS</t>
  </si>
  <si>
    <t>A third-order CT multibit ΔΣ ADC for wireless applications is implemented in 0.13 μm CMOS. Instead of using a 4b flash quantizer, a tracking ADC composed of 3 comparators with interpolation is used to reduce the power consumption. Over a bandwidth of 2MHz the SNR is 74dB. The ADC consumes 3mW from a 1.5V supply when clocked at 104MHz.</t>
  </si>
  <si>
    <t>Dorrer, L.; Kuttner, F.; Greco, P.; Derksen, S.</t>
  </si>
  <si>
    <t>A 1.2V 3.5mW ΔΣ modulator with a passive current summing network and a variable gain function</t>
  </si>
  <si>
    <t>A 1.2V 3.5mW CT ΔΣ modulator with a mixer for a mobile digital TV receiver is implemented in 0.11 μm CMOS. A current summing network composed of passive elements is used in the loop filter feedforward path, contributing to the low power consumption. A 78dB total DR is achieved by varying the DAC output power with the input signal power.</t>
  </si>
  <si>
    <t>Nagai, T.; Satou, H.; Yamazaki, H.; Watanabe, Y.</t>
  </si>
  <si>
    <t>A 4th-order 86dB CT ΔΣ ADC with two amplifiers in 90nm CMOS</t>
  </si>
  <si>
    <t>A fourth-order 1b CT ΔΣ converter using a two-amplifier loop and a 267MHz sampling frequency is implemented in 90nm CMOS. A double-loop architecture couples passive poles with a reduced number of active blocks to improve area and power while achieving 86dB peak SNR over a 600kHz band.</t>
  </si>
  <si>
    <t>Das, A.; Hezar, R.; Byrd, R.; Gomez, G.; Haroun, B.</t>
  </si>
  <si>
    <t>A low-noise low-voltage CT ΔΣ modulator with digital compensation of excess loop delay</t>
  </si>
  <si>
    <t>Fontaine, P.; Mohieldin, A.N.; Bellaouar, A.</t>
  </si>
  <si>
    <t>A 4.7mW 89.5dB DR CT complex ΔΣ ADC with built-in LPF</t>
  </si>
  <si>
    <t xml:space="preserve">A CT complex ΔΣ ADC with built-in LPF is presented. A modified feedback topology is used to improve robustness to interferers near fg/2 or fs. Adding programmable gain control, the 0.18 μm CMOS ADC achieves 89.5dB DR in a 1MHz BW, consuming 4.7mW from a 1.8V supply. </t>
  </si>
  <si>
    <t>Munoz, F.; Philips, K.; Torralba, A.</t>
  </si>
  <si>
    <t>A 43mW CT complex ΔΣ ADC with 23MHz of signal bandwidth and 68.8dB SNDR</t>
  </si>
  <si>
    <t>A low-power wide-BW CT complex ΔΣ ADC suitable for a low-IF receiver is fabricated in a 0.18 μm CMOS process and consumes 42.6mW from a 1.8V supply. The IC achieves 68.8dB SNDR and a DR of 72.5dB over a 23.0MHz band centered around 11.5MHz.</t>
  </si>
  <si>
    <t>Yaghini, N.; Johns, D.</t>
  </si>
  <si>
    <t xml:space="preserve">The sampling rate of an ADC often limits speed of a signal processing system. Sampling rate at the A/D interface can be increased by using multiple component ADCs that are time interleaved. Mismatches in offsets, gains, and sampling times among the component ADCs limit the performance of the ADC system. Previous time-interleaved ADC arrays use careful layout, foreground calibration and/or digital filters to minimize the effects of these mismatches. The presented time-interleaved ADC uses monolithic analog background calibration to match the gains and offsets of the component pipelined ADCs. The contributions are an expandible adaptive background calibration technique for parallel ADCs and a calibration loop that uses a mixed-signal integrator. The fully-differential prototype is fabricated in a 1.0 μm CMOS single-poly process with poly-thin-oxide-diffusion capacitors. It includes 3 pipelined ADCs, one algorithmic ADC, the calibration signal generator, channel control logic, and 6 mixed-signal integrators, each followed by a unity-gain buffer that supplies the offset or reference correction voltage to one of the pipelined ADCs. The SC integrator and ADC stages use telescopic opamps with source followers at the input </t>
  </si>
  <si>
    <t xml:space="preserve">Continuous calibration allows a converter to function continuously in the presence of environmental fluctuations and supply variations by periodically correcting for errors without interrupting the ADC output. This paper introduces a technique for continuously calibrating a pipelined A/D converter. Calibration is performed in the analog domain so as to avoid high-linearity calibration hardware or complex signal processing. A 10 MS ample/s, 12b converter implemented in a conventional 0.5 μm, single-poly, four-metal, CMOS technology operates from a 3.3V supply. This experimental circuit digitizes a 4.8 MHz signal with a peak SNDR of 67 dB </t>
  </si>
  <si>
    <t>8b 75Msample/s 70mW parallel pipelined ADC incorporating double sampling</t>
  </si>
  <si>
    <t>A reconfigurable flash analog-to-digital converter (ADC), is suited for use in a partial response maximum likelihood (PRML) read channel with digital servo. A 5V version is integrated in a read channel with digital servo using BiCMOS technology</t>
  </si>
  <si>
    <t>A 1.5 V 1.0 mW audio ΔΣ modulator with 98 dB dynamic range</t>
  </si>
  <si>
    <t>This audio-quality switched-capacitor (SC) ΔΣ modulator operates from a single 1.5 V supply and dissipates 1.0 mW. When clocked at 2.82 MHz, it achieves 98.2 dB dynamic range (DR) in a 20 kHz bandwidth. The peak SNR and SNDR are 90 dB and 88 dB, respectively. The fully-differential experimental circuit has been integrated in a 0.5 μm triple-metal single-poly CMOS n-well process with metal-to-poly capacitors.</t>
  </si>
  <si>
    <t>A 1.8 mW CMOS ΣΔ modulator with integrated mixer for A/D conversion of IF signals</t>
  </si>
  <si>
    <t xml:space="preserve">This CMOS IFΣΔ modulator combines the functions of an IF mixer and an anti-aliasing filter with a continuous-time (CT) baseband ΣΔ modulator for A/D conversion of IF signals in radio receivers. Advantage is taken of the high linearity and low-power of the CT baseband ΣΔ modulator. The resulting IFΣΔ modulator consumes 1.8 mW and has +36 dBV IP3. The IF ΣΔ modulator of this paper is for mobile phones (GSM specification), and is promising for application in other types of receivers </t>
  </si>
  <si>
    <t>Breems, L.J.; van de Zwan, E.J.; Dijkmans, E.C.; Huijsing, J.H.</t>
  </si>
  <si>
    <t>A Nyquist-rate pipelined oversampling A/D converter</t>
  </si>
  <si>
    <t xml:space="preserve">Oversampling and noise-shaping techniques, such as ΣΔ modulation, have an inherent tradeoff between accuracy and speed, whereby resolution in amplitude is at the expense of resolution in time. Because their internal circuits must operate over many clock cycles to produce a single result, they have limited data rates and power dissipation is a concern. Much attention has been focused on improving the speed and power of ΣΔ analog-to-digital converters (ADCs) by use of higher-order modulators, multi-bit feedback, and multi-bit architectures with single-bit feedback. However, data rates remain limited to less than a few MHz and are not easily extended. A pipelined oversampling architecture circumvents this speed-resolution tradeoff by performing spatial, rather than temporal, oversampling. It combines the high resolution of Σδ techniques with the high speed of pipelined converters so that both of these attributes are simultaneously achievable </t>
  </si>
  <si>
    <t>Paul, S.; Hae-Seung Lee; Goodrich, J.; Alailima, T.; Santiago, D.</t>
  </si>
  <si>
    <t>A 6th-order continuous-time bandpass ΣΔ modulator for digital radio IF</t>
  </si>
  <si>
    <t xml:space="preserve">A bandpass SD Modulator (SDM) ADC uses negative feedback of a bandpass-filtered error-signal and a high oversampling ratio to reduce the in-band errors of a low-resolution quantizer. As high-order (&gt;4) bandpass SDMs exhibit signal-dependent stability, multibit quantizers are often used to lower the quantization noise of a 2nd or 4th order SDM. However, the accuracy required of the intermediate quantizer levels is high as mismatch affects the overall SDM performance. A 6th-order SDM has a single-bit quantizer for digitizing IF signals of 10.7 MHz </t>
  </si>
  <si>
    <t>van Engalen, J.; van de Plassche, R.; Sokvoort, E.; Venes, A.</t>
  </si>
  <si>
    <t>A 400 MHz 12 b 18 mW IF digitizer with mixer inside a ΣΔ modulator loop</t>
  </si>
  <si>
    <t>One method of IF digitization consists of a down-conversion mixer followed by a lowpass ΣΔ modulator. However, as one moves to high IF, the down conversion mixer's distortion deteriorates rapidly and more power has to be dissipated to restore the mixer's distortion to an acceptable level. In order to achieve low-distortion while maintaining low power dissipation, a new digitizer that suppresses this mixer distortion by placing the mixer inside a modified ΣΔ feedback loop, and capable of operating at 400 MHz, is presented</t>
  </si>
  <si>
    <t>Namdar, A.; Laung, B.H.</t>
  </si>
  <si>
    <t>A 12 b digital-background-calibrated algorithmic ADC with -90dB THD</t>
  </si>
  <si>
    <t xml:space="preserve">The linearity of analog-to-digital converters (ADCs) is often limited by component mismatches. Trimming can be used to achieve high linearity but cannot track variations over time caused by component aging or by temperature and power-supply changes. Background calibration overcomes this limitation. However, previous background-calibration methods require complicated post processing, occupy some of the range of the analog signal under conversion, or are tailored for a specific type of converter. This ADC uses a queue-based architecture for creating calibration time slots without disturbing the sampling of the input signal. The digital background calibration uses an adaptive algorithm to improve linearity. The queue-based architecture for generating the calibration time slots and the digital-background-calibration method are independent and can be used separately </t>
  </si>
  <si>
    <t>Hendrik van der Ploeg and Robert Remmers,</t>
  </si>
  <si>
    <t>Fig. 18.2.6.a shows 7.8 ENOB at fin=12.5 MHz</t>
  </si>
  <si>
    <t>Fig. 18.3.6.a shows 8.7 ENOB at fin=20 MHz</t>
  </si>
  <si>
    <t>In a two-step CMOS subranging ADC (CSA), a coarse comparator bank determines which subset of fine reference taps from a resistor ladder should be passed (without amplification or subtraction from the ADC input) to a fine comparator bank by an analog multiplexer (AMUX). This CSA provides advantages over previously-reported variations of this architecture. These advantages include absolute value signal processing, an extended settling period for the fine references, a fully differential topology, and a front-end sample-and-hold amplifier (SHA). As a result of these features, this ADC achieves 9.5 ENOB Nyquist performance at 75 mW and two-clock-cycle conversion latency</t>
  </si>
  <si>
    <t>Brian Brandt and Joseph Lutsky</t>
  </si>
  <si>
    <t>Yuko Tamba and Kazuo Yamakido</t>
  </si>
  <si>
    <t xml:space="preserve">A 6 b 500 MSample/s Flash ADC employs interpolated auto-zeroing carried out in background mode. To improve the ADC differential nonlinearity characteristic, a resistor network with its inherent error averaging property is employed for interpolation </t>
  </si>
  <si>
    <t>Kwangho Yoon, Sungkyung Park, and Wonchan Kim</t>
  </si>
  <si>
    <t xml:space="preserve">A 14b three-stage ADC uses a complementary bipolar process to achieve a 100MSample/s encode rate with a SFDR of &gt;90 dB and an SNR of 75 dB. While the design is based on a traditional multi-stage architecture, the three encoder stages use serial-ripple converters. Unlike the typical N-bit flash converter which requires 2-N-1 comparators, the serial-ripple converter has only N comparators. The result is a smaller die area and lower power dissipation than flash. This design uses a total of 16 comparators, and at the full sample rate consumes 1250 mW. It is fabricated in a 0.8 μm double-poly complementary bipolar process </t>
  </si>
  <si>
    <t>Carl Moreland, Michael Elliott, Frank Murden, Joe Young, Mike Hensley, and Russ Stop</t>
  </si>
  <si>
    <t xml:space="preserve">The folding/interpolating ADC exhibits a distinct trait attributed by folder zero-crossing error and gain mismatch, which appear in general as an INL error. It is of paramount interest to control the zero-crossings accurately so that they can be spaced evenly to cover the whole conversion range. The folder zero-crossing errors collectively result from folder offset, reference error, tail-current mismatch, interpolation error, etc. In CMOS, the poor offset of the differential pair as well as other process uncertainty have resulted in the performance much poorer than the bipolar counterpart. This CMOS folding/interpolating ADC operates with 13 b linearity at bipolar folder speed </t>
  </si>
  <si>
    <t>Myung-Jun Choe, Bang-Sup Song, and Kantilal Bacrania,</t>
  </si>
  <si>
    <t xml:space="preserve">A recent trend in cellular basestation design is to digitize multiple channels with a single ADC, often at the intermediate frequency (IF). This requires an ADC with wide dynamic range, particularly SFDR above 80 dB and SNR better than 70 dB, even when sampling input frequencies above 70 MHz. This 12b, 65MSample/s (MSPS) ADC incorporates a wide-bandwidth, low-distortion input stage coupled with a digitally-calibrated, multibit pipeline architecture optimized for low power consumption </t>
  </si>
  <si>
    <t>Larry Singer, Stacy Ho, Mike Timko, and Dan Kelly</t>
  </si>
  <si>
    <t xml:space="preserve">Modern wireless base stations digitize the entire received frequency band, and separate individual channels with digital filters. This requires an A/D converter (ADC) with an effective resolution bandwidth of 20 MHz or more, and a spurious-free dynamic range (SFDR) greater than 85 dB to avoid confusion of a weak received channel with spurious tones. To date, only bipolar ADCs have met these specifications. This high-SFDR wideband ADC implemented in 0.6 μm CMOS on a 3M1P epi substrate requires no trimming, calibration or dithering </t>
  </si>
  <si>
    <t>Hui Pan, Masahiro Segami, Michael Choi, Jing Cao, Fumitoshi Hatori, and Asad Abidi</t>
  </si>
  <si>
    <t xml:space="preserve">Conventional pipelined ADCs with redundancy and digital correction have linearity limited by the gain accuracy of the interstage amplifiers or the linearity of the D/A subconversions. With a fully differential 1.5 b/stage architecture, the D/A subconverters can in principle be inherently linear, and the main limitation stems from the interstage gain accuracy. Besides the error caused by finite-op-amp gain and capacitor mismatch, the linear portion of the incomplete op-amp settling can also be modeled as an interstage gain error. One way to compensate for interstage gain errors is to adjust the reference voltage from each stage to the next so that the ratio of the reference in one stage to the corresponding value in the previous stage is equal to 1+&amp;epsi;, where &amp;epsi; is the gain error between the stages. This pipelined ADC uses monolithic calibration to adjust the reference voltages of the first two stages in the background during normal ADC operation to compensate for gain errors in the first two interstage amplifiers. Calibration is potentially useful even at an 8b level because it allows the use of small capacitors and low op-amp gain, reducing power dissipation and the minimum required supply voltage and increasing the maximum speed in a given technology. The key contributions here are the use of background calibration to improve the linearity of a pipelined ADC and the implementation of these techniques with the ADC on one CMOS IC </t>
  </si>
  <si>
    <t>Jun Ming and Stephen H. Lewis</t>
  </si>
  <si>
    <t xml:space="preserve">The performance of high-resolution pipelined ADCs is limited by the residue amplifier gain and settling accuracy. In typical implementations, error sources are capacitor ratio mismatch, op-amp gain, and residue settling. All these affect ADC performance adversely, specifically in high-speed ADCs. Capacitor matching improves as capacitor size increases, but the trend is towards shrinking capacitor size for high-speed conversion. Many innovations to overcome this such as ratio-independent techniques are reported. Among them, capacitor error-averaging offers an advantage of achieving both INL and DNL improvements over that achievable by capacitor matching, but it requires three clock phases-one extra clock phase for averaging capacitor errors. In this work, the one extra clock phase is used advantageously for comparison </t>
  </si>
  <si>
    <t>Hsin-Shu Chen, Kantilal Bacrania, and Bang-Sup Song</t>
  </si>
  <si>
    <t>A 2.5 MSample/s multi-bit ΔΣ CMOS ADC with 95 dB SNR</t>
  </si>
  <si>
    <t xml:space="preserve">ΔΣ A/D converters combine high resolution and high speed. A significant improvement in performance is achieved by employing a multi-bit quantizer. However, the linearity requirements for the DAC in the feedback loop are severe. To relax these requirements, dynamic element matching (DEM) techniques such as data weighted averaging (DWA) are used, converting noise and distortion introduced by the non-ideal DAC into a noise shaped error. These DEM techniques require an additional digital block in the feedback loop of the converter to scramble the used unity elements in each clock period. The delay introduced in the feedback loop by this block imposes a limit on the maximum clock frequency of the converter. Here, implementation of the DWA algorithm is optimized for high-speed converters, resulting in a 2.5MSample/s 16b A/D converter in a 0.65 μm CMOS technology operating at 60 MHz clock speed </t>
  </si>
  <si>
    <t>Geerts, Y.; Steyaert, M.; Sansen, W.</t>
  </si>
  <si>
    <t>A 90 dB SNR, 2.5 MHz output rate ADC using cascaded multibit ΔΣ modulation at 8x oversampling ratio</t>
  </si>
  <si>
    <t>This 16b, 2.5 MHz output rate ADC is intended for xDSL and high-speed instrumentation applications. A fourth-order cascaded ΔΣ modulator (ΔΣM) operating at 20 MHz employs multibit quantization and dynamic element matching (DEM) to make all quantization noise contributions negligible at an oversampling ratio (OSR) of eight. The ADC achieves 90 dB signal-to-noise ratio (SNR) in a 1.25 MHz bandwidth, and 102 dB spurious free dynamic range (SFDR) with 270 mW dissipation</t>
  </si>
  <si>
    <t>Fujimori, I.; Longo, L.; Hairapetian, A.; Seiyama, K.; Kosic, S.; Cao, J.; Shu-Iap Chan</t>
  </si>
  <si>
    <t>A 10.7 MHz IF-to-baseband ΣΔ A/D conversion system for AM/FM radio receivers</t>
  </si>
  <si>
    <t>This paper presents a 24 GS/s 6 b ADC in 90 nm CMOS with the highest ENOB up to 12 GHz input frequency and lowest power consumption of 1.2 W compared to ADCs with similar performance. It uses an interleaved architecture of SAR type self-calibrating converters operating from 1 V supply combined with an array of 2.5 V T/Hs with delay, gain and offset-calibration capability.</t>
  </si>
  <si>
    <t xml:space="preserve">This paper demonstrates a IV 200MS/s pipelined ADC with digital background calibration in 65nm digital CMOS process. </t>
  </si>
  <si>
    <t>Microsensor wireless networks and implanted biomedical devices have emerged as exciting new application domains. These applications are highly energy constrained and require flexible, integrated, energy-efficient ADC modules that can ideally operate at the same supply voltage as digital circuits. In many applications, the performance requirements are quite modest (100s kS/s). This paper presents a highly digital ADC architecture compatible with advanced CMOS processes, capable of operating down to a supply voltage of 200mV (i.e., subthreshold regime) and up to 900mV. However, leakage and device variation must be addressed, particularly at low supply voltages.</t>
  </si>
  <si>
    <t>High-speed medium-resolution ADCs are widely utilized in high-speed communication systems, such as serial links, UWB, and OFDM-based 60 GHz receivers. Due to complex DSP and low-power constraints, digital basebands are designed in low-leakage, high-VT low-power (LP) CMOS processes making the design of high-speed ADCs challenging. Time-Interleaved (Tl) successive-approximation-register-based (SAR) ADCs are ideally suited to these applications due to their highly scalable architecture and due to the steady improvement in matching and density of metal-finger capacitors (MFC). This paper presents a Tl C-2C SAR ADC that achieves high performance by using: (1) a small-area C-2C SAR architecture with low input capacitance; (2) high-speed boosted switches to overcome high device threshold; (3) background comparator offset calibration and radix calibration; and (4) redundant-ADC-based gain, offset and timing calibration to reduce Tl errors.</t>
  </si>
  <si>
    <t>Yong-In Park, S. Karthikeyan, Frank Tsay, and Eduardo Bartolome</t>
  </si>
  <si>
    <t>A 2.5V 12b 54 Msample/s 0.25 µm CMOS ADC in 1 mm²</t>
  </si>
  <si>
    <t>A 3V 340mW 14b 75MSPS CMOS ADC with 85dB SFDR at Nyquist</t>
  </si>
  <si>
    <t>Dan Kelly, Will Yang, Iuri Mehr, Mark Sayuk, and Larry Singer,</t>
  </si>
  <si>
    <t>A 14b 40 Msample/s pipelined ADC with DFCA</t>
  </si>
  <si>
    <t>Yu, P.C.; Shehata, S.; Joharapurkar, A.; Chugh, P.; Bugeja, A.R.; Xiaohong Du; Sung-Ung Kwak; Papantonopoulous, Y.; Kuyel, T.</t>
  </si>
  <si>
    <t>Ken Poulton, Robert Neff, Art Muto, Wei Liu, Andy Burstein, and Mehrdad Heshami</t>
  </si>
  <si>
    <t xml:space="preserve">Peter Scholtens and Maarten Vertregt, </t>
  </si>
  <si>
    <t>A 7b 450MSample/s 50mW CMOS ADC in 0.3mm²</t>
  </si>
  <si>
    <t>Koji Sushihara and Akira Matsuzawa</t>
  </si>
  <si>
    <t>Shafiq M. Jamal, Daihong Fu, Paul J. Hurst, and Stephen H. Lewis,</t>
  </si>
  <si>
    <t>A 16mW 30MSample/s 10b pipelined A/D converter using a pseudo-differential architecture</t>
  </si>
  <si>
    <t>A 1.2V 10b 20MSample/s non-binary successive approximation ADC in 0.13µm CMOS</t>
  </si>
  <si>
    <t xml:space="preserve">A 2nd-order continuous-time quadrature bandpass ΣΔ modulator with 1 MHz IF clocked at 100 MHz digitizes I and Q inputs with SNDR of 56.2 dB for 1 MHz bandwidth inputs. The 0.65 μm BiCMOS chip consumes 21.8 mW at 2.7 V, and operates with a clock-frequency range of 25-100 MHz </t>
  </si>
  <si>
    <t>Henkel, F.; Langmann, U.; Hanke, A.; Heinen, S.; Wagner, E.</t>
  </si>
  <si>
    <t>SDCT, SDSC</t>
  </si>
  <si>
    <t>A 50mW Bandpass ΣΔ ADC with 333kHz BW and 90dB DR</t>
  </si>
  <si>
    <t>Schreier, R.; Lloyd, J.; Singer, L.; Paterson, D.; Timko, M.; Hensley, M.; Patterson, G.; Behel, K.; Zhou, J.; Martin, W.J.;</t>
  </si>
  <si>
    <t>A dual-mode 80 MHz bandpass ΔΣ modulator for a GSM/WCDMA IF-receiver</t>
  </si>
  <si>
    <t>Salo, T.; Hollman, T.; Lindfors, S.; Halonen, K.</t>
  </si>
  <si>
    <t>A 1.8 V 14 b ΔΣ A/D converter with 4MSamples/s conversion</t>
  </si>
  <si>
    <t>Ruoxin Jiang; Fiez, T.S.</t>
  </si>
  <si>
    <t>A 3.3 mW ΣΔ modulator for UMTS in 0.18 μm CMOS with 70 dB dynamic range in 2 MHz bandwidth</t>
  </si>
  <si>
    <t>van Veldhoven, R.; Philips, K.; Minnis, B.</t>
  </si>
  <si>
    <t>A 64 MHz ΣΔ ADC with 105 dB IM3 distortion using a linearized replica sampling network</t>
  </si>
  <si>
    <t>Gupta, S.K.; Brooks, T.L.; Fong, V.</t>
  </si>
  <si>
    <t>A 1.5 V 2.4/2.9 mW 79/50 dB DR ΣΔ modulator for GSM/WCDMA in a 0.13 μm digital process</t>
  </si>
  <si>
    <t>Gomez, G.; Haroun, B.</t>
  </si>
  <si>
    <t>Lin, J.; Haroun, B.</t>
  </si>
  <si>
    <t>A 0.7V MOSFET-only switched-opamp ΣΔ modulator</t>
  </si>
  <si>
    <t>Sauerbrey, J.; Tille, T.; Schmitt-Landsiedel, D.; Thewes, R.</t>
  </si>
  <si>
    <t>Kulhalli, S.; Penkota, V.; Asv, R.</t>
  </si>
  <si>
    <t>Waltari, M.; Sumanen, L.; Korhonen, T.; Halonen, K.</t>
  </si>
  <si>
    <t>A 33mW 14b 2.5MSample/s ΣΔ A/D converter in 0.25μm digital CMOS</t>
  </si>
  <si>
    <t>Reutemann, R.; Balmelli, P.; Qiuting Huang</t>
  </si>
  <si>
    <t>Blanken, P.G.; Menten, S.E.J.</t>
  </si>
  <si>
    <t>A 1.5V 1mA 80dB passive ΣΔ ADC in 0.13μm digital CMOS process</t>
  </si>
  <si>
    <t>A passive switched-capacitor ΣΔ ADC consisting of only switches, capacitors and a comparator, is implemented in a 0.13μm digital CMOS process. This high-speed low-voltage architecture is used in a zero-IF GSM transceiver and has a measured peak SNDR of 67dB over a bandwidth of 100kHz with a SFDR of 75dB and a dynamic range of 72dB. The ADC consumes 1mA from a 1.5V power supply at a clock rate of 104MHz.</t>
  </si>
  <si>
    <t>Feng Chen; Ramaswamy, S.; Bakkaloglu, B.</t>
  </si>
  <si>
    <t>A 114 dB 68 mW chopper-stabilized stereo multi-bit audio A/D converter</t>
  </si>
  <si>
    <t>YuQing Yang; Chokhawala, A.; Alexander, M.; Melanson, J.; Hester, D.</t>
  </si>
  <si>
    <t>A 1.2-V dual-mode WCDMA/GPRS ΣΔ modulator</t>
  </si>
  <si>
    <t>Dezzani, A.; Andre, E.</t>
  </si>
  <si>
    <t>A tri-mode continuous-time ΣΔ modulator with switched-capacitor feedback DAC for a GSM-EDGE/CDMA2000/UMTS receiver</t>
  </si>
  <si>
    <t>van Veldhoven, R.</t>
  </si>
  <si>
    <t>A continuous-time ΣΔ modulator with 88dB dynamic range and 1.1MHz signal bandwidth</t>
  </si>
  <si>
    <t>A baseband continuous-time multi-bit ΣΔ modulator achieves 88dB dynamic range over a 1.1MHz signal bandwidth consuming 62mW from a 3.3V supply. Excess loop delay encountered in conventional continuous-time modulators is eliminated by the proposed architecture. Clock-jitter sensitivity is considerably reduced compared with prior designs.</t>
  </si>
  <si>
    <t>Yan, S.; Sanchez-Sinencio, E.</t>
  </si>
  <si>
    <t>A 4.4mW 76dB complex ΣΔ ADC for Bluetooth receivers</t>
  </si>
  <si>
    <t>A ΣΔ ADC with a fifth-order continuous-time complex loop filter achieves 76dB of DNR in a 1MHz channel. The input impedance is less than 400Ω and allows operation with a current-mode RF front-end. Image rejection is over 50dB, and IM3 distortion is below -82dBc. The circuit dissipates 4.4mW and is implemented in 0.18μm CMOS.</t>
  </si>
  <si>
    <t>Philips, K.</t>
  </si>
  <si>
    <t>A dual channel ΣΔ ADC with 40MHz aggregate signal bandwidth</t>
  </si>
  <si>
    <t>A dual-channel ΣΔ ADC has been integrated in 0.13μm CMOS technology with an oversampling ratio of 4. The ADC employs a cascade of low-pass and band-pass modulators and achieves an aggregate quadrature signal bandwidth of 40MHz at a sampling frequency of 160MS/s and 54dB dynamic range while dissipating 175mW from a 2.5V supply.</t>
  </si>
  <si>
    <t>Tabatabaei, A.; Onodera, K.; Zargari, M.; Samavati, H.; Su, D.K.</t>
  </si>
  <si>
    <t>A 20 GS/s 8-bit ADC achieves a bandwidth of 6 GHz in 0.18 μm CMOS. The implementation uses 80 time-interleaved current-mode pipeline sub-ADCs and stores data at 20 GB/s into a 1 MB on-chip memory. The ADC is packaged with a BiCMOS input buffer chip in a 438-ball BGA, and total power consumption is 10 W.</t>
  </si>
  <si>
    <t>Ken Poulton, Robert Neff, Brian Setterberg, Bernd Wuppermann, Tom Kopley, Robert Jewett, Jorge Pernillo, Charles Tan, and Allen Montijo</t>
  </si>
  <si>
    <t>Flash, TI</t>
  </si>
  <si>
    <t>A 2 GS/s 6-bit ADC with time-interleaving is demonstrated in 0.18 μm CMOS. Three cross-connected and pre-distorted reference voltages improve the averaging performance. Circuit techniques enabling an SNDR of 30 dB at Nyquist input frequency and a FOM of 3.5 pJ per conversion step are discussed, and experimental results validating the simulated performance metrics are presented.</t>
  </si>
  <si>
    <t>Xicheng Jiang, Zhengyu Wang, and M. Frank Chang,</t>
  </si>
  <si>
    <t>Byung-Moo Min, Peter Kim, David Boisvert, and Arlo Aude</t>
  </si>
  <si>
    <t>Boris Murmann and Bernhard E. Boser</t>
  </si>
  <si>
    <t>Alfio Zanchi, Frank Tsay, and Ioannis Papantonopoulos</t>
  </si>
  <si>
    <t>A 700/900mW/channel CMOS dual analog front-end IC for VDSL with integrated 11.5/14.5dBm line drivers</t>
  </si>
  <si>
    <t>A dual-channel analog front-end for ANSI/ETSI standards compliant VDSL in 0.25/0.5μm 1P 5M CMOS is presented. The chip includes a non-linearity cancelling multi-path line driver achieving -76dBc 3rd harmonic distortion at 12MHz, a 75mW continuous-time multi-bit 3rd-order self-calibrating ΣΔ ADC, a 14b current-steering DAC with PSD mask post filter, a 0-35dB variable-gain amplifier with adjustable hybrid, and a 12ps jitter LC PLL.</t>
  </si>
  <si>
    <t>Moyal, M.; Groepl, M.; Werker, H.; Mitteregger, G.; Schambacher, J.</t>
  </si>
  <si>
    <t>A cascaded continuous-time ΣΔ modulator with 67dB dynamic range in 10MHz bandwidth</t>
  </si>
  <si>
    <t>Breems, L.J.</t>
  </si>
  <si>
    <t>A 25 MS/s 14 b 200 mW ΣΔ modulator in 0.18 μm CMOS</t>
  </si>
  <si>
    <t>Balmelli, P.; Qiuting Huang</t>
  </si>
  <si>
    <t>ΣΔ ADC with finite impulse response feedback DAC</t>
  </si>
  <si>
    <t>A continuous-time 1 b ΣΔ ADC with a finite impulse response DAC in the feedback path is presented. The FIRDAC reduces the susceptibility to clock jitter by 18 dB while maintaining linearity. S/N ratio is 77 dB in a 1 MHz bandwidth, and IM2 and IM3 are 77 dB and 82 dB, respectively. The 0.18 μm CMOS chip consumes 6.0 mW.</t>
  </si>
  <si>
    <t>Putter, B.M.</t>
  </si>
  <si>
    <t>A 0.9 V 1.5 mW continuous-time ΔΣ modulator for WCDMA</t>
  </si>
  <si>
    <t>Ueno, T.; Itakura, T.</t>
  </si>
  <si>
    <t>A 1 V 88 dB 20 kHz ΣΔ modulator in 90 nm CMOS</t>
  </si>
  <si>
    <t>Yao, L.; Steyaert, M.; Sansen, W.</t>
  </si>
  <si>
    <t>A power optimized 14-bit SC ΔΣ modulator for ADSL CO applications</t>
  </si>
  <si>
    <t>A switched-capacitor multi-bit ΔΣ ADC including a reference-voltage buffer is implemented in 0.13 μm CMOS. The single loop 3 b modulator features 14 b and 13 b dynamic range over 276 kHz and 1.1 MHz signal bandwidths, respectively. Clocked at 105 MHz, the ADC core consumes 8 mW from a 1.5 V supply.</t>
  </si>
  <si>
    <t>Gaggl, R.; Inversi, M.; Wiesbauer, A.</t>
  </si>
  <si>
    <t>A mirror image free two-path bandpass ΣΔ modulator with 72 dB SNR and 86 dB SFDR</t>
  </si>
  <si>
    <t>A cross-coupled two-path ΣΔ architecture generates transmission zeros at 1/3 of the clock frequency, thereby achieving a mirror image free response. The chip uses 0.18 μm CMOS technology and is clocked at 2×60 MHz with a 40 MHz IF. The modulator achieves an 86 dB SFDR with a 2.5 MHz bandwidth and consumes 150 mW from a 1.8 V supply.</t>
  </si>
  <si>
    <t>Ying, F.; Maloberti, F.</t>
  </si>
  <si>
    <t>A 2 mW 89 dB DR continuous-time ΣΔ ADC with increased immunity to wide-band interferers</t>
  </si>
  <si>
    <t>Philips, K.; Nuijten, P.A.C.M.; Roovers, R.; Munoz, F.; Tejero, M.; Torralba, A.</t>
  </si>
  <si>
    <t>A 1.8V 1.6GS/s 8b self-calibrating folding ADC with 7.26 ENOB at Nyquist frequency</t>
  </si>
  <si>
    <t>A 1.8V folding-interpolating ADC in 0.18μm CMOS uses small device sizes to achieve a conversion rate exceeding 1.6GS/s. The inherent mismatch offsets are calibrated transparently, and at 1.6GS/s the ADC achieves 0.15LSB DNL, 0.35LSB INL, 7.5 ENOB at 100MHz input, and 7.26 ENOB at Nyquist.</t>
  </si>
  <si>
    <t>A 10b pipeline ADC fabricated in a 0.13μm pure digital CMOS process is presented. The supply voltage is 1.2V and the conversion rate is 120MS/s. The ADC maintains its performance down to 0.9V supply voltage and up to 220MS/s at a signal swing near full scale. Power consumption at 220MS/s is 135mW.</t>
  </si>
  <si>
    <t>Bjørnar Hernes, Atle Briskemyr, Terje N. Andersen, Frode Telstø, Thomas E. Bonnerud, and Øystein Moldsvor,</t>
  </si>
  <si>
    <t>This paper presents a 150 MS/s 8 bit time-interleaved ADC which has been built in 0.18 μm CMOS. Segmentation of the track-and-hold into separate circuits, driving the 1st stage comparators and two interleaved residue paths, together with signal scaling, results in a 45.4 dB SNDR for an 80 MHz input frequency, while dissipating 71 mW from a 1.8 V supply.</t>
  </si>
  <si>
    <t>A 3b SiGe ADC-DAC produces a conversion rate of 40GS/s with &gt;200 dynamic range over 12GHz bandwidth for receiver exciter applications. The 40GHz design and test methodology, as well as a new wideband quantizer front end, are described.</t>
  </si>
  <si>
    <t>William Cheng, Wais Ali, Moon-Jung Choi, Kanon Liu, Tammy Tat, Don Devendorf, Lloyd Linder, and Ronald Stevens,</t>
  </si>
  <si>
    <t>SAR, TI</t>
  </si>
  <si>
    <t>A 6b converter array operates at a 600MHz clock frequency with input signals up to 600MHz and only 10mW power consumption. The array consists of 8 interleaved successive approximation converters implemented in a 90nm digital CMOS technology.</t>
  </si>
  <si>
    <t>Dieter Draxelmayr</t>
  </si>
  <si>
    <t xml:space="preserve">A 1.8 V 15 b 40 MS/s CMOS pipelined ADC with 90 dB SFDR and 72 dB peak SNR over the full Nyquist band is described. ADC performance is enhanced by digital background calibration of DAC noise and interstage gain error. The IC is realized in a 0.18 μm CMOS process, consumes 400 mW, and has a die size of 4 mm×5 mm. </t>
  </si>
  <si>
    <t>E. Siragusa and I. Galton,</t>
  </si>
  <si>
    <t>Hung-Chih Liu, Zwei-Mei Lee, and Jieh-Tsorng Wu</t>
  </si>
  <si>
    <t>A 96 dB SFDR 50 MS/s pipeline A/D converter has been designed in a 0.25 μm CMOS process. An improved sample-and-hold and subtractive dither-continuous gain correction (SD-CGC) digital calibration are used to increase linearity. Prototype measurements show that the SNDR increases from 49 dB to 75 dB and the SFDR increases from 62 dB to 96 dB using the technique.</t>
  </si>
  <si>
    <t>A 1.8V 14b 10MS/s pipelined ADC in 0.18µm CMOS with 99dB SFDR</t>
  </si>
  <si>
    <t>Yun Chiu, Paul R. Gray, and Borivoje Nikolic</t>
  </si>
  <si>
    <t>Carl R. Grace, Paul J. Hurst, and Stephen H. Lewis,</t>
  </si>
  <si>
    <t>Olaf Stroeble, Victor Dias, and Christoph Schwoerer,</t>
  </si>
  <si>
    <t>A 14b-linear capacitor self-trimming pipelined ADC</t>
  </si>
  <si>
    <t>Seung-Tak Ryu, Sourja Ray, Bang-Sup Song, Gyu-Hyeong Cho, and Kanti Bacrania</t>
  </si>
  <si>
    <t>SDSC, Switched RC</t>
  </si>
  <si>
    <t>A 0.6V 82dB ΔΣ audio ADC using switched-RC integrators</t>
  </si>
  <si>
    <t>A 2-2 MASH ADC consumes 1mW from a 0.6V supply. It utilizes a local feedback loop for large input range, and switched-RC integrators to achieve high linearity without clock boosting or bootstrapping. The prototype IC is fabricated in a 0.35μm CMOS process. It provides 82dB DR over the A-weighted audio band, and 103dB SFDR at -3dBFS input.</t>
  </si>
  <si>
    <t>Gil-cho Ahn; Dong-young Chang; Brown, M.; Ozaki, N.; Youra, H.; Yamamura, K.; Hamashita, K.; Takasuka, K.; Temes, G.C.; Un-Ku Moon</t>
  </si>
  <si>
    <t>A low-power multi-bit ΔΣ modulator in 90nm digital CMOS without DEM</t>
  </si>
  <si>
    <t>A 2nd-order 4b ΔΣ modulator uses 3- and 5-level DAC. Truncating the ADC output while shaping and cancelling the error enables the use of low-resolution DAC and avoids DEM. The prototype is implemented in a 90nm digital CMOS technology and uses 2.1 mW from a 1.3V supply with a 40MHz clock. The SNDR is 52dB, 61dB and 72dB for an OSR of 10, 20 and 50, respectively.</t>
  </si>
  <si>
    <t>Jiang Yu; Maloberti, F.</t>
  </si>
  <si>
    <t>A 66dB DR 1.2V 1.2mW single-amplifier double-sampling 2nd-order ΔΣ ADC for WCDMA in 90nm CMOS</t>
  </si>
  <si>
    <t>A single-amplifier double-sampling second-order ΔΣ ADC with 5-level quantization is implemented in 90nm CMOS. To alleviate the capacitor mismatch issues in double sampling techniques, a single capacitor method is introduced, achieving 63dB peak SNDR and 66dB DR in a 1.94MHz bandwidth while consuming 1.2mW from a 1.2V supply.</t>
  </si>
  <si>
    <t>Jinseok Koh; Yunyoung Choi; Gomez, G.</t>
  </si>
  <si>
    <t>A 100dB SNR 2.5MS/s output data rate ΔΣ ADC</t>
  </si>
  <si>
    <t>A multi-bit cascaded 2-2-0 ΔΣ modulator in 0.25μm CMOS attains 100dB SNR in a 1MHz signal bandwidth. The complete A/D converter includes an on-chip operational amplifier for driving the large input capacitors dictated by kT/C noise, a reference buffer and a programmable decimation filter. The power consumption of the modulator including reference buffer is 475mW from a dual supply (2.5V and 5V).</t>
  </si>
  <si>
    <t>Brewer, R.; Gorbold, J.; Hurrell, P.; Lyden, C.; Maurino, R.; Vickery, M.</t>
  </si>
  <si>
    <t>An 80MHz 4× oversampled cascaded ΔΣ-pipelined ADC with 75dB DR and 87dB SFDR</t>
  </si>
  <si>
    <t>A 2nd-order 4b ΔΣ modulator in cascade with a 9b pipeline clocked at 80MHz achieves 75dB DR, 74dB peak SNR and more than 87dB SFDR in a 10MHz bandwidth by means of background digital linearization and noise-cancellation algorithms. The 0.18μm CMOS chip consumes 240mW including reference generator, digital decimator and correction logic.</t>
  </si>
  <si>
    <t>Bosi, A.; Panigada, A.; Cesura, G.; Castello, R.</t>
  </si>
  <si>
    <t>A 106dB SNR hybrid oversampling ADC for digital audio</t>
  </si>
  <si>
    <t>Nguyen, K.; Adams, B.; Sweetland, K.; Huaijin Chen; McLaughlin, K.</t>
  </si>
  <si>
    <t>A 0.18μm 102dB-SNR mixed CT SC audio-band ΔΣ ADC</t>
  </si>
  <si>
    <t>Morrow, P.; Chamarro, M.; Lyden, C.; Ventura, P.; Abo, A.; Matamura, A.; Keane, M.; O'Brien, R.; Minogue, P.; Mansson, J.; McGuinness, N.; McGranaghan, M.; Ryan, I.</t>
  </si>
  <si>
    <t>A 3.3 mW 12 MS/s 10b pipelined ADC in 90 nm digital CMOS</t>
  </si>
  <si>
    <t>Wang, R.; Martin, K.; Johns, D.; Burra, G.</t>
  </si>
  <si>
    <t>Pipe, Scalable</t>
  </si>
  <si>
    <t>A 50 MS/s (35 mW) to 1 kS/s (15 μW) power scaleable 10b pipelined ADC with minimal bias current variation</t>
  </si>
  <si>
    <t xml:space="preserve">This analog baseband transceiver features a 12-bit, 180MSPS pipelined ADC with -71dBFS THD and 61dB SNR sharing substrate with dual I/Q 10-bit 180MSPS D/A converters and low-jitter DLL/digital buffers. Fabricated in the IBM BiCMOS6HP process and packaged in a low-inductance 6-layer flip-chip, the ADC consumes a total of 1.2W at 3.3V. The converter utilizes 1.5b/stage switched-capacitor stages with a wide-band, high-gain opamp employing 2.5V bipolar devices, a dedicated track/hold amplifier, and a voltage reference without an amplifier. </t>
  </si>
  <si>
    <t>Pipe, TI, SwOpAmp</t>
  </si>
  <si>
    <t>A 1.5-V 10-b 50 MS/s time-interleaved switched-opamp pipeline CMOS ADC with high energy efficiency</t>
  </si>
  <si>
    <t>A 14bit digitally self-calibrated pipelined ADC with adaptive bias optimization for arbitrary speeds up to 40MS/s</t>
  </si>
  <si>
    <t>A 6-Bit 800-MS/s Pipelined A/D Converter with Open-Loop Amplifiers</t>
  </si>
  <si>
    <t>Pipe, SwOpAmp</t>
  </si>
  <si>
    <t>A 1-V 100MS/s 8-bit CMOS Switched-Opamp Pipelined ADC Using Loading-Free Architecture</t>
  </si>
  <si>
    <t>A 1V, 8-bit dual-mode ADC is realized using multi-phase switched-opamp (SO) technique. Employing a proposed loading-free pipelined ADC architecture and a fast-wake-up dual-input-dual-output switchable opamp, the ADC achieves 100MS/s conversion rate, which is the fastest operation speed reported at 1-V supply, and comparable to many high-voltage switched-capacitor (SC) ADC. Implemented in a 0.18mum CMOS process, the ADC obtains a peak SNR of 45dB and SFDR of 52.6dB while dissipating only 30mW</t>
  </si>
  <si>
    <t>Quadrature mode</t>
  </si>
  <si>
    <t>A 3rd-order single-loop CT DeltaSigma modulator with a 4b internal quantizer operating at 640MHz achieves 76dB SNR, -78dB THD, and 74dB SINAD in a 20MHz signal bandwidth with an OSR of 16. The modulator operates between 20 to 40MS/S output data rate and dissipates 20mW from a 1.2V supply at 40MS/S. The degradation of stability due to excess loop delay is solved with a quantizer feedback architecture</t>
  </si>
  <si>
    <t>Mitteregger, G.; Ebner, C.; Mechnig, S.; Blon, T.; Holuigue, C.; Romani, E.; Melodia, A.; Melini, V.</t>
  </si>
  <si>
    <t>Schreier, R.; Abaskharoun, N.; Shibata, H.; Mehr, I.; Rose, S.; Paterson, D.</t>
  </si>
  <si>
    <t xml:space="preserve">A 1b 51h-order complex CTDeltaSigma modulator with integrated IF mixer for AM/FM/IBOC car radio receivers is presented. The 118dB DR in AM mode enables the realization of the receiver without a VGA and an external AM channel filter. It is fabricated in a 0.18mum CMOS process and consumes 210mW from a 1.8V supply </t>
  </si>
  <si>
    <t>Silva, P.G.R.; Breems, L.J.; Makinwa, K.A.A.; Roovers, R.; Huijsing, J.H.</t>
  </si>
  <si>
    <t>Analog and digital feedforward swing-reduction techniques optimize the power consumption of this 2nd-order DeltaSigma modulator. The 0.18um CMOS prototype uses 2 telescopic OTAs and 2 ADCs requiring 10 comparators. The technique makes the modulator equivalent to a 4b architecture. The OSR is 33 and the clock frequency is 144MHz</t>
  </si>
  <si>
    <t>Kwon, S.; Maloberti, F.</t>
  </si>
  <si>
    <t>Kye-Shin Lee; Sunwoo Kwon; Franco Maloberti</t>
  </si>
  <si>
    <t>Goes, J.; Vaz, B.; Monteiro, R.; Paulino, N.</t>
  </si>
  <si>
    <t>Fujimoto, Y.; Kanazawa, Y.; Lore, P.; Miyamoto, M.</t>
  </si>
  <si>
    <t>A 12b 40MS/s 2-step subranging ADC is realized in a 90nm digital CMOS process. It uses a 7b coarse quantizer with a high-gain offset-canceling positive-feedback amplifier. ENOB is 10.2b at a 0.7V supply and 11.0b at a 1.0V supply. The ADC consumes 30mW at 40MS/s</t>
  </si>
  <si>
    <t>Pipe, CBSC</t>
  </si>
  <si>
    <t>A comparator-based switched-capacitor (CBSC) design method for sampled-data systems utilizes topologies similar to traditional opamp-based methods but relies on the detection of the virtual ground using a comparator instead of forcing it with feedback. A prototype 10b CBSC 1.5b/stage pipelined ADC is implemented in a 0.18mum CMOS process. The converter operates at 8MHz and consumes 2.5mW</t>
  </si>
  <si>
    <t>A 25μW 100kS/s 12b ADC for Wireless Micro-Sensor Applications</t>
  </si>
  <si>
    <t>A 0.18mum CMOS 12b 100kS/s successive approximation ADC is presented. The entire ADC consumes 25muW from a 1V supply and achieves an SNDR of 65dB. Its sampling rate can be scaled, yielding linear power savings. Efficiency of the comparator is increased by an offset compensating latch, while noise performance and common-mode rejection are improved by a modified capacitor network</t>
  </si>
  <si>
    <t>A 14b multi-bit-per-stage pipelined ADC is implemented in a 0.13mum digital CMOS process. The gain and matching errors of the analog circuitry are compensated by a digital calibration scheme that allows the usage of a low-gain op-amp. A low power consumption has been reached by introducing a charge compensation scheme</t>
  </si>
  <si>
    <t>Bogner, Peter; Kuttner, Franz; Kropf, Claus; Hartig, Thomas; Burian, Markus; Eul, Hermann</t>
  </si>
  <si>
    <t>A high-speed 4b flash ADC in 90nm digital CMOS is presented that uses a dynamic offset-compensation scheme in its comparators. It achieves a sampling rate of 1.25GS/s with 3.7 ENOB (23.8dB SNDR) from dc to Nyquist while consuming 2.5mW. It has an energy per conversion step of 0.16pJ</t>
  </si>
  <si>
    <t>P. Figueiredo, P. Cardoso, A. Lopes, C. Fachada, N. Hamanishi, K. Tanabe</t>
  </si>
  <si>
    <t>A 0.18mum CMOS 4GS/s non-interleaved 4b flash ADC is presented. A comparator with a 32times32mum2 on-chip inductor extends sampling rate without extra power consumption. DAC trimming and comparator redundancy reduce DNL and INL to less than 0.15LSB and 0.24LSB, respectively. The measured ENOB is 3.84b and 3.48b at 3GS/s and 4GS/s, respectively. The ADC achieves a BER of less than 10-8</t>
  </si>
  <si>
    <t>S. Park, Y. Palaskas, M. Flynn</t>
  </si>
  <si>
    <t xml:space="preserve">A 22GS/S 5b ADC implemented in 130nm SiGe BiCMOS technology is presented. The ADC has 0.64V input range and achieves 4.4b and 3.5b ENOB with 34dB and 29dB SFDR at 5GHz and 7GHz input frequencies, respectively. Measured DNL and INL are &lt;0.5LSB and BER is 10-4  at 22GS/s. The ADC consumes 3W from a 3.3V supply </t>
  </si>
  <si>
    <t>A 56mW CT Quadrature Cascaded ΣΔ Modulator with 77dB DR in a Near Zero-IF 20MHz Band</t>
  </si>
  <si>
    <t>Breems, L.J.; Rutten, R.; van Veldhoven, R.; van der Weide, G.; Termeer, H.</t>
  </si>
  <si>
    <t>A 0.13μm CMOS EDGE/UMTS/WLAN Tri-Mode ΔΣ ADC with -92dB THD</t>
  </si>
  <si>
    <t>Christen, T.; Burger, T.; Qiuting Huang</t>
  </si>
  <si>
    <t>A reconfigurable CT 5th-order 1b DeltaSigma modulator is presented. The DR/BW is programmable from 85dB@100kHz to 52dB@10MHz in 121 steps. Implemented in a 90nm CMOS process, the 0.36mm 2 IC includes 2 DeltaSigma modulators, a bandgap reference, and a decimator. The power consumption of a single ADC in different modes ranges from 1.44 to 7mW at 1.2V supply</t>
  </si>
  <si>
    <t>Ouzounov, S.; van Veldhoven, R.; Bastiaansen, C.; Vongehr, K.; van Wegberg, R.; Geelen, G.; Breems, L.; van Roermund, A.</t>
  </si>
  <si>
    <t>A 5th-order CT/DT Multi-Mode ΣΔ Modulator</t>
  </si>
  <si>
    <t>A 5th-order CT/DT multi-mode DeltaSigma ADC for the digitisation of baseband signals is presented. For accurate loop characteristics, the design uses DT switched-capacitor OTAs for the second- to fifth-stage integrators while the CT first-stage integrator provides anti-alias filtering. Implemented in 65nm CMOS, the design achieves 88/82/73dB DR for EDGE/CDMA/UMTS and draws &lt; 1.5mA from a 2.5V supply.</t>
  </si>
  <si>
    <t>Putter, B.</t>
  </si>
  <si>
    <t>A fully dynamic SAR ADC is proposed that uses passive charge-sharing and an asynchronous controller to achieve low power consumption. No active circuits are needed for high-speed operation and all static power is removed, offering power consumption proportional to sampling frequency from 50MS/s down to 0. The prototype implementation in 90nm digital CMOS achieves 7.8 ENOB, 49dB SNDR at 20MS/s consuming 290 muW. This results in a FOM of 65fJ/conversion-step.</t>
  </si>
  <si>
    <t>Craninckx, J.; Van der Plas, G.</t>
  </si>
  <si>
    <t>A 14b 40MS/s Redundant SAR ADC with 480MHz Clock in 0.13pm CMOS</t>
  </si>
  <si>
    <t>Hesener, M.; Eichler, T.; Hanneberg, A.; Herbison, D.; Kuttner, F.; Wenske, H.</t>
  </si>
  <si>
    <t>Yoshioka, M.; Kudo, M.; Mori, T.; Tsukamoto, S.</t>
  </si>
  <si>
    <t>A 10b 160MS/S subranging ADC with THA is implemented in a 90nm digital CMOS process. Noise averaging and an auto-zeroed comparator are used in the fine converter to achieve low noise and offset at low power dissipation. The prototype converter achieves an ENOB of 9.1b for an 80MHz input and consumes 84mW from a 1V supply</t>
  </si>
  <si>
    <t>Huber, D.J.; Chandler, R.J.; Abidi, A.A.</t>
  </si>
  <si>
    <t>Young-Deuk Jeon; Seung-Chul Lee; Kwi-Dong Kim; Jong-Kee Kwon; Jongdae Kim</t>
  </si>
  <si>
    <t>Seung-Chul Lee; Young-Deuk Jeon; Kwi-Dong Kim; Jong-Kee Kwon; Jongdae Kim; Jeong-Woong Moon; Wooyol Lee</t>
  </si>
  <si>
    <t>Pipe, ZCBC</t>
  </si>
  <si>
    <t>A zero-crossing-based 8b 200MS/S pipelined ADC is implemented in a 0.18 mum CMOS process. It uses dynamic zero-crossing detectors and digital FFs that replace the functions of opamps and comparators. The ADC draws no static current. The power consumption is 8.5mW. The FOM is 0.51pJ/step</t>
  </si>
  <si>
    <t>Brooks, L.; Hae-Seung Lee</t>
  </si>
  <si>
    <t>Hernes, B.; Bjornsen, J.; Andersen, T.N.; Vinje, A.; Korsvoll, H.; Telsto, F.; Briskemyr, A.; Holdo, C.; Moldsvor, O.</t>
  </si>
  <si>
    <t>Cheng-Chung Hsu; Fong-Ching Huang; Chih-Yung Shih; Chen-Chih Huang; Ying-Hsi Lin; Chao-Cheng Lee; Razavi, B.</t>
  </si>
  <si>
    <t>Current trends in analog/mixed-signal design for battery-powered devices demand the adoption of cheap and power-efficient ADCs. SAR architectures have been recently demonstrated as able to achieve high power efficiency in the moderate-resolution/medium- bandwidth range in Craninckx, J. and Van der Plas, G., (2007). However, when the comparator determines in first instance the overall performance, as in most SAR ADCs, comparator thermal noise can limit the maximum achievable resolution. More than 1 and 2 ENOB reductions are observed in Craninckx, J. and Van der Plas, G., (2007) and Kuttner, F., (2002), respectively, because of thermal noise, and degradations could be even worse with scaled supply voltages and the extensive use of dynamic regenerative latches without pre-amplification. Unlike mismatch, random noise cannot be compensated by calibration and would finally demand a quadratic increase in power consumption unless alternative circuit techniques are devised.</t>
  </si>
  <si>
    <t>The 250 MS/S ADC has 36 time-interleaved 5b SAR ADC channels operating at 800 mV. Parallelism is used specifically to improve energy efficiency, and architectural solutions address the limitations of interleaving. Redundancy is used as an efficient technique to counteract the yield loss from local variation. A hierarchical top- plate sampling network reduces timing skew with extended sampling times and permits a partitioned clock network for minimum distribution requirements.</t>
  </si>
  <si>
    <t>In this paper, a 2-step 7b ADC consists of a TVH, followed by a 1b comparison and D/A conversion, and a 6b comparator-based asynchronous binary-search (CABS) conversion. The 7b ADC operates as follows: the passive T/H samples the input signal on a capacitance, the 1b comparator determines the sign of the input and steers a capacitive DAC. The DAC subtracts 1/4 of the full-scale range in charge from one of the input nodes, changing simultaneously differential signal and common-mode level to be in range of the 6b CABS converter. The clock buffer generates the 1b coarse A/D clock signal and starts the 6b fine conversion after the 1b D/A conversion has finished.</t>
  </si>
  <si>
    <t>An ADC for energy scavenging is proposed using a charge-redistribution DAC, a dynamic 2-stage comparator, and a delay-line-based controller realized in CMOS. The charge-redistribution DAC can be used in a simple way to make a SAR ADC. The 10b differential ADC uses bootstrapped NMOS devices to sample the differential input voltage onto two identical charge-redistribution DACs. The test chip is fabricated in a 65nm CMOS process. In this ADC, the MSB is set in between the sampling phase and the first comparison, saving energy and time.</t>
  </si>
  <si>
    <t>The ADC-SAR is fabricated in a 0.18mum 2P5M CMOS process. This SAR-ADC converter achieves 56fJ/conversion-step FOM with 58dB SNDR. It uses a comparator, named time-domain comparator, that instead of operating in the voltage domain, transforms the input and the reference voltages into pulses and compares their duration.</t>
  </si>
  <si>
    <t>The prototype ADC is implemented in 0.18mum dual gate-oxide (DGO) CMOS technology and achieves 72.4dB SNR and 88.5dB SFDR at 100MS/s with a 46MHz input while consuming 230mW from a 3V supply. Recently, power saving has been achieved by removing the explicit active S/H. Instead of removing the S/H, this work solves these drawbacks by merging the active S/H amplifier with the first MDAC (SMDAC). Thus, the ADC achieves low-power operation without sacrificing speed or accuracy.</t>
  </si>
  <si>
    <t>A 1.2V 4.5mW 10b 100MS/s Pipeline ADC in 65nm CMOS</t>
  </si>
  <si>
    <t>High-speed low-resolution ADCs are an essential part of receivers for wireless standards such as UWB. These converters have to combine the stringent speed specifications with the demand for low power consumption. Flash architectures are often chosen because they offer the largest speed. However, in this architecture, area and power depend exponentially on the resolution since the comparators are often the largest contributor to the overall power consumption. Folding is a well-known technique used to reduce the number of comparators in an ADC while maintaining high speed. It was previously implemented by generating a number of zero crossings with folding amplifiers, often in combination with interpolation or averaging. In this design, a folding factor of 2 is realized as in but with only dynamic power consumption and without using amplifiers. This reduces the number of comparators from 31 to 16 for a 5b resolution.</t>
  </si>
  <si>
    <t>This paper presents an improved low-power DeltaSigma modulator, exploiting the class-C inverter and the feedforward topology. The measurement results show 14b dynamic range for a 20kHz bandwidth with 36muW power consumption from a 0.7V supply.</t>
  </si>
  <si>
    <t>The SigmaDelta modulator presented in this paper exploits the advantages of new CMOS technologies by digitization on both architectural and circuit level. The target DR of the modulator is 77dB in 200kHz.</t>
  </si>
  <si>
    <t>In this paper, two prototype versions of a SC time-interleaved DeltaSigma ADC are described. Both use quantization- noise coupling for enhanced noise shaping. They achieve high linearity, and FOMs of 0.33 and 0.48pJ/conversion-step, in signal BWs of 2.5 and 4.2MHz, respectively.</t>
  </si>
  <si>
    <t>A reconfigurable power-adaptive DT DeltaSigma ADC for intelligent 802.11n/WiMAX receivers (20 to 2.5MHz per I/Q) is presented. The intent is to replace complex analog baseband circuits with a combination of tunable one-pole filter, anti-alias filter and coarse VGA in Paramesh, J. et al (2006). Blocker filtering, fine variable-gain amplification and variable-BW channel selection are moved to the digital baseband. The SNR is optimized as a function of signal and out-of-band blocker power in Behbahani, F. et al, (2001) by reconfiguring the modulator order into one of 4 modes at constant fs, thereby keeping anti-aliasing unchanged. A 5b flash ADC integrated in the converter is the front end of a simple spectrum analyzer (SSA). Spectrum sensing and reconfigurability are accomplished without compromising ADC performance.</t>
  </si>
  <si>
    <t>This paper describes a continuous time DeltaSigma modulator with 10MHz of bandwidth that achieves a DR of 87dB and an IMD of -91dBc while consuming 100mW.</t>
  </si>
  <si>
    <t>W. Yang, W. Schofield, H. Shibata, S. Korrapati, A. Shaikh, N. Abaskharoun, D. Ribner</t>
  </si>
  <si>
    <t>In the digital wireless SoC applications, CT DeltaSigma ADCs have been widely used for I/Q quantization due to the built-in anti-aliasing function and insensitivity to the input sampling error. They also offer higher-frequency performance than SC modulators as no critical opamp settling is required. CT modulators with low OSR have achieved a DR greater than 75 dB in a 20 MHz band. However, they all suffer from inaccurate active filtering as filter time constants are set by RC and C/Gm values that vary by as much as plusmn20 to 30%. By lowering OSR, the signal band can be widened, but the in-band zero of the NTF should be optimally placed to maximize the DR. Inaccurate NTF zero either degrades the DR or makes the modulator unstable. This work presents an exact time-constant auto-tuning method using an LMS algorithm. With a binary pulse dither injected into the loop at the input of the quantizer, the filter time constant can be calibrated continuously with crystal accuracy until the correlated residual pulse dither disappears in the digital output.</t>
  </si>
  <si>
    <t>This paper wants to clarify the important design parameters of the 45 nm process like matching, flicker noise, and offset from an analog designers' point of view. This paper describes a continuous time DeltaSigma ADC for voice coding applications.</t>
  </si>
  <si>
    <t>This work introduces correlated level shifting (CLS) that simultaneously decreases the error due to finite opamp gain and allows true rail-to-rail operation. An extra phase is needed, but, surprisingly, there is no speed penalty when compared to a high-gain opamp solution because CLS does not require full settling during the next-to-last phase. In fact, the increased signal swing means that the same SNR can be achieved using smaller sampling capacitors. Thus, it could be argued that CLS can provide accurate results at a higher speed than using a traditional 2-phase operation with a high-gain opamp. For example, with CLS, the performance is maintained over the whole 0.9V supply, whereas a standard configuration has only a 0.6V swing. Thus, the standard configuration requires 2.25x larger sampling capacitors to achieve the same signal to kT/C noise ratio.</t>
  </si>
  <si>
    <t>B. Gregoire, U-K. Moon</t>
  </si>
  <si>
    <t>ADCs with 6b resolution and gigahertz sampling frequency are widely used in serial links, magnetic recording systems and UWB receivers. Flash ADCs have been dominantly used for these applications. This paper presents an ADC that takes advantage of the high-speed digital logic and highly matched small capacitors in deep-submicron digital CMOS processes to achieve similar performance, but with lower power consumption than flash ADCs. Unlike many previously published low-power high-speed ADCs based on time-interleaved SAR, this ADC has only 2 clock-cycle latency (1.6ns at 1.25GS/s) and achieves 6b performance without any digital post-processing or off-line calibration, making it a plug- in replacement for conventional flash ADCs in many applications.</t>
  </si>
  <si>
    <t>A time-interleaved ADC is presented with 16 channels, each consisting of two Successive Approximation (SA) ADCs in a pipeline configuration. Three techniques are presented to increase the speed of an SA-ADC. Single channel performance is 6.9 ENOB at an input frequency of 4 GHz. Multi-channel performance is 7.7 ENOB at 1.35 GS/s with an ERBW of 1 GHz and a FoM of 0.6 pJ/conversion-step. Keywords: ADC, SAR, SA-ADC, time-interleaved, T/H.</t>
  </si>
  <si>
    <t>Louwsma, S.M.; van Tuijl, E.J.M.; Vertregt, M.; Nauta, B.;</t>
  </si>
  <si>
    <t>Deguchi, K.; Suwa, N.; Ito, M.; Kumamoto, T.; Miki, T.;</t>
  </si>
  <si>
    <t>A time-interleaved pipeline ADC is designed with the reconfigurable resolution and sampling rate, Fs, to accommodate different operation scenarios. The main offset and gain mismatches between four Sub-ADCs are modulated to the frequency of Fs/2 by the reference- and opamp-sharing techniques. Fabricated in 90nm CMOS, the 7bit ADC has an ENOB of 6.5 at 1.1GHz sampling rate. The I/Q ADCs totally consume power of 92mW from a 1.3V supply.</t>
  </si>
  <si>
    <t>Cheng-Chung Hsu; Chen-Chih Huang; Ying-Hsi Lin; Chao-Cheng Lee; Soe, Z.; Aytur, T.; Ran-Hong Yan;</t>
  </si>
  <si>
    <t>A 2.5mW 80dB DR 36dB SNDR 22MS/s Logarithmic Pipeline ADC</t>
  </si>
  <si>
    <t>A 14b Low-power Pipeline A/D Converter Using a Pre-charging Technique</t>
  </si>
  <si>
    <t>A pre-charging technique to improve the settling response of pipeline stages is demonstrated in a 14bit pipeline A/D converter (ADC). The prototype ADC fabricated in a 0.25um CMOS process consumes 102mW at 30MSample/s. Measured SNDR and SFDR are 70.7dB and 82.8dB, respectively.</t>
  </si>
  <si>
    <t>A 0.5V 8bit 10Msps Pipelined ADC in 90nm CMOS</t>
  </si>
  <si>
    <t>A 1.2-V 77-dB 7.5-MHz Continuous-Time/Discrete-Time Cascaded ΣΔ Modulator</t>
  </si>
  <si>
    <t>A 5th-Order Delta-Sigma Modulator with Single-Opamp Resonator</t>
  </si>
  <si>
    <t>An advance in folding-interpolating ADCs is presented that simplifies their extension to higher resolution by building the converter out of identical but scaled pipelined cascaded folding stages. The limitation of the classical folding architecture is the separate coarse channel to determine which fold an input signal is in. Higher-resolution ADCs benefit from a higher order of folding, which results in more closely spaced folds and makes the alignment between this "fine" channel and the "coarse" channel increasingly difficult due to offset and settling mismatch. In this paper we eliminate this separate coarse channel using instead a single "unified" set of cascaded folding stages, in which each folding stage acts as the coarse channel for the following folding stage. This extends previous work where the coarse channel is distributed and where the cascaded folding stages are pipelined. Our approach is demonstrated in a dual 1.8 V 1.0 GS/s 10 b ADC that achieves plusmn0.2 LSB DNL and 9.1 ENOB at Nyquist while consuming 1.2 W/channel.</t>
  </si>
  <si>
    <t>This paper reports a 5b asynchronous binary-search ADC with reference-range prediction. The maximum conversion speed of this ADC is 800 MS/s at a cost of 2 mW power consumption. The ADC is fabricated in a 1P6M 65 nm CMOS process with metal-oxide-metal (MOM) capacitors.</t>
  </si>
  <si>
    <t>At high conversion speed, time interleaving provides a viable way of achieving analog-to-digital conversion with low power consumption, especially when combined with the successive-approximation-register (SAR) architecture that is known to scale well in CMOS technology. In this work, we showcase a digital background-equalization technique to treat the path-mismatch problem as well as individual ADC nonlinearities in time-interleaved SAR ADC arrays. In this prototype, we demonstrate the effectiveness of this technique in a compact SAR ADC array, which achieves 7.5 ENOB and a 65 dB SFDR at 600 MS/s while dissipating 23.6 mW excluding the on-chip DLL, and exhibiting one of the best conversion FOMs among ADCs with similar sample rates and resolutions.</t>
  </si>
  <si>
    <t>Recent work on ADCs targeting sampling rates of hundreds of MHz with resolutions in the range of 10 to 11 b has faced speed limitations with a single channel or employed interleaving, but with a relatively high power dissipation or low SNDR. This paper introduces a calibration technique that, together with a high-speed opamp topology, allows a single channel to operate at 500 MHz and digitize a 233 MHz input with an SNDR of 53 dB. This SNDR yields a figure of merit (FOM) of 0.3 pJ/conversion-step, the lowest reported for 10 and 11 b ADCs running at these frequencies.</t>
  </si>
  <si>
    <t>Today's communication systems require high-performance low-cost ADCs with emphasis on low power, and the ability to IF-sample to reduce receiver complexity. Further, the often-overlooked metric of small-signal linearity quantified by SFDR for less-than-full-scale inputs is important, especially in the presence of large interferers. This 16 b pipeline ADC achieves 78.7 dB SNR, 78.6 dB SNDR and 96 dB SFDR at 125 MS/s with a 30 MHz input, while dissipating 385 mW from a 1.8 V supply. The ADC quantizes inputs up to 150 MHz with an SNR &gt;76 dB and an SFDR &gt;85 dB, has a jitter of 65 fs and accepts 2 Vpp-diff, inputs. Further, with dithering enabled the worst spur is &lt;-98 dB for inputs below -4 dBFS at 100 MHz IF. The ADC is fabricated in a 1P5M 0.18mum CMOS process.</t>
  </si>
  <si>
    <t>A pipelined ADC is presented with 2 fully integrated digital background calibration techniques: harmonic distortion correction (HDC) to compensate for residue amplifier gain error and nonlinearity, and DAC noise cancellation (DNC) to compensate for DAC capacitor mismatches. It is the first IC implementation of HDC, and the results demonstrate that HDC and DNC together enable reductions in power dissipation relative to comparable conventional state-of-the-art pipelined ADCs.</t>
  </si>
  <si>
    <t>In the interest of extending battery life in mobile systems that use pipelined ADCs, several power-efficient pipelined ADCs have recently been proposed. The most promising topologies reported thus far are those that substitute the opamp, which is the largest consumer of power in pipelined ADCs, with alternative and more power-efficient circuits. However, opamp-less pipelined ADCs thus far either: 1) require complex nonlinear calibration, 2) are single- ended, 3) are pseudo-differential, or 4) require a sampling scheme that limits linearity (less than 8b ENOB). In this paper, a low-power pipelined ADC is presented that has significantly lower power consumption than many previous 10b ADCs in the mid-to-high speed range. The ADC does not require power-hungry opamps, and hence achieves similar power savings. However, unlike prior opamp-free topologies, the ADC: 1) requires only stage-gain digital calibration, 2) uses fully differential pipelined stages, and 3) uses a sampling scheme that can achieve high linearity (SFDR of 66dB and better than 9b ENOB).</t>
  </si>
  <si>
    <t>As intrinsic device gain and power supply voltages decrease with CMOS technology scaling, it is becoming increasingly challenging for designers of conventional opamp-based switched-capacitor circuits to meet gain and output swing targets, and to ensure stability. Zero-crossing based circuits (ZCBC) are presented as an alternative architecture where each opamp is replaced with a current source and a zero-crossing detector. This changes the dynamics of the system while preserving the functionality. To further improve the robustness of ZCBC designs, we present a 50MS/s, 12b ZCBC pipelined ADC with fully differential signaling and automatic offset compensation.</t>
  </si>
  <si>
    <t>Two-Step, TDC</t>
  </si>
  <si>
    <t>As CMOS dimensions scale down, time-domain resolution of digital signals improves but the voltage resolution of analog signals degrades. In this paper, we introduce an ADC architecture based on pulse position modulation (PPM), which relies more on time resolution than on amplitude resolution. In PPM a continuous-time comparator compares the input signal with a voltage ramp. The time interval between the ramp starting point, which is synchronous with the reference clock, and the instant the input signal crosses the ramp is measured by a 2-step time-to-digital converter. Assuming the ramp slope is constant, we can calculate the input-signal amplitude from the measured time vector.</t>
  </si>
  <si>
    <t xml:space="preserve">In this paper we demonstrate a new technique that eliminates the impact of Kv nonlinearity by preserving the integral relationship of the VCO output phase to the input signal. Leveraging the VCO output phase directly precludes the need to span the entire nonlinear Kv characteristic since small perturbations (in the range of 10s of mV) at the tuning node are sufficient to shift the VCO phase by a substantial amount. Since an open-loop VCO is sensitive to frequency offsets and drift, and easily saturates its phase detector for large input signals, some form of negative feedback is necessary. Here, a multibit DAC subtracts the previously quantized phase value from the VCO input, creating a residue that is integrated during the next clock cycle. This feedback loop not only allows large signals to drive the VCO without incurring distortion from Kv nonlinearity, but also it is a 1s,-order CT DeltaSigma ADC loop, and it therefore 1s,-order shapes quantization noise. </t>
  </si>
  <si>
    <t>In this paper, a multi-bit SC DAC is used to improve the stable input range. A low-latency DEM is introduced to minimize quantization-to-DAC delay and to relax OTA BW requirements. The ISI-free RZ coding and reduced internal signal swings contribute to -97.7 dBc THD from a 1.2 V supply.</t>
  </si>
  <si>
    <t>Low-power, small-area, 20 MHz-BW ADCs that can be integrated in nanoscale CMOS technologies are of immense interest to the wireless communication industry. Implementation of high-performance analog circuits in nanometric technologies faces several challenges. Time-domain digital signal processing (TDSP) can be used as an alternative for some analog circuits to overcome these challenges. The TDSP technique utilizes the high timing resolution available in nanoscale technologies, and can be implemented using digital circuits that are inherently less susceptible to noise. Circuits using this technique also become faster, smaller and consume less power with technology scaling. Hence, solutions using TDSP with as many digital circuits as possible are desired. An ADC architecture that uses a VCO-based time-domain quantizer is presented. This architecture uses a conventional feedback element (multi-element DAC with DEM) and 950 MHz sample rate that leads to high power consumption. In this work, a pulse-width modulator (PWM) and an all- digital time-to-digital converter (TDC) are used to implement the quantizer as well as the feedback element in the time domain. This approach achieves the necessary linearity in the feedback path without DEM or calibration, and allows a low output rate of 250 MS/S.</t>
  </si>
  <si>
    <t>The main advantages of discrete-time (DT) systems are their robustness and their ability to exploit the high switching speeds of transistors in scaled technologies. Operating in discrete time also allows for system reconfiguration by changing the sampling frequency. Moreover, different sampling frequencies can be applied throughout a system. This multirate feature can then be exploited to trade performance for power and flexibility. The multirate technique can also be of benefit to discrete-time DeltaSigma modulators. In DeltaSigma modulators, the first integrators are the largest contributors to the overall power consumption since they set the overall noise and distortion of the modulator. The multirate technique can then be used to reduce the sampling speed of the first integrators and hence the power and compensate for loss in resolution by increasing the speed of the last integrators. However, multirate processing inside a single-loop DeltaSigma modulator introduces additional complexity due to the feedback from the last integrators to the input operating at a lower sampling frequency. This complexity can be avoided by using a cascaded architecture in which the sampling frequency is modified between the stages. It can be shown that a cascade DeltaSigma with the first loop operating at fs/2 and the second loop at 2fs is equivalent in terms of resolution to a cascade DeltaSigma with both loops operating at fs. Furthermore, a cascaded implementation can offer a power-efficient implementation in a multimode context by switching off the appropriate last stages . In this paper we present a 90 nm CMOStri-mode DT multirate cascade DeltaSigma modulator.</t>
  </si>
  <si>
    <t>0.18 BiCMOS</t>
  </si>
  <si>
    <t>A 16b 250MS/s IF-Sampling Pipelined A/D Converter with Background Calibration</t>
  </si>
  <si>
    <t>We present a 16b 250MS/s ADC that employs background calibration of the residue amplifier gain errors. It has an integrated input buffer and is fabricated on a 0.18μm BiCMOS process. Without the input buffer, the SNR is 77.5dB and the SFDR is 90dB. With the input buffer, the SNR is 76dB and the SFDR is 95dB. The clock jitter is 60fs. The ADC consumes 850mW and the input buffer consumes 150mW.</t>
  </si>
  <si>
    <t>A. M. Ali, A. Morgan, C. Dillon, G. Patterson, S. Puckett, M. Hensley, R. Stop, P. Bhoraskar, S. Bardsley, D. Lattimore, J. Bray, C. Speir, R. Sneed</t>
  </si>
  <si>
    <t>A 16b 100-to-160MS/s SiGe BiCMOS Pipelined ADC with 100dBFS SFDR</t>
  </si>
  <si>
    <t>A 16b 160MS/s pipelined ADC built in a complementary SiGe BiCMOS process is presented, with an SFDR of 105dB and an SNR of 77dB at -1dBFS below 160MHz. The fully buffered track-and-hold has circuitry needed to achieve this performance. The internal sub-DAC uses circuits to mitigate the limitations imposed by transistor self-heating, early voltage and impact ionization.</t>
  </si>
  <si>
    <t>R. Payne, M. Corsi, D. Smith, S. Kaylor, D. Hsieh</t>
  </si>
  <si>
    <t>Pipe, Folding, TI</t>
  </si>
  <si>
    <t>A 2.6mW 6b 2.2GS/s 4-times Interleaved Fully Dynamic Pipelined ADC in 40nm Digital CMOS</t>
  </si>
  <si>
    <t>A 2.2GS/s 4x-interleaved 6b ADC in 40nm digital CMOS is presented. Each ADC slice consists of a 1b folding stage followed by a pipelined binary-search sub-ADC using dynamic nonlinear amplifiers for low power consumption and high speed. Threshold calibration corrects for amplifier and comparator imperfections and 31.6dB SNDR is achieved with 2GHz ERBW for 2.6mW power consumption.</t>
  </si>
  <si>
    <t>B. Verbruggen, J. Craninckx, M. Kuijk, P. Wambacq, G. Van der Plas</t>
  </si>
  <si>
    <t>A Mostly Digital Variable-Rate Continuous-Time ADC ΔΣ Modulator</t>
  </si>
  <si>
    <t>G. Taylor, I. Galton</t>
  </si>
  <si>
    <t>A 10b 100MS/s 4.5mW Pipelined ADC with a Time Sharing Technique</t>
  </si>
  <si>
    <t>Y-C. Huang, T-C. Lee</t>
  </si>
  <si>
    <t>A 1.4V Signal Swing Hybrid CLS-Opamp/ZCBC Pipelined ADC Using a 300mV Output Swing Opamp</t>
  </si>
  <si>
    <t>A Hybrid CLS-opamp/ZCBC pipelined ADC is introduced to improve accuracy, robustness, and power efficiency. Fast and accurate residue amplification is achieved by invoking a short ZCBC operation followed by CLS-opamp settling. Measured ENOB is better than 11b at sampling rate of 20MHz.</t>
  </si>
  <si>
    <t>B. P. Hershberg, S. T. Weaver, U-K. Moon</t>
  </si>
  <si>
    <t>Pipe, SAR</t>
  </si>
  <si>
    <t>An 18b 12.5MHz ADC with 93dB SNR</t>
  </si>
  <si>
    <t>C. P. Hurrell, C. Lyden, D. Laing, D. Hummerston, M. Vickery</t>
  </si>
  <si>
    <t>W. Liu, P. Huang, Y. Chiu</t>
  </si>
  <si>
    <t>M. Furuta, M. Nozawa, T. Itakura</t>
  </si>
  <si>
    <t>A 10b 50MS/s 820μW SAR ADC with On-Chip Digital Calibration</t>
  </si>
  <si>
    <t xml:space="preserve">A 10b 50MS/s SAR ADC is presented that uses comparator offset calibration, CDAC linearity error calibration and internal clock frequency control to compensate for the PVT variation. The prototype in 65nm CMOS achieves 56.9dB SNDR at 50MS/s and consumes 820μW from a 1.0V supply including the digital calibration circuits. </t>
  </si>
  <si>
    <t>M. Yoshioka, K. Ishikawa, T. Takayama, S.</t>
  </si>
  <si>
    <t>A 10b 100MS/s 1.13mW SAR ADC with Binary-Scaled Error Compensation</t>
  </si>
  <si>
    <t>This paper presents a 10b SAR ADC with a binary-scaled error compensation technique. The prototype occupies an active area of 155×165μm2 in 65nm CMOS. At 100MS/s, the ADC achieves an SNDR of 59.0dB and an SFDR of 75.6dB, while consuming 1.13mW from a 1.2V supply. The FoM is 15.5fJ/conversion-step.</t>
  </si>
  <si>
    <t>C-C. Liu, S-J. Chang, G-Y. Huang, Y-Z. Lin, C-M. Huang, C-H. Huang, L. Bu, C-C. Tsai</t>
  </si>
  <si>
    <t>A 30fJ/Conversion-Step 8b 0-to-10MS/s Asynchronous SAR ADC in 90nm CMOS</t>
  </si>
  <si>
    <t>An 8b SAR ADC is presented. The 90nm CMOS prototype achieves an ENOB of 7.8b at a sampling frequency of 10.24MS/s. The use of asynchronous dynamic CMOS logic, custom-designed capacitors, an internal common-mode shift and low-leakage design techniques results in a power consumption of 69μW from a 1V supply. The corresponding FoM equals 30fJ/Conversion-step and is maintained down to 10kS/s.</t>
  </si>
  <si>
    <t>P. Harpe, C. Zhou, X. Wang, G. Dolmans, H. de Groot</t>
  </si>
  <si>
    <t>A 40GS/s 6b ADC in 65nm CMOS</t>
  </si>
  <si>
    <t>A 6b 65nm CMOS ADC exceeds the 29GS/s requirement of a 58Gb/s DP-QPSK optical receiver while operating up to 40GS/s. An interleaved architecture combines 16 SAR converters and an array of T/Hs with delay, gain, and offset calibration. A 1V 40mW 2.5GS/s sub-ADC results in a total power of 1.5W, ENOB of 4.5b (3.9b) up to 10GHz (18GHz). An on-chip signal synthesizer simplifies production testing.</t>
  </si>
  <si>
    <t>Y. M. Greshishchev, J. Aguirre, R. Gibbins, C. Falt, P. Flemke, N. Ben-Hamida, D. Pollex, P. Schvan, S-C. Wang, M. Besson</t>
  </si>
  <si>
    <t>Folding, TI</t>
  </si>
  <si>
    <t>We report on an analog to digital converter (ADC) system with 8 bit resolution and a sample rate of 8 GSa/s. The system is composed of 2 thick-fh hybrid substrates, each holding a silicon bipolar ADC chip and a custom CMOS memory chip. Each ADC chip contains two differential track and hold circuits and two folding and interpolating 2 GSa/s flash digitizers. The custom memory chip accepts data at 2 GSa/s on each of two input ports, and stores the data in a 256 Kbit S U M . The ADC system uses time interleaving of 4 paths to reach 8 GSa/s and combines hardware dither with software calibration techniques to achieve 7.6 effective bits at low frequencies and 5.3 effective bits at 2 GHz input.</t>
  </si>
  <si>
    <t>A 1.5 V, 10-bit, 14 MS/s CMOS pipeline analog-to-digital converter</t>
  </si>
  <si>
    <t xml:space="preserve">A 1.5 V, 10-bit, 14.3 MS/s pipeline analog-to-digital converter was implemented in a 0.6 μm CMOS technology. Emphasis was placed on observing device reliability constraints at low voltage. MOS switches were implemented without low-threshold devices by using a bootstrapping technique that does not subject the devices to large terminal voltages. The converter achieved a peak SNDR of 58.5 dB, maximum DNL of 0.51 LSB, maximum INL of 0.66 LSB and a power consumption of 36 mW </t>
  </si>
  <si>
    <t>An 8 b 100 MSample/s CMOS pipelined folding ADC</t>
  </si>
  <si>
    <t xml:space="preserve">When applied to folding ADCs, pipelining relieves the wide bandwidth requirement of the folding amplifier. A pipelined folding ADC prototyped using a 0.5 μm CMOS process exhibits a DNL of ±0.4 LSB and an INL of ±1.3 LSB at 100 MSample/s. The chip occupies 1.4 mm×1.2 mm in active area and consumes 165 mW at 5 V </t>
  </si>
  <si>
    <t>A 12-bit mismatch-shaped pipeline A/D converter</t>
  </si>
  <si>
    <t xml:space="preserve">This paper presents pipeline A/D converters with improved linearity. The linearity improvement is achieved through a combination of oversampling and mismatch shaping, which modulates the distortion energy out-of-band. A 77 dB SFDR is achieved at an oversampling ratio of 4 and a sampling rate of 51 Msample/s, which is a 12 dB improvement compared to a converter with no mismatch shaping. These results were obtained from a test chip fabricated in a 0.35 μm CMOS process </t>
  </si>
  <si>
    <t>A highly integrated analog baseband transceiver featuring a 12-bit 180MSPS pipelined A/D converter for multi-channel wireless LAN</t>
  </si>
  <si>
    <t>AUTHORS</t>
  </si>
  <si>
    <t>P [W]</t>
  </si>
  <si>
    <t>OSR</t>
  </si>
  <si>
    <t>fsnyq [Hz]</t>
  </si>
  <si>
    <t>20070907: First web release</t>
  </si>
  <si>
    <t>[3] R. H. Walden, “Analog-to-digital converter survey and analysis”, IEEE J. Select. Areas Commun., vol. 17, pp. 539-550, April 1999.</t>
  </si>
  <si>
    <t>[2] B. Murmann, "A/D Converter Trends: Power Dissipation, Scaling and Digitally Assisted Architectures," Proc. IEEE Custom Integrated Circuits Conference (CICC), pp. 105-112, Sep. 2008.</t>
  </si>
  <si>
    <t>BT mode</t>
  </si>
  <si>
    <t>UMTS mode</t>
  </si>
  <si>
    <t>DVB-H mode</t>
  </si>
  <si>
    <t>WLAN mode</t>
  </si>
  <si>
    <t>VCO</t>
  </si>
  <si>
    <t>Differential mode</t>
  </si>
  <si>
    <t>A 2.8-to-8.5mW GSM/Bluetooth/UMTS/DVB-H/WLAN Fully Reconfigurable CTΔΣ with 200kHz to 20MHz BW for 4G Radios in 90nm Digital CMOS</t>
  </si>
  <si>
    <t>Y. Ke, P. Gao, J. Craninckx*, G. Van der Plas*, G. Gielen, K.U. Leuven, Belgium, *IMEC, Belgium</t>
  </si>
  <si>
    <t>A 0.02mm² 65nm CMOS 30MHz BW All-Digital Differential VCO-Based ADC with 64dB SNDR</t>
  </si>
  <si>
    <t>J. Daniels, W. Dehaene, M. Steyaert, Andreas Wiesbauer*, K.U. Leuven, Belgium, *Infineon Technologies, Austria</t>
  </si>
  <si>
    <t>A 300MHz all-digital differential VCO-based ADC occupies 0.02mm² in 65nm CMOS, achieving a peak SFDR of 79dB and an SNDR of 64dB over a 30MHz BW. This high linearity is obtained using two VCOs in differential configuration in combination with an 11-points digital calibration. The power consumption is 11.4mW and the FOM is 150fJ/conv. step.</t>
  </si>
  <si>
    <t>A 12-GS/s 81-mW 5-Bit Time-Interleaved Flash ADC with Background Timing Skew Calibration</t>
  </si>
  <si>
    <t>M. El-Chammas, B. Murmann, Stanford University, USA</t>
  </si>
  <si>
    <t>A CMOS 6-Bit 16-GS/s Time-Interleaved ADC with Digital Background Calibration</t>
  </si>
  <si>
    <t>C.-C. Huang, C.-Y. Wang, J.-T. Wu, National Chiao Tung University, Taiwan</t>
  </si>
  <si>
    <t>An 8-channel 6-bit 16-GS/s time-interleaved ADC was fabricated using a 65nm CMOS technology. Each A/D channel is a flash ADC using latch-type comparator with background offset calibration. Timing skews among the channels are also continuously calibrated in the background. The chip achieves 42.3dB SFDR and 30.8dB SNDR at 16 GS/s sampling rate.</t>
  </si>
  <si>
    <t>A Zero-Crossing Based 12b 100MS/s Pipelined ADC with Decision Boundary Gap Estimation Calibration</t>
  </si>
  <si>
    <t>J. Chu, L. Brooks*, H.-S. Lee, Massachusetts Institute of Technology, *Ubixum, Inc., USA</t>
  </si>
  <si>
    <t>A 12b 50MS/s 3.5mW SAR Assisted 2-Stage Pipeline ADC</t>
  </si>
  <si>
    <t>C. Lee, M. Flynn, University of Michigan, USA</t>
  </si>
  <si>
    <t>A 12b 50MS/s ADC is presented that pipelines a first stage 6b MDAC with a second stage 7b SAR ADC. The first stage uses a low-power SAR architecture for the sub-ADC, to achieve the large 6b stage resolution. A “half-gain” MDAC reduces the output swing and increases the closed-loop bandwidth of the op-amp in the first stage. This ADC consumes 3.5mW power, achieves an ENOB of 10.4b at Nyquist, and an FOM of 52fJ/conversion-step.</t>
  </si>
  <si>
    <t>A 1V 11fJ/Conversion-Step 10bit 10MS/s Asynchronous SAR ADC in 0.18μm CMOS</t>
  </si>
  <si>
    <t>C.-C. Liu, S.-J. Chang, G.-Y. Huang, Y.-Z. Lin, C.-M. Huang*, National Cheng Kung University, Taiwan, *Himax Technologies, Inc., Taiwan</t>
  </si>
  <si>
    <t>This paper presents a 10-bit SAR ADC using a variable window function to reduce the unnecessary switching in DAC network. At 10-MS/s and 1-V supply, the ADC consumes only 98μW and achieves an SNDR of 60.97 dB, resulting in an FOM of 11 fJ/Conversion-step. The prototype is fabricated in a 0.18μm CMOS technology.</t>
  </si>
  <si>
    <t>A 9-bit 150-MS/s 1.53-mW Subranged SAR ADC in 90-nm CMOS</t>
  </si>
  <si>
    <t>Y.-Z. Lin, C.-C. Liu, G.-Y. Huang, Y.-T. Shyu, S.-J. Chang, National Cheng Kung University, Taiwan</t>
  </si>
  <si>
    <t>This paper reports a subranged SAR ADC consisting of a 3.5-bit flash coarse ADC, a 6-bit SAR fine ADC, and a differential segmented capacitive DAC. The segmented DAC improves DNL during MSB transitions. The merged switching of MSB capacitors enhances operation speed. The 9-bit 150-MS/s ADC consumes 1.53 mW from a 1.2-V supply. The ENOB is 8.69 bit, the ERBW is 100 MHz, and the FOM is 24.7 fJ/conversion-step.</t>
  </si>
  <si>
    <t>DR=89dB, DRinst=68dB</t>
  </si>
  <si>
    <t>DR=89.5dB, DRinst=70dB</t>
  </si>
  <si>
    <t>DR=90dB, DRinst=85dB</t>
  </si>
  <si>
    <t>Data for 2.5MHz BW</t>
  </si>
  <si>
    <t>Data for BW=1.1MHz</t>
  </si>
  <si>
    <t>DR manually extracted from plot</t>
  </si>
  <si>
    <t>SNDR/SFDR is 59.9dB/64.9dB at fin=60MHz</t>
  </si>
  <si>
    <t>Data for up to 8GHz, SNDR above 22.8 dB up to fin 12GHz</t>
  </si>
  <si>
    <t>SNDR stays &gt;32 dB up to fin=450MHz</t>
  </si>
  <si>
    <r>
      <t>fsnyq</t>
    </r>
    <r>
      <rPr>
        <sz val="10"/>
        <rFont val="Arial"/>
      </rPr>
      <t xml:space="preserve"> - Nyquist sampling rate, equal to the sampling rate (</t>
    </r>
    <r>
      <rPr>
        <b/>
        <sz val="10"/>
        <rFont val="Arial"/>
        <family val="2"/>
      </rPr>
      <t>fs</t>
    </r>
    <r>
      <rPr>
        <sz val="10"/>
        <rFont val="Arial"/>
      </rPr>
      <t>) divided by the oversampling ratio (</t>
    </r>
    <r>
      <rPr>
        <b/>
        <sz val="10"/>
        <rFont val="Arial"/>
        <family val="2"/>
      </rPr>
      <t>OSR</t>
    </r>
    <r>
      <rPr>
        <sz val="10"/>
        <rFont val="Arial"/>
      </rPr>
      <t>). Note that for a complex delta-sigma modulator, the OSR is given by 2*fs/fsnyq.</t>
    </r>
  </si>
  <si>
    <t>Notes on the primary (raw data) columns:</t>
  </si>
  <si>
    <t>20100620: Update VLSI 2010, corrections to earlier data (especially DR), formatting change to explicitly state the OSR of the converter.</t>
  </si>
  <si>
    <t>Notes on secondary columns:</t>
  </si>
  <si>
    <t>Notes on the "energy" and "aperture" plots:</t>
  </si>
  <si>
    <t>Other notes:</t>
  </si>
  <si>
    <t>Bandpass delta-sigma converters are generally hard to compare to Nyquist and low-pass delta-sigma modulators. The metrics used in this data set are no exception and do not provide a fair comparison. Bandpass converters should be surveyed/tabulated separately for direct performance comparisons.</t>
  </si>
  <si>
    <t>20070927: Minor formatting edits</t>
  </si>
  <si>
    <t>Data for fin=80 MHz at fs=160MS/s, Fig 16.2.5</t>
  </si>
  <si>
    <t>A-weighted DR=114dB --&gt; 111dB linear DR</t>
  </si>
  <si>
    <t>20100620a: Corrections on a few selected data points (in red)</t>
  </si>
  <si>
    <t>20100620b: Corrections on a few selected data points (in purple)</t>
  </si>
  <si>
    <t>20110308: Update ISSCC 2011</t>
  </si>
  <si>
    <t>We have developed a 6b 2.7GS/s Folding ADC with on-chip self-background calibration in 90nm CMOS. This is the first report of a successful background-calibrated ADC with a sampling rate of multi GHz. The algorithm enabled us to realize a system robust against environmental and process variation. To minimize the power consumption, a cascaded-calibration architecture was developed. The ADC dissipates 50mW at 2.7GS/s from a 1.0V supply. The figure of merit is 0.47pJ/conversion-step, which is the best reported value for multi-GHz ADCs with a resolution of 6bit or more.</t>
  </si>
  <si>
    <t>A self-background calibrated 6b 2.7GS/s ADC with cascade-calibrated folding-interpolating architecture</t>
  </si>
  <si>
    <t xml:space="preserve">Nakajima, Yuji ; Sakaguchi, Akemi ; Ohkido, Toshio ; Matsumoto, Tetsuya ; Yotsuyanagi, Michio ; </t>
  </si>
  <si>
    <t>A 1.5-GHz 63dB SNR 20mW direct RF sampling bandpass VCO-based ADC in 65nm CMOS</t>
  </si>
  <si>
    <t>This paper presents a bandpass ADC which exploits enhanced time-resolution of a deep submicron CMOS process. Unlike conventional bandpass ADCs that rely on voltage resolution and Gm-LC filters, the proposed ADC employs time-interleaved voltage-controlled oscillators that enable frequency tunable bandstop noise shaping property without a feedback loop. The ADC implemented in 65nm CMOS achieves SNR of 63.3dB for 1MHz signal located at 1.5GHz, while consuming 19.6mW from 1.2V supply.</t>
  </si>
  <si>
    <t>Yoon, Young-Gyu ; Cho, SeongHwan ;</t>
  </si>
  <si>
    <t>Data for 20MHz BW, power for SDC core only</t>
  </si>
  <si>
    <t xml:space="preserve">Yu, Xinyu ; Lin, Fang ; Li, Kevin ; Ranganathan, Sumant ; Kwan, Tom ; </t>
  </si>
  <si>
    <t>A 480mw 2.6GS/s 10b 65nm cMoS Time-interleaved adc with 48.5dB SndR up to nyquist</t>
  </si>
  <si>
    <t>This work presents a 64× interleaved 2.6GS/s 10b 65nm CMOS successive approximation-register ADC with on-chip gain, offset and DAC linearity calibration. The ADC combines interleaving hierarchy with an open-loop buffer array operated in feedforward-sampling and feedback-SAR mode and achieves an SNDR of 48.5dB at Nyquist with 110fs jitter while consuming only 0.48W.</t>
  </si>
  <si>
    <t>K. Doris, E. Janssen, C. Nani, A. Zanikopoulos, G. van der Weide</t>
  </si>
  <si>
    <t>A 12b 1GS/s SiGe BicMoS Two-way Time-interleaved pipeline adc</t>
  </si>
  <si>
    <t>R. Payne, C. Sestok, W. Bright, M. El-Chamas, M. Corsi, D. Smith, N. Tal</t>
  </si>
  <si>
    <t>An 800MS/s dual-Residue pipeline adc in 40nm cMoS</t>
  </si>
  <si>
    <t>J. Mulder, F. M. van der Goes, D. Vecchi, J. R. Westra, E. Ayranci, C. M. Ward, J. Wan, K. Bult</t>
  </si>
  <si>
    <t>A 2-way time-interleaved pipeline ADC built in a 0.18um BiCMOS SiGe process uses a switched current architecture. Most circuits are shared between the two interleaving branches to reduce power to 575mW. To address the interleaving artifacts, DACs are included to remove timing skew and bandwidth mismatch. ENOB is 10.2b with measured SNR of 62dB and SFDR&gt;67dB.</t>
  </si>
  <si>
    <t>A 16b 80MS/s 100mw 77.6dB SnR cMoS pipeline adc</t>
  </si>
  <si>
    <t>J. Brunsilius, E. Siragusa, S. Kosic, F. Murden, E. Yetis, B. Luu, J. Bray, P. Brown, A. Barlow</t>
  </si>
  <si>
    <t>A 16b pipeline ADC that achieves 77.6dBFS SNR, 77.4dBFS SNDR and 93dBc SFDR at 80MS/s with a 10MHz input while consuming 100mW is presented. The design includes a dynamically driven deep N-well input sampling switch, an offset-canceled comparator, and a back-gate voltage-biased MDAC amplifier. The ADC is fabricated in a 1P5M 0.18μm CMOS process.</t>
  </si>
  <si>
    <t>H. Wei, C-H. Chan, U-F. Chio, S-W. Sin, S-P. U, R. Martins, F. Maloberti</t>
  </si>
  <si>
    <t>A Resolution-Reconfigurable 5-to-10b 0.4-to-1v power Scalable SaR adc</t>
  </si>
  <si>
    <t>M. Yip, A. P. Chandrakasan</t>
  </si>
  <si>
    <t>This paper presents a reconfigurable 5-to-10b SAR ADC in 65nm CMOS, operating from 2MS/s at 1V to 5kS/s at 0.4V, with power that is linear with sample rate. The DAC power scales exponentially with resolution and voltage scaling further reduces the energy-per-conversion. The FOM is 22.4fJ/conversion-step in 10b mode at 0.55V.</t>
  </si>
  <si>
    <t>M. Bolatkale, L. Breems, R. Rutten, K. Makinwa</t>
  </si>
  <si>
    <t>J. G. Kauffman, P. Witte, J. Becker, M. Ortmanns</t>
  </si>
  <si>
    <t>N. Maghari, U-K. Moon</t>
  </si>
  <si>
    <t>A single-slope quantizer using modified bidirectional discharging is proposed. This quantizer provides first-order shaping of quantization noise and is used as the quantizer of a second-order delta-sigma loop. The fabricated prototype ADC achieves 78.2dB SNDR at 50MHz sampling speed at OSR of 24 with 2.9mW power consumption.</t>
  </si>
  <si>
    <t>A 250mv 7.5μw 61dB SndR cMoS Sc ΔΣ Modulator using a near-Threshold-voltage-Biased cMoS inverter Technique</t>
  </si>
  <si>
    <t>An ultra-low-voltage SC ΔΣ converter using a near-threshold-voltage-biasing technique is reported. This guarantees reliable operation of inverter-based integrators over temperature while running at a supply voltage of 250mV. An SNDR of 61dB is achieved for a BW of 10 kHz with a total power consumption of only 7.5μW.</t>
  </si>
  <si>
    <t>F. Michel, M. Steyaert</t>
  </si>
  <si>
    <t>A 84dB SndR 100khz Bandwidth low-power Single op-amp Third-order ΔΣ Modulator consuming 140μw</t>
  </si>
  <si>
    <t>A. Pena Perez, E. Bonizzoni, F. Maloberti</t>
  </si>
  <si>
    <t>A third-order ΔΣ modulator with single operational amplifier achieves 13.6 bits with 100kHz signal bandwidth and consumes 140μW. The time-interleaved two-integrators scheme is a modification of a second-order prototype. A slew-rate boost enables minimum power in a two stages op-amp. The SFDR is 96dB with an FoM of 54fJ/conversion-step.</t>
  </si>
  <si>
    <t>Numbers for OSR=16</t>
  </si>
  <si>
    <t>Power includes reference</t>
  </si>
  <si>
    <t>Data for 400MS/s, at Nyquist from Fig. 10.5.5</t>
  </si>
  <si>
    <t>Data for 10b mode</t>
  </si>
  <si>
    <t>AREA [mm^2]</t>
  </si>
  <si>
    <t>Bandpass</t>
  </si>
  <si>
    <t>A 12-ENOB 6X-OSR Noise-Shaped Pipelined ADC Utilizing a 9-bit Linear Front-End</t>
  </si>
  <si>
    <t>A Continuous-Time, Jitter Insensitive ∑∆ Modulator Using a Digitally Linearized Gm-C Integrator with Embedded SC Feedback DAC</t>
  </si>
  <si>
    <t>A 48-dB DR 80-MHz BW 8.88-GS/s Bandpass ∆∑ ADC for RF Digitization with Integrated PLL and Polyphase Decimation Filter in 40nm CMOS</t>
  </si>
  <si>
    <t>A 2.8 mW ∆∑ ADC with 83 dB DR and 1.92 MHz BW Using FIR Outer Feedback and TIA-Based Integrator</t>
  </si>
  <si>
    <t>A noise-shaped pipelined ADC is presented in this paper. A minimal complexity Delta-Sigma modulator in the first two sub-ADCs and residue feedback in the latter stages lead to high-order noise shaping. This also leads to reduced sensitivity to analog imperfections in the front-end stage. Implemented in 0.18um CMOS, the ADC achieves 12~ENOB with 64MHz clock at 6XOSR.</t>
  </si>
  <si>
    <t>A 11-9 bit, 10-40MHz DS A/D converter with a digitized integrator (DI) MASH structure with a low swing feed-forward architecture to allow for scalable, portable, and reconfigurable ADC in 32nm CMOS process using all minimum channel length transistors. An on-chip SNR calculator allows high volume sort testing on a digital tester; startup automatic offset and reference calibration to prevent integrator overload due to manufacturing variations, and compensation for finite opamp gain.</t>
  </si>
  <si>
    <t>A 2.22GHz 4th-order BP DeltaSigma ADC has been realized in 40nm CMOS. The test chip contains a complete system consisting of the ADC core, the PLL with clock generation network, and the digital decimation filters and downconversion (DFD). The quantizers are 6 times interleaved enabling a polyphase structure for the DFD and relaxing speed requirements. Sampled at 8.88GS/s the ADC achieves a DR of 48dB in a band of 80MHz with an IIP3 of +1dBm.</t>
  </si>
  <si>
    <t>A low-power continuous-time Delta-Sigma ADC for HSDPA (High-Speed Downlink Packet Access) applications provides 83 dB dynamic range and 1.92 MHz bandwidth. A high sample rate (245.76 MHz) and an FIR filter in the outer feedback path minimize susceptibility to jitter. A TIA-based integrator with direct connection of inner feedback DAC current sources to integration capacitors supports the high sample rate. The modulator, implemented using 40 nm CMOS, dissipates only 2.8 mW and achieves a 110 fJ / conversion step figure-of-merit.</t>
  </si>
  <si>
    <t>O. Rajaee and U. Moon</t>
  </si>
  <si>
    <t>B. R. Carlton, H. Lakdawala, E. Alpman, J. Rizk, Y.W. Li, B. Perez-Esparza, V. Rivera, C.F. Nieva, E. Gordon, P. Hackney, C.-H. Jan, I.A. Young and K. Soumyanath</t>
  </si>
  <si>
    <t>D. Kim, T. Matsuura and B. Murmann</t>
  </si>
  <si>
    <t>E. Martens, A. Bourdoux, A. Couvreur, P. Van Wesemael, G. Van der Plas, J. Craninckx and J. Ryckaert</t>
  </si>
  <si>
    <t>J. Gealow, M. Ashburn, C.-H. Lou, S. Ho, P. Riehl, A. Shabra, J. Silva and Q. Yu</t>
  </si>
  <si>
    <t>Power includes digital</t>
  </si>
  <si>
    <t>Numbers for BW=20MHz</t>
  </si>
  <si>
    <t>An 11b 300MS/s 0.24pJ/Conversion-Step Double-Sampling Pipelined ADC with On-Chip Full Digital Calibration for All Nonidealities Including Memory Effects</t>
  </si>
  <si>
    <t>A 22-mW 7b 1.3-GS/s Pipeline ADC with 1-Bit/Stage Folding Converter Architecture</t>
  </si>
  <si>
    <t>A 10b 320 MS/s 40 mW Open-Loop Interpolated Pipeline ADC</t>
  </si>
  <si>
    <t>A 16-mW 8-Bit 1-GS/s Subranging ADC in 55nm CMOS</t>
  </si>
  <si>
    <t>C.-Y. Chen and J. Wu</t>
  </si>
  <si>
    <t>T. Miki, T. Morie, T. Ozeki and S. Dosho</t>
  </si>
  <si>
    <t>T. Yamase, H. Uchida and H. Noguchi</t>
  </si>
  <si>
    <t>M. Miyahara, H. Lee, D. Paik and A. Matsuzawa</t>
  </si>
  <si>
    <t>Y.-H. Chung and J.-T. Wu</t>
  </si>
  <si>
    <t>An open-loop interpolated pipeline ADC is proposed. Weight controlled capacitor arrays are introduced to realize an interpolation and a pipelined operation with open-loop amplifiers. The 10-bit ADC fabricated in 90nm CMOS demonstrates ENOB of 8.5b over 80MHz bandwidth (BW) and a conversion rate of 320MS/s without linearity compensation and consumes 40mW. The FoMs are 780fJ/c.-s. defined by the 80MHz BW and 390fJ/c.-s. defined by the 320 MSps conversion rate with a BW of 80MHz.</t>
  </si>
  <si>
    <t>Data for fin=100MHz, ADC breaks beyond this frequency</t>
  </si>
  <si>
    <t>A 96-Channel Full Data Rate Direct Neural Interface in 0.13µm CMOS</t>
  </si>
  <si>
    <t>R.M. Walker, H. Gao, P. Nuyujukian, K. Makinwa, K.V. Shenoy, T. Meng and B. Murmann</t>
  </si>
  <si>
    <t>A sensor interface consumes 6.5 mW from 1.2 V supplies while occupying 5 mm x 5 mm in 0.13 μm CMOS. The interface enables full bandwidth access to 96 channels of data acquired from cortical microelectrodes as part of a head-mounted wireless recording system. Open loop amplification and switched-capacitor filtering with 2.2 μVrms input referred noise conditions the signals before conversion by 10-bit SAR ADCs with 60.3 dB SNDR and 41.5 fJ/conv step.</t>
  </si>
  <si>
    <t>BioBolt: A Minimally-Invasive Neural Interface for Wireless Epidural Recording by Intra-Skin Communication</t>
  </si>
  <si>
    <t>S.-I. Chang, K. AlAshmouny, M. McCormick, Y.-C. Chen and E. Yoon</t>
  </si>
  <si>
    <t>We report a bolt-shape minimally-invasive neural interface, BioBolt, for epidural recording. Sixteen-channel analog front-end has been implemented in 0.25μm technology with low-power wireless data transmission using intra-skin communication. The fabricated ASIC consumes 365μW, occupies 3.2 mm x 0.9 mm, and obtains a 10kb/s data rate.</t>
  </si>
  <si>
    <t>A 0.5V 1.1MS/sec 6.3fJ/conversion-step SAR-ADC with Tri-Level Comparator in 40nm CMOS</t>
  </si>
  <si>
    <t>A 1-V, 8b, 40MS/s, 113µW Charge-Recycling SAR ADC with a 14µW Asynchronous Controller</t>
  </si>
  <si>
    <t>Digitally Synthesized Stochastic Flash ADC Using Only Standard Digital Cells</t>
  </si>
  <si>
    <t>A Reconfigurable 1GSps to 250MSps, 7-bit to 9-bit Highly Time-Interleaved Counter ADC in 0.13µm CMOS</t>
  </si>
  <si>
    <t>A 71dB SFDR Open Loop VCO-Based ADC Using 2-Level PWM Modulation</t>
  </si>
  <si>
    <t>A. Shikata, R. Sekimoto, T. Kuroda and H. Ishikuro</t>
  </si>
  <si>
    <t>J.-H. Tsai, Y.-J. Chen, M.-H. Shen and P.-C. Huang</t>
  </si>
  <si>
    <t>S. Weaver, B. Hershberg and U.-K. Moon</t>
  </si>
  <si>
    <t>S. Danesh, J. Hurwitz, K. Findlater, D. Renshaw and R. Henderson</t>
  </si>
  <si>
    <t>S. Rao, B. Young, A. Elshazly, W. Yin, N. Sasidhar and P.K. Hanumolu</t>
  </si>
  <si>
    <t>This paper presents an extremely low-voltage operation and power efficient successive-approximation-resistor (SAR) analog-to-digital converter (ADC). Tri-level comparator is proposed to relax the speed requirement of the comparator and decrease the resolution of internal Digital-to-Analog Converter (DAC) by 1-bit. The internal DAC employs unit capacitance of 0.5fF and ADC operates at nearly thermal noise limitation. To deal with the problem of capacitor mismatch, reconfigurable capacitor array and calibration procedure were developed. The prototype ADC fabricated using 40nm CMOS process achieves 46.8dB SNDR with 1.1MS/sec at 0.5V power supply. The FoM is 6.3-fJ/conversion step.</t>
  </si>
  <si>
    <t>This paper presents an energy-efficient charge-sharing SAR ADC design that targets for 1-V, 8-bit 40MS/s performance. By reconfiguring the networks for the input sampling and the reference banks, the settling time at input sample-hold stage and the pre-charge energy for each evaluation phase can be alleviated, that is equivalent to power saving. In addition, a dedicated asynchronous controller is developed to precisely control the energy for each logic operation. With a 90nm CMOS process, the prototype achieves 113µW (20fJ/conv), 48.4dB SNDR. Digital controller only dissipates 12.4% system power.</t>
  </si>
  <si>
    <t>An ADC is synthesized entirely from Verilog code in 90nm digital CMOS using a standard digital cell library. An analog comparator is generated by cross-coupling two 3-input NAND gates. The random comparator offsets are used as the ADC references and are Gaussian. An implicitly aligned three-section piecewise-linear inverse Gaussian CDF function on chip linearizes the output. SNDR of 35.9dB is achieved at 210MSPS.</t>
  </si>
  <si>
    <t>A reconfigurable highly time-interleaved ADC is realized by combining 128 counter ADCs and a global ramp-generator based on a rotating figure-of-8 resistor ring. Implemented in 0.13µm CMOS, the ADC can be configured in real-time as a 1GSps 7-bit, 500MSps 8-bit, and 250MSps 9-bit converter. It achieves sub 400fJ/step in all these configurations.</t>
  </si>
  <si>
    <t>A highly linear calibration free VCO-based ADC uses a two-level modulator to eliminate distortion caused by tuning non-linearity of the VCO. The proposed architecture does not require a multi-level feedback DAC and eases anti-aliasing requirements. Fabricated in 90nm CMOS process, the prototype ADC achieves better than 71dB SFDR and 59.1dB SNDR in 8MHz signal bandwidth and consumes 4.3mW.</t>
  </si>
  <si>
    <t>20110620: Update VLSI 2011, some data corrections</t>
  </si>
  <si>
    <t>20110620a: Added FOM chart, added one data point</t>
  </si>
  <si>
    <t>A 500mW digitally calibrated AFE in 65nm CMOS for 10Gb/s Serial links over backplane and multimode fiber</t>
  </si>
  <si>
    <t>The demand for bandwidth has fueled the deployment of 10 Gb/s traffic over legacy data links such as serial backplanes (10GBase-KR) and multimode fiber (10 GBase-MMF) which were originally intended for much lower data rates. Under severe channel impairments, a DSP-based transceiver provides robust performance and enables power/area scaling with processes. This work describes a 65 nm CMOS AFE integrated in a DSP-based PHY for 10 Gb/s KR/MMF applications.</t>
  </si>
  <si>
    <t xml:space="preserve">Jun Cao;   Bo Zhang;   Singh, U.;   Delong Cui;   Vasani, A.;   Garg, A.;   Wei Zhang;   Kocaman, N.;   Pi, D.;   Raghavan, B.;   Hui Pan;   Fujimori, I.;   Momtaz, A.;   </t>
  </si>
  <si>
    <t>Ring Amplifiers for Switched Capacitor Circuits</t>
  </si>
  <si>
    <t>The concept of a Ring Amplifier is introduced. This new class of amplifier enables wide swing, high efficiency switched capacitor amplification in any scaled CMOS environment. A 20MHz, 15b pipelined ADC using Ring Amplifiers and Split-CLS achieves 76.8dB SNDR and 95.4dB SFDR while using 5.1mW, achieving a FoM of 45fJ/conversion-step.</t>
  </si>
  <si>
    <t>A 1.7mW 11b 250MS/s 2-times Interleaved Fully Dynamic Pipelined SAR ADC in 40nm Digital CMOS</t>
  </si>
  <si>
    <t>A 250MS/s 2x interleaved 11bit pipelined SAR ADC in 40nm digital CMOS is presented. Each ADC channel consists of a 6b SAR, a dynamic residue amplifier and a 7b SAR with a total of two bits of redundancy. The ADC achieves a peak SNDR of 62dB at 10MS/s, and 56dB for a Nyquist input at 250MS/s. The low frequency energy per conversion step ranges from 7fJ at 10MS/s to 10fJ at 250MS/s.</t>
  </si>
  <si>
    <t>A 5.37mW 10b 200MS/s Dual-Path Pipelined ADC</t>
  </si>
  <si>
    <t>A 10-bit switched-capacitor pipelined ADC was fabricated using a 65nm CMOS technology.  In each pipeline stage, the residue amplification is performed sequentially first by a coarse amplifier (CA) then by a fine amplifier (FA).  The CA and FA were designed and optimized separately, resulting in low power dissipation.  This ADC achieves 56.7 dB SNDR at 200 MS/s sampling rate, and consumes only 5.37 mW from a 1 V supply.</t>
  </si>
  <si>
    <t>A 7-to-10b 0-to-4MS/s Flexible SAR ADC with 6.5-to-16fJ/conversion-step</t>
  </si>
  <si>
    <t>A power-efficient, flexible-resolution SAR ADC in 90nm CMOS is presented. Resolutions from 7 to 10b are supported, achieving an ENOB up to 9.4bit. A reconfigurable comparator, a reconfigurable DAC and a two-step conversion process enable power-efficiencies of 6.5-16fJ/conversion-step at 4MS/s and 1.1V supply. The FOM is maintained down to kS/s-range as the leakage is only 3nW.</t>
  </si>
  <si>
    <t>A 70dB DR 10b 0-80MS/s Current Integrating SAR ADC with adaptive Dynamic Range</t>
  </si>
  <si>
    <t>This paper presents a charge-domain SAR ADC which integrates the current of a variable-gain transconductor on its sampling capacitor, rather than being driven by a power hungry voltage buffer. The sampling circuit uses nonlinear MOS capacitors for passive amplification, without compromising linearity. The prototype in 40nm LP CMOS consists of a 3.2-51.2mS transconductor, combined with a 10b 0-80MS/s charge-sharing SAR ADC. It achieves 70 dB DR while consuming less than 5.45mA from a 1.1V supply.</t>
  </si>
  <si>
    <t>Data for 80MS/s</t>
  </si>
  <si>
    <t>A 90MS/s 11MHz Bandwidth 62dB SNDR Noise-Shaping SAR ADC</t>
  </si>
  <si>
    <t>This work describes a SAR ADC which leverages oversampling to increase the resolution and introduces a noise-shaping technique for conventional SAR ADCs. The prototype converter uses an 8 bit capacitor DAC and achieves an ENOB of 10.0 bits over a bandwidth of 11MHz with an OSR of 4. The measured FOM for the converter is 35.8fJ/conv with an input signal of 2MHz.</t>
  </si>
  <si>
    <t>A 16mW 78dB SNDR 10MHz BW CT &amp;#61508;&amp;#931; ADC Using Residue-Cancelling VCO-Based Quantizer</t>
  </si>
  <si>
    <t>Data for fin=4MHz</t>
  </si>
  <si>
    <t>A 20mW 61dB SNDR (60MHz BW) 1b 3rd Order Continuous-Time Delta Sigma Modulator Clocked at 6GHz in 45nm CMOS</t>
  </si>
  <si>
    <t>A 1-bit 3rd Order Continuous-Time Delta Sigma Modulator clocked at 6GHz in 45nm CMOS is described. Clocking at 6GHz is achieved using an Excess Loop Delay (ELD) compensation scheme that ensures modulator stability with 1 clock period comparator latency. ELD in integrators is minimized using passive capacitor networks that in turn reduce power consumption. Measured results of 61dB peak SNDR (60MHz BW) with 20mW power consumption (FOM =190fJ/conv-step) demonstrate feasibility of the approach.</t>
  </si>
  <si>
    <t>IF = 700-800MHz</t>
  </si>
  <si>
    <t>IF = 200MHz</t>
  </si>
  <si>
    <t>IF=450MHz, no SNDR data?</t>
  </si>
  <si>
    <t>20120308: Update ISSCC 2012</t>
  </si>
  <si>
    <t>A 40nm CMOS Single-Chip 50Gb/sDP-QPSK/BPSK Transceiver With Electronic Dispersion Compensation for Coherent Optical Channels</t>
  </si>
  <si>
    <t>D. Crivelli et al.</t>
  </si>
  <si>
    <t>J. Harrison et al.</t>
  </si>
  <si>
    <t>H. Chae et al.</t>
  </si>
  <si>
    <t>H. Shibata et al.</t>
  </si>
  <si>
    <t>K. Reddy et al.</t>
  </si>
  <si>
    <t>P. Witte et al.</t>
  </si>
  <si>
    <t>V. Srinivasan et al.</t>
  </si>
  <si>
    <t>P. Shettigar et al.</t>
  </si>
  <si>
    <t>B. Hershberg et al.</t>
  </si>
  <si>
    <t>Y. Chai et al.</t>
  </si>
  <si>
    <t>B. Verbruggen et al.</t>
  </si>
  <si>
    <t>J. Fredenburg</t>
  </si>
  <si>
    <t>B. Malki et al.</t>
  </si>
  <si>
    <t>P. Harpe et al.</t>
  </si>
  <si>
    <t>A 0.9 V 9 mW 1MSPS digitally calibrated ADC with 75 dB SFDR</t>
  </si>
  <si>
    <t>A 6b 3GS/s 11mW Fully Dynamic Flash ADC in 40nm CMOS with Reduced Number of Comparators</t>
  </si>
  <si>
    <t>Y.-S. Shu</t>
  </si>
  <si>
    <t>An Event-Driven, Alias-Free ADC with Signal-Dependent Resolution</t>
  </si>
  <si>
    <t>Event Driven</t>
  </si>
  <si>
    <t>C. Weltin-Wu, Y. Tsividis</t>
  </si>
  <si>
    <t>A clockless 8b ADC in 130nm CMOS uses a time-varying comparison window to dynamically vary resolution, and input-dependent dynamic bias, to maintain SNDR while saving power. Alias-free operation with SNDR in the range of 47-54dB, which partly exceeds the theoretical limit of 8b conventional converters, is achieved over a 20kHz bandwidth with 3-9μW power from a 0.8V supply.</t>
  </si>
  <si>
    <t>A 10-Bit 1-GHz 33-mW CMOS ADC</t>
  </si>
  <si>
    <t>A pipelined ADC digitally calibrates capacitor mismatches in its 4-bit first stage and the gain error in the first 5 stages. Using a one-stage op amp with a gain of 10 and realized in 65-nm CMOS technology, the ADC digitizes a 490-MHz input with an SNDR of 52.4 dB, achieving an FOM of 0.097pJ/conversion-step.</t>
  </si>
  <si>
    <t>B.D. Sahoo, B. Razavi</t>
  </si>
  <si>
    <t>A 61.5dB SNDR Pipelined ADC Using Simple Highly-Scalable Ring Amplifiers</t>
  </si>
  <si>
    <t>A ring amplifier based pipelined ADC is presented that uses simple cells constructed from small inverters and capacitors to perform amplification. The basic ring amplifier structure is characterized and demonstrated to be highly scalable, power efficient, and compression-immune (inherent rail-to-rail output swing). The prototype 10.5-bit ADC, fabricated in 0.18μm CMOS technology, achieves 61.5dB SNDR at a 30MHz sampling rate and consumes 2.6mW, resulting in a FoM of 90fJ/conversion-step.</t>
  </si>
  <si>
    <t>B. Hershberg, S. Weaver, K. Sobue, S. Takeuchi, K. Hamashita, U.-K. Moon</t>
  </si>
  <si>
    <t>A 2.8GS/s 44.6mW Time-Interleaved ADC Achieving 50.9dB SNDR and 3dB Effective Resolution Bandwidth of 1.5GHz in 65nm CMOS</t>
  </si>
  <si>
    <t>This paper presents a power- and area-efficient 24-way time-interleaved SAR ADC designed in 65nm CMOS. At 2.8GS/s sampling rate the ADC consumes 44.6mW of power from a 1.2V supply while achieving peak SNDR of 50.9dB and retaining SNDR higher than 48.2dB across the entire first Nyquist zone.</t>
  </si>
  <si>
    <t>D. Stepanovic, B. Nikolic</t>
  </si>
  <si>
    <t>A 3.8mW 8b 1GS/s 2b/cycle Interleaving SAR ADC with Compact DAC Structure</t>
  </si>
  <si>
    <t>An 8b 1GS/s ADC is presented that interleaves two 2b/cycle SARs. To enhance speed and save power, the prototype utilizes segmentation switching and custom-designed DAC array with high density in a low parasitic layout structure. It operates at 1GS/s from 1V supply without interleaving calibration and consumes 3.8mW of power, exhibiting a FoM of 24fJ/conversion step. The ADC occupies an active area of 0.013mm^2 in 65nm CMOS including on-chip offset calibration.</t>
  </si>
  <si>
    <t>C.-H. Chan, Y. Zhu, S.-W. Sin, S.-P. U, R. Martins</t>
  </si>
  <si>
    <t>A 4.5-mW 8-b 750-MS/s 2-b/Step Asynchronous Subranged SAR ADC in 28-nm CMOS Technology</t>
  </si>
  <si>
    <t>Y.-C. Lien</t>
  </si>
  <si>
    <t>A 8-b 2-b/step asynchronous subranged SAR ADC is presented. It incorporates subranging technique to obtain fast reference settling for MSB conversion. The capacitive interpolation reduces number of NMOS switches and lowers matching requirement of a resistive DAC. The proposed timing scheme avoids the need of specific duty cycle of external clock for defining sampling period in a conventional asynchronous SAR ADC. Operating at 750 MS/s, this ADC consumes 4.5 mW from 1-V supply, achieves ENOB of 7.2 and FOM of 41 fJ/conversion-step. It is fabricated in 28-nm CMOS technology and occupies an active area of only 40 um X 100 um.</t>
  </si>
  <si>
    <t>A 34fJ 10b 500 MS/s Partial-Interleaving Pipelined SAR ADC</t>
  </si>
  <si>
    <t>A 10b 500MS/s ADC is presented that shares a full-speed SAR at front-end and interleaves the pipelined residue amplification with shared opamp and 2nd-stage SAR ADCs, which achieves high speed, low power and compact area. The prototype ADC in 65nm CMOS achieves a mean SNDR of 55.4dB with 8.2mW power dissipation at 1.2V. The active die area including the offset calibrations is 0.046mm^2.</t>
  </si>
  <si>
    <t>A 3.2fJ/c.-s. 0.35V 10b 100KS/s SAR ADC in 90nm CMOS</t>
  </si>
  <si>
    <t>H.-Y. Tai, H.-W. Chen, H.-S. Chen</t>
  </si>
  <si>
    <t>A low-voltage energy-efficient SAR ADC is presented in this paper with four techniques. Arbitrary weight capacitor array tolerates errors to reduce conversion time. To operate under low voltage, DAC common mode level shift and leakage reduction sample switch with a charge pump are proposed. Differential control logic is used to save its digital power. The prototype ADC consumes 170nW at 100KS/s from a 0.35V supply. It achieves an SNDR of 56.3dB at Nyquist rate and its FOM is 3.2fJ/c.-s.</t>
  </si>
  <si>
    <t>A 10 MHz BW 50 fJ/conv. Continuous Time ΔΣ Modulator with High-order Single Opamp Integrator using Optimization-based Design Method</t>
  </si>
  <si>
    <t>We propose not only new power and area efficient circuit configurations but also an optimization design method for such configurations. So far, design difficulties of the modulator, such as a trade-off between loop stability and a performance and unknown distortion mechanism, have been serious obstacles to improve the efficiency. Major factors to overcome these obstacles are new high-order single opamp integrators using optimization-based design method and tuning systems for harmonic distortions. Two design examples for TV-tuner application confirm that those design approach can maximize the performance of various types of modulators. A simple 3rd-order modulator achieved the FOM of 101 fJ/conv. and more complex 4th-order one achieved 50 fJ/conv. which is less than half of ever reported.</t>
  </si>
  <si>
    <t>K. Matsukawa, K. Obata, Y. Mitani, S. Dosho</t>
  </si>
  <si>
    <t>A 5MHz BW 70.7dB SNDR Noise-Shaped Two-Step Quantizer Based ΔƩ ADC</t>
  </si>
  <si>
    <t>In this paper, a new ΔƩ ADC using a noise-shaped two-step integrating quantizer is presented. Attaining an extra order of noise-shaping from the integrating quantizer, the proposed ΔƩ ADC manifests a second-order noise-shaping with a first-order loop filter. Furthermore, this quantizer provides an 8b quantization in itself, drastically reducing the oversampling requirement. The proposed ADC also incorporates a new feedback DAC topology that alleviates feedback DAC complexity of a two-step 8b quantizer. The measured results of the prototype ADC implemented in a 0.13μm CMOS demonstrate peak SNDR of 70.7dB at 8.1mW power, with an 8x OSR at 80MHz sampling frequency.</t>
  </si>
  <si>
    <t>T. Oh, N. Maghari, U.-K.Moon</t>
  </si>
  <si>
    <t>An 85dB SFDR 67dB SNDR 8OSR 240MS/s ΣΔ ADC with Nonlinear Memory Error Calibration</t>
  </si>
  <si>
    <t>S.-C. Lee, B. Elies, Y. Chiu</t>
  </si>
  <si>
    <t>A Reconfigurable Mostly-Digital ΔΣ ADC with a Worst-Case FOM of 160dB</t>
  </si>
  <si>
    <t>SAR TI</t>
  </si>
  <si>
    <t>Data for Modulator B</t>
  </si>
  <si>
    <t>Used data for highest BW</t>
  </si>
  <si>
    <t>[5] A.M.A. Ali, et al., "A 16-bit 250-MS/s IF Sampling Pipelined ADC With Background Calibration," IEEE J. Solid-State Circuits, vol. 45, no. 12, pp. 2602-2612, Dec. 2010.</t>
  </si>
  <si>
    <t>[4] R. Schreier and G. C. Temes, Understanding Delta-Sigma Data Converters. New York: Wiley, 2005.</t>
  </si>
  <si>
    <t>FOMW</t>
  </si>
  <si>
    <t>FOMS</t>
  </si>
  <si>
    <r>
      <rPr>
        <b/>
        <sz val="10"/>
        <rFont val="Arial"/>
        <family val="2"/>
      </rPr>
      <t>DR</t>
    </r>
    <r>
      <rPr>
        <sz val="10"/>
        <rFont val="Arial"/>
      </rPr>
      <t xml:space="preserve"> is the measured "instantaneous dynamic range" of the converter, i.e. this metric does not contain any extra dBs obtained through variable gain.</t>
    </r>
  </si>
  <si>
    <r>
      <t xml:space="preserve">Power/fsnyq - </t>
    </r>
    <r>
      <rPr>
        <sz val="10"/>
        <rFont val="Arial"/>
        <family val="2"/>
      </rPr>
      <t>Energy per Nyquist sample (not to be confused with the metric energy/conversion-step). It is implicitly assumed here that power scales proportional to the Nyquist sampling rate. This is true fundamentally, but in practice, it is often harder to build a circuit that pushes speeds to the technological limits. Whenever a data point looks "extraordinarily good", it makes sense to look at the absolute speed for comparisons.</t>
    </r>
  </si>
  <si>
    <t>Notes on the FOM vs. speed plots:</t>
  </si>
  <si>
    <t>20120812a: Correction of VLSI 2011, 12.1</t>
  </si>
  <si>
    <t>A 10.3-GS/s, 6-b Flash ADC for 10G Ethernet Applications</t>
  </si>
  <si>
    <t>Adaptive Opamp Gain and Nonlinearity Cancellation in Pipelined ADCs</t>
  </si>
  <si>
    <t>0.13 BiCMOS</t>
  </si>
  <si>
    <t>A 14b 2.5GS/s 8-Way Interleaved Pipelined ADC With Background Calibration and Digital Dynamic Linearity Correction</t>
  </si>
  <si>
    <t>Eight 14b pipelined ADCs are time interleaved to provide an aggregate 2.5GS/s conversion rate. The interleaved architecture enables a metastable error rate below 10&lt;sup&gt;-17&lt;/sup&gt; to meet the stringent requirements of test and measurement applications. Continuous background calibration and digital dynamic linearity correction enable the interleaved architecture to achieve 78dB SFDR over a signal bandwidth of more than 1GHz.</t>
  </si>
  <si>
    <t>A 3.1mW 8b 1.2GS/s Single-Channel Asynchronous SAR ADC with Alternate Comparators for Enhanced Speed in 32nm Digital SOI CMOS</t>
  </si>
  <si>
    <t>A 14-bit, 80MS/s SAR ADC with 73.6dB SNDR in 65nm CMOS</t>
  </si>
  <si>
    <t>This paper presents a 65nm SAR ADC that overcomes speed limitations in a conventional design and achieves 73.6dB SNDR at 80MS/s while using a 1.2V-only supply.  Several techniques are proposed to increase throughput, including fully on-chip DAC charge redistribution and time-interleaved operation.  As well, a replica timer tracks the DAC settling so that a fully self-timed SAR loop takes advantage of the improved settling.  Despite the increased speed, the ADC consumes only 31.1mW.</t>
  </si>
  <si>
    <t>A 2.4-to-5.2fJ/Conversion-step 10b 0.5-to-4MS/s SAR ADC with Charge Average Switching DAC in 90nm CMOS</t>
  </si>
  <si>
    <t>A 0.4V-to-0.7V operated 10b SAR ADC with charge average switching DAC is implemented in 90nm CMOS. At a sampling range of 0.5MS/s to 4 MS/s and a scaling supply of 0.4V to 0.7 V, it achieves a SNDR of 54.3dB to 56.3dB, a ENOB of 8.72b to 9.05b, a power consumption of 0.5uW to 11uW, and a resulting FoM of 2.4fJ/conv.-step to 5.2fJ/conv.-step with a switching energy saving efficiency of 94.1%.</t>
  </si>
  <si>
    <t>Data for VDD=0.4V</t>
  </si>
  <si>
    <t>A 2.2/2.7fJ/conversion-step 10/12b 40kS/s SAR ADC with Data-Driven Noise Reduction</t>
  </si>
  <si>
    <t>12b data</t>
  </si>
  <si>
    <t>An 11b 3.6GS/s Time-Interleaved SAR ADC in 65nm CMOS</t>
  </si>
  <si>
    <t>An 8.6 ENOB 900MS/s Time-Interleaved 2b/cycle SAR ADC with a 1b/cycle Reconfiguration for Resolution Enhancement</t>
  </si>
  <si>
    <t>The proposed 1b/cycle reconfiguration scheme alleviates the accuracy requirements of comparators and DACs in a 2b/cycle SAR ADC, while enhancing the ENOB. The prototype with time-interleaving achieves 8.6 ENOB from the 9b design at 900MS/s with 10.8mW power consumption under 1.2V. The FOM at the Nyquist rate is 40fJ/conversion-step.</t>
  </si>
  <si>
    <t>A 71dB-SNDR 50MS/s 4.2mW CMOS SAR ADC by SNR enhancement techniques of utilizing noise</t>
  </si>
  <si>
    <t>This paper describes a SAR ADC of 71dB SNDR with 50MS/s and 4.2mW, which achieves the lowest FoM and the fastest sampling frequency in the SAR ADCs over 70dB SNDR at present. In order to improve SNDR, the ADC does not use analog circuits as amplifiers, but 3 techniques of utilizing noise that have good compatibility to low voltage fine processes. These are Noise-Shaped-Uniform-Dither, Filtered-DAC, and Adaptive-Averaging. Measured results show that the methods improve SNDR by 5dB and SFDR by 6dB.</t>
  </si>
  <si>
    <t>20130306: Update ISSCC 2013</t>
  </si>
  <si>
    <t>Y-S. Shu et al.</t>
  </si>
  <si>
    <t>T. Morie et al.</t>
  </si>
  <si>
    <t>C. Chen et al.</t>
  </si>
  <si>
    <t>Y. Chae et al.</t>
  </si>
  <si>
    <t>C-Y Liou et al.</t>
  </si>
  <si>
    <t>Y. Miyahara et al.</t>
  </si>
  <si>
    <t>A power efficient neural recording architecture with two-level supply voltage and and dynamic range folding is presented. The implemented 100-channel recording IC includes analog front-ends with 3.2uVrms input noise, ADCs with 8.2 ENOB at 200kS/s and power management circuits. The whole recording chain consumes less than 1uW/channel.</t>
  </si>
  <si>
    <t>D. Han et al.</t>
  </si>
  <si>
    <t>S. Verma et al.</t>
  </si>
  <si>
    <t>E. Janssen et al.</t>
  </si>
  <si>
    <t>B. Setterberg et al.</t>
  </si>
  <si>
    <t>L. Kull et al.</t>
  </si>
  <si>
    <t>Data for VDD=1V</t>
  </si>
  <si>
    <t>H-K Hong et al.</t>
  </si>
  <si>
    <t>R. Kapusta et al.</t>
  </si>
  <si>
    <t>Analog-to-digital conversion with a signal bandwidth of 10 to 20MHz and ENOB of 11 to 12b has become a common requirement in many modern wireless communication systems where low power consumption is always a necessity. Typically, the traditional 2-step pipelined ADC is not considered a good candidate to meet these design specifications, since it is implemented with a power-hungry high-resolution flash sub-ADC and high-gain residue amplifier. Recently, however, low-power SAR architectures have been proposed as efficient replacements for flash-based sub-ADCs [1], especially since the conversion rate may be improved with the use of asynchronous clocking [2].</t>
  </si>
  <si>
    <t>Ho-Young Lee; Bumha Lee; Un-Ku Moon</t>
  </si>
  <si>
    <t>A 195mW/55mW Dual-Path Receiver AFE For Multistandard 8.5-11.5Gb/s Serail Links in 40nm CMOS</t>
  </si>
  <si>
    <t>A dual path receiver is designed to operate over a wide range of channels at 8.5 to 11.5 Gb/s. The ADC based path has a 6b time interleaved rectifying ADC, compensates 34dB loss for a copper channel and achieves &gt;6dB margin for MMF stressors, consuming 195mW with FOM of 0.59pJ/step at 5GHz. The 55-mW slicer based path uses a CTLE to provide 10dB equalization. The AFE occupies 0.82mm^2 in 40nm CMOS.</t>
  </si>
  <si>
    <t>B. Zhang et al.</t>
  </si>
  <si>
    <t>20120812: Update VLSI 2012, included Schreier-SNDR FOM</t>
  </si>
  <si>
    <t xml:space="preserve">A switched-capacitor bottom-plate sampling scheme that initializes the top plate with gain error enables the lossless inter-stage voltage transfer regardless of opamp finite gain and nonlinearity. Using a two-stage uncascoded opamp, a 60MS/s pipelined ADC in 0.18um CMOS achieves 14b INL with 91dB SFDR at 1.6V. </t>
  </si>
  <si>
    <t>SNDR_hf [dB]</t>
  </si>
  <si>
    <t>SNDR_lf [dB]</t>
  </si>
  <si>
    <t>fin_hf [Hz]</t>
  </si>
  <si>
    <t>FOMW_hf [fJ/conv-step]</t>
  </si>
  <si>
    <t>FOMS_hf [dB]</t>
  </si>
  <si>
    <t>FOMW_lf [fJ/conv-step]</t>
  </si>
  <si>
    <t>FOMS_lf [dB]</t>
  </si>
  <si>
    <t>W. Bright</t>
  </si>
  <si>
    <t xml:space="preserve"> </t>
  </si>
  <si>
    <t>Data for WCDMA</t>
  </si>
  <si>
    <t>Data for CDMA</t>
  </si>
  <si>
    <t>Data for FM</t>
  </si>
  <si>
    <t>Reconfigurable, MASH21 used</t>
  </si>
  <si>
    <t>SNDR estimated from Fig. 9.2.5</t>
  </si>
  <si>
    <t>Data for fin=6.25 MHz, Fig. 21.1.6</t>
  </si>
  <si>
    <t>Data at fin=10MHz</t>
  </si>
  <si>
    <t>A different use of the term "switched-opamp"</t>
  </si>
  <si>
    <t>A 75.1dB SNDR 840MS/s CT DS Modulator with 30MHz Bandwidth and 46.4fJ/conv FOM in 55nm CMOS</t>
  </si>
  <si>
    <t>Chi-Lun Lo, Chen-Yen Ho, Hung-Chieh Tsai, Yu-Hsin Lin</t>
  </si>
  <si>
    <t>A 69dB SNDR, 25MHz BW, 800MS/s Continuous-Time Bandpass ΔΣ ADC Using DAC Duty Cycle Control for Low Power and Reconfigurability</t>
  </si>
  <si>
    <t>Hyungil Chae and Michael P. Flynn</t>
  </si>
  <si>
    <t>SDDT</t>
  </si>
  <si>
    <t>A 66dB SNDR 15MHz BW SAR Assisted ΔΣ ADC in 22nm Tri-gate CMOS</t>
  </si>
  <si>
    <t>A discrete-time delta-sigma ADC that utilizes an 8b SAR quantizer with a 4b feedback DAC is presented. The 4 MSBs of the quantizer are fed-back for delta operation while a digital filter post-processes the full 8b and improves the resolution. The delta-sigma modulator has a single stage 2nd order feed-forward  opology with Fs=240MHz and OSR=8. The ADC achieves 66dB SNDR, 15MHz bandwidth, and consumes 12.7mW power. This ADC is designed in Intel's tri-gate 22nm CMOS process.</t>
  </si>
  <si>
    <t>C.C. Lee, E. Alpman, S. Weaver, C.-Y. Lu and J. Rizk</t>
  </si>
  <si>
    <t>A 379nW 58.5dB SNDR VCO-Based ΔΣ Modulator for Bio-Potential Monitoring</t>
  </si>
  <si>
    <t>Y.-D. Chang, C.-H. Weng, T.-H. Lin and C.-K. Wang</t>
  </si>
  <si>
    <t>A 4.1mW, 12-bit ENOB, 5MHz BW, VCO-Based ADC with On-Chip Deterministic Digital Background Calibration in 90nm CMOS</t>
  </si>
  <si>
    <t xml:space="preserve">A deterministic digital background calibration technique to correct non-linearity in VCO-based ADCs is presented. Implemented in 90nm CMOS process, on-chip calibration improves SFDR of the prototype ADC from 46dB to more than 83dB. The ADC consumes 4.1mW power and achieves 73.9dB SNDR in 5MHz signal bandwidth. </t>
  </si>
  <si>
    <t>S. Rao, K. Reddy, B. Young and P.K. Hanumolu</t>
  </si>
  <si>
    <t>-THD [dB]</t>
  </si>
  <si>
    <t>SNDR_plot [dB]</t>
  </si>
  <si>
    <t>A 5.4GS/s 12b 500mW Pipeline ADC in 28nm CMOS</t>
  </si>
  <si>
    <t>J. Wu, A. (W.-T.) Chou, C.-H. Yang, Y. Ding, Y.-J. Ko, S.-T. Lin, W. Liu, C.-M. Hsiao, M.-H. Hsieh, C.-C. Huang, J.-J. Hung, K.Y. Kim, M. Le, T. Li, W.-T. Shih, A. Shrivastava, Y.-C. Yang, C.-Y. Chen and H.-S. Huang</t>
  </si>
  <si>
    <t>A 75.9dB-SNDR 2.96mW 29fJ/Conv-Step Ringamp-Only Pipelined ADC</t>
  </si>
  <si>
    <t>B. Hershberg and U.-K. Moon</t>
  </si>
  <si>
    <t>Only fin=1MHz data reported, but unlikely that anything degrades significantly at 10MHz</t>
  </si>
  <si>
    <t>A 70MS/s 69.3dB SNDR 38.2fJ/Conversion-Step Time-Based Pipelined ADC</t>
  </si>
  <si>
    <t>A Nyquist ADC with time-based pipelined architecture is proposed. The proposed hybrid pipeline stage, incorporating time- domain amplification based on a charge pump, enables power efficient analog to digital conversion. The proposed ADC also adopts a minimalist switched amplifier with 24dB open-loop dc gain in the first stage MDAC that is based on a new V-T operation, instead of a conventional high gainamplifier. The measured results of the prototype ADC implemented in a 0.13μm CMOS demonstrate peak SNDR of 69.3dB at 6.38mW power, with a near rail-to-rail 1MHz input of 2.4Vpp at 70MHz sampling frequency and 1.3V supply. This results in 38.2fJ/conversion-step FOM.</t>
  </si>
  <si>
    <t>T. Oh, H. Venkatram and U.-K. Moon</t>
  </si>
  <si>
    <t>A 12-Bit, 200-MS/s, 11.5-mW Pipeline ADC Using a Pulsed Bucket Brigade Front-End</t>
  </si>
  <si>
    <t>N. Dolev, M. Kramer and B. Murmann</t>
  </si>
  <si>
    <t>A 10-Bit 800-MHz 19-mW CMOS ADC</t>
  </si>
  <si>
    <t>A 35mW 8 b 8.8 GS/s SAR ADC with Low-Power Capacitive Reference Buffers in 32 nm Digital SOI CMOS</t>
  </si>
  <si>
    <t>An asynchronous 8x interleaved redundant SAR ADC achieving 8.8GS/s at 35mW and 1V supply is presented. The ADC features pass-gate selection clocking scheme for time skew minimization and per-channel gain control based on low-power reference voltage buffers. Gain control of each sub-ADC is based on a fine-grain, robust R-3R ladder. The sub-ADC stacks the capacitive SAR DAC with the reference capacitor to reduce the area and enhance the settling speed. The speed and area optimized sub-ADC as well as a short tracking window of 1/8 period enable a low input capacitance and therefore render an input buffer unnecessary. The ADC achieves 38.5dB SNDR and 58fJ/conversion-step with a core chip area of 0.025mm^2 in 32nm CMOS SOI technology.</t>
  </si>
  <si>
    <t>Csamp [pF]</t>
  </si>
  <si>
    <t>An 8.5mW 5GS/s 6b Flash ADC with Dynamic Offset Calibration in 32nm CMOS SOI</t>
  </si>
  <si>
    <t>This paper describes a 5GS/s 6bit flash ADC fabricated in a 32nm CMOS SOI. The randomness of process mismatch is exploited to compensate for dynamic offset errors of comparators that occur during high speed operation. Utilizing the proposed calibration, comparators are designed with near-minimum size transistors and built-in reference levels. The ADC achieves an SNDR of 30.9dB at Nyquist and consumes 8.5mW with an FoM of 59.4fJ/conv-step</t>
  </si>
  <si>
    <t>V.H.-C. Chen and L. Pileggi</t>
  </si>
  <si>
    <t>A 0.0058mm^2  7.0 ENOB 24MS/s 17fJ/conv. Threshold Configuring SAR ADC with Source Voltage Shifting and InterpolationTechnique</t>
  </si>
  <si>
    <t>K. Yoshioka, A. Shikata, R. Sekimoto, T. Kuroda and H. Ishikuro</t>
  </si>
  <si>
    <t>A 2.1 mW 11b 410 MS/s Dynamic Pipelined SAR ADC with Background Calibration in 28nm Digital CMOS</t>
  </si>
  <si>
    <t>A 410 MS/s 2x interleaved 11bit pipelined SAR ADC in 28nm digital CMOS is presented. Each ADC channel consists of a 6bcoarse SAR, a dynamic residue amplifier and a 7b fine SAR and includes an on-chip calibration engine that detects andcorrects comparator offsets and amplifier gain errors in the background. The ADC achieves a peak SNDR of 59.8 dB at 410MS/s for an energy per conversion step of 6.5 fJ</t>
  </si>
  <si>
    <t>B. Verbruggen, M. Iriguchi, M. de la Guia Solaz, G. Glorieux, K. Deguchi, B. Malki, and J. Craninckx</t>
  </si>
  <si>
    <t>A 6b 10GS/s TI-SAR ADC with Embedded 2-Tap FFE/1-Tap DFE in 65nm CMOS</t>
  </si>
  <si>
    <t>E.Z. Tabasy, A. Shafik, K. Lee, S. Hoyos and S. Palermo</t>
  </si>
  <si>
    <t>Includes FFE/DFE</t>
  </si>
  <si>
    <t>foms=sndr+10log(fsnyq/2/p)</t>
  </si>
  <si>
    <t>fomw=p/fsnyq/2^ENOB</t>
  </si>
  <si>
    <t>Shiuh-hua Wood Chiang, Hyuk Sun, and Behzad Razavi</t>
  </si>
  <si>
    <t>Lukas Kull, Thomas Toifl,Martin Schmatz, Pier Andrea Francese, ChristianMenolfi, Matthias Braendli, Marcel Kossel, ThomasMorf, TokeMeyer Andersen, Yusuf Leblebici</t>
  </si>
  <si>
    <t>SNDR estimated assuming equal contribution of distortion and thermal noise</t>
  </si>
  <si>
    <t>No HF data, fin=990kHz</t>
  </si>
  <si>
    <t>Broken chip, SNDR is an optimistic estimate</t>
  </si>
  <si>
    <t>20130629: Update VLSI 2013, format change, added Csamp and SNDR_lf (see notes above)</t>
  </si>
  <si>
    <r>
      <rPr>
        <b/>
        <sz val="10"/>
        <rFont val="Arial"/>
        <family val="2"/>
      </rPr>
      <t>SNDR_hf, SNR, THD, SFDR</t>
    </r>
    <r>
      <rPr>
        <sz val="10"/>
        <rFont val="Arial"/>
        <family val="2"/>
      </rPr>
      <t xml:space="preserve"> are tabulated as the values measured near fsnyq/2 for a Nyquist converter. When this data was not available, data for lower input frequencies is used instead. Fortunately, in recent years, most Nyquist converters are properly evaluated up to fsnyq/2. Only older data points (before ~2003) tend to suffer from "low frequency only" issues.  Multi-GHz converters tend to roll off for frequencies much lower than fs/2. For these designs, the SNDR at the highest reasonable/usable fin is used (example: ISSCC 2003, paper 18.2., fs=20GHz, SNDR measured at fin=6GHz). </t>
    </r>
  </si>
  <si>
    <r>
      <rPr>
        <b/>
        <sz val="10"/>
        <rFont val="Arial"/>
        <family val="2"/>
      </rPr>
      <t>Csamp</t>
    </r>
    <r>
      <rPr>
        <sz val="10"/>
        <rFont val="Arial"/>
        <family val="2"/>
      </rPr>
      <t xml:space="preserve"> - Sampling capacitance of the converter. The tabulated values corresponds to the single ended capacitance to ground of one input pin.</t>
    </r>
  </si>
  <si>
    <t xml:space="preserve">The purpose of this data collection is to help identify trends and limits in the power efficiency of A/D converters. In an ideal world, everyone would use the same metrics and conditions to specify the power dissipation, bandwidth and resolution of their designs. Unfortunately, in this world, different authors use different metrics and interpretations. Having said this, it is clear that the tabulated data in this document must be read with a grain of salt. Clearly, each data point could be shifted up/down, left/right based on your very own interpretation. Note, however, that this will have little impact on the overall objective, i.e. track general trends and performance envelopes. </t>
  </si>
  <si>
    <r>
      <rPr>
        <b/>
        <sz val="10"/>
        <rFont val="Arial"/>
        <family val="2"/>
      </rPr>
      <t>SNDR_lf</t>
    </r>
    <r>
      <rPr>
        <sz val="10"/>
        <rFont val="Arial"/>
        <family val="2"/>
      </rPr>
      <t xml:space="preserve"> - SNDR measured at low input frequencies. The sinusoidal SNDR near Nyquist (SNDR_hf) is not always a meaningful metric. Consider for example recent high-speed converters that are designed for broadband inputs (high speed links, cable TV tuners, etc.), where the signal power is spread rather than being concentrated in one tone. In this case, the low frequency SNDR is actually a better (less pessimistic, perhaps somewhat optimistic) number to consider for system design. </t>
    </r>
  </si>
  <si>
    <r>
      <t xml:space="preserve">SNDR_plot </t>
    </r>
    <r>
      <rPr>
        <sz val="10"/>
        <rFont val="Arial"/>
      </rPr>
      <t xml:space="preserve">- Unfortunately, many oversampling designs specify </t>
    </r>
    <r>
      <rPr>
        <sz val="10"/>
        <rFont val="Arial"/>
        <family val="2"/>
      </rPr>
      <t>only</t>
    </r>
    <r>
      <rPr>
        <sz val="10"/>
        <rFont val="Arial"/>
      </rPr>
      <t xml:space="preserve"> DR as a measure of resolution. Therefore, this columns looks to generate a "best replacement" for SNDR_hf using the smallest value among {SNR, THD, DR, SFDR}, all measured near the band edge, as explained above.</t>
    </r>
  </si>
  <si>
    <t>The idea here is to evaluate energy efficiency against absolute speed. Since both FOMW and FOMS work well only across a limited range of SNDR, I included a plot for both FOMs. For low-resolution designs, the FOMW-based plot is more suitable, whereas the FOMS plot does a better job at rewarding high resolution designs that also push bandwidth. The plots shown in this spreadsheet use SNDR_plot (usually equal to SNDR_hf) as a basis for comparison. As explained above, for some broadband converters where sinusoidal Nyquist performance is meaningless, it may be useful to construct similar plots using SNDR_lf.</t>
  </si>
  <si>
    <t>Some people may argue that for converters with ERBW &lt; fsnyq/2, the power should not be normalized by fsnyq, but rather by 2*ERBW. I do not subscribe to this argument, because in a typical Nyquist converter, none (or few) of the active circuits "see" the input frequency; ERBW &lt; fsnyq/2 usually boils down to limitations in a passive portion of the converter that does not dominate the overall power. Also, calculating a FOM by normalizing to 2*ERBW would require a change in the noise bandwidth (which is fsnyq/2), for fairness. Yet another group of people may argue that you should extra get credit for ERBW &gt; fsnyq/2. Most definitely should you get credit for that, just not on any of the plots shown in this spreadsheet. Consider e.g. a converter with fs=10MHz. Having ERBW=5MHz versus ERBW=10MHz makes no difference in the way you would design such a converter (and the noise BW for both is 5MHz).</t>
  </si>
  <si>
    <t>Kong-pang Pun, Shouri Chatterjee, Peter Kinget</t>
  </si>
  <si>
    <t>A 0.5V 3rd-order 1b fully differential CT DeltaSigma modulator in a 0.18mum CMOS process is presented. A special return-to-open DAC, a body-input gate-clocked comparator, and body-input OTAs for the active-RC loop filter enable the ultra-low voltage operation. The 0.6mm 2 chip consumes 370muW and achieves a peak SNDR of 74dB in a 25kHz BW</t>
  </si>
  <si>
    <t>20130629a: Added ISSCC 2006, 3.6; corrected VLSI 2013, 8.1</t>
  </si>
  <si>
    <t xml:space="preserve">The general idea is to have one chart where low energy designs can shine (the energy plot) and one where designs with good speed-resolution product will stand out (the aperture plot); there are usually only very few designs that look good in both plots. Energy plot: x-axis=SNDR_plot, y-axis=Power/fsnyq. Aperture plot: x-axis=SNDR_plot, y-axis=fin_hf. In the aperture plot, the lines for Jitter=0.1psrms/1psrms are performance lines that a fictitious sampler with only the specified jitter numbers (no other nonidealities, such as quantization noise, etc.) would achieve. In the energy plot, the line labeled FOMW=10fJ/conversion step corresponds to the Walden FOM at the respective energy/conversion-step value. FOMS is the Schreier figure of merit that assumes that the ADC power is set by thermal noise, and hence quadruples per 6dB in precision. Schreier originally defined this FOM using DR [4], but it has become common to also account for distortion, i.e. FOMS = SNDR + 10*log(fsnyq/2/P), see e.g. [5]. It is clear from the energy plot that FOMS is a better metric for high-resolution designs. </t>
  </si>
  <si>
    <t>Y. Zhu, C.-H. Chan, S.-W. Sin, S.-P. U, R. Martins</t>
  </si>
  <si>
    <t>A 235mW CT 0-3 MASH ADC achieving -167dBFS/Hz NSD with 53MHz BW</t>
  </si>
  <si>
    <t>We propose a 0-3 MASH ADC in 28nm CMOS that contains a 16-step flash ADC front end and a third-order feed-forward continuous-time delta-sigma modulator back end. The proposed ADC is sampled at 3.2GHz and achieves a DR of 88-90dB with a BW of 53.3-45.7MHz. The ADC draws a total dc power of 235mW from 0.9/1.8/-1V supplies and demonstrates a thermal noise FOM of 171.6-172.9dB over a BW of 53.3-45.7 MHz.</t>
  </si>
  <si>
    <t>Data for OSR = 35, Area includes decap, etc.</t>
  </si>
  <si>
    <t xml:space="preserve">Conventional CTDSM architectures are problematic when  interferers are presen due to STF peaking.  We show that embedding an active filter into a CTDSM realizes the functionality of an up-front filter, but achieves better linearity. Measurements on a CTDSM with 2MHz signal bandwidth, with an inbuilt VGA(0-18dB) and a 2nd order Butterworth filter (4MHz BW), show that the out-of-band IIP3 and IIP2 improve by 10dB and 15dB when compared to a system with the filter placed upfront. The filtering CTDSM+VGA,  achieves a DR of 92dB and consumes 5mW in a 130nm CMOS process. </t>
  </si>
  <si>
    <t>Data for embedded filter</t>
  </si>
  <si>
    <t>A 69.5mW 20GS/s 6b Time-Interleaved ADC with Embedded Time-to-Digital Calibration in 32nm CMOS SOI</t>
  </si>
  <si>
    <t>A 20GS/s 6b time-interleaved ADC is implemented in 32nm CMOS SOI with an embedded time-to-digital converter to sense timing skew, and the randomness of process mismatch is exploited to compensate the clock misalignment. To achieve low-power consumption at high-speed operation with small-size transistors, a low-complexity on-chip calibration reduces gain, offset, and delay mismatches in background. The proposed ADC achieves an SNDR of 30.7 dB at Nyquist frequency and consumes only 69.5mW.</t>
  </si>
  <si>
    <t>A 2.2GS/s 7b 27.4mW Time-based Folding Flash ADC with Resistive Averaged Voltage-to-Time Amplifiers</t>
  </si>
  <si>
    <t>This paper presents a 2.2GS/s 7b 27.4mW time-based folding ADC with resistive averaged voltage-to-time amplifiers. The time-based folding architecture consists of simple logic cells with a folding factor of 8 instead of the conventional static amplifiers. The proposed architecture reduces the number of comparators from 128 to 32 for a 7b resolution. This ADC achieves a SNDR of 37.4dB at Nyquist frequency without any calibration technique.</t>
  </si>
  <si>
    <t>A 100MS/s, 10.5-Bit, 2.46mW Comparator-less Pipeline ADC using Self-biased Ring Amplifiers</t>
  </si>
  <si>
    <t>A 14-bit 1 GS/s RF Sampling Pipelined ADC with Background Calibration</t>
  </si>
  <si>
    <t>A 14-bit 1GS/s pipelined ADC that relies on background calibration to correct the inter-stage gain, settling (dynamic) and memory errors. To improve the sampling linearity, it employs input distortion cancellation and another digital calibration to compensate for the non-linear charge injection (kick-back) from the sampling capacitors. The ADC is fabricated in a 65nm CMOS process and has an integrated input buffer. With a 140MHz and 2Vpp input signal, the SNDR is 69dB, the SFDR is 86dB and it consumes 1.2W.</t>
  </si>
  <si>
    <t>A 21mW 15b 48MS/s Zero-Crossing Pipeline ADC in  130nm CMOS with 74dB SNDR</t>
  </si>
  <si>
    <t>A 15b 48MSP/s zero-crossing pipeline ADC employs coarse-fine decision architecture with a backend FLASH/SAR quantizer. Multiple design techniques such as a control algorithm for dual-ramp waveforms and a reference current compensation are used for performance over PVT. The 130nm CMOS IC achieves an SNDR of 74.5dB, an SFDR of 95dB, and a FOM of 99fJ/step with power consumption of 21.6mW.</t>
  </si>
  <si>
    <t>Data at Nyquist from Fig. 4</t>
  </si>
  <si>
    <t>A 1.5mW 68dB SNDR 80Ms/s 2x interleaved SAR-Assisted Pipelined ADC in 28nm CMOS</t>
  </si>
  <si>
    <t>A 80Ms/s 2x interleaved SAR-Assisted Pipelined ADC achieves 68dB SNDR and consumes 1.5mW. A dynamic residue amplifier with optimal noise filtering properties, embedded in a pipelined architecture, is a key power saving technique.  In addition, an energy efficient switched-capacitor (SC) DAC is realized by using a small fraction of the total DAC capacitance during the initial SAR steps. The realized Walden FoM is 9.1fJ/conv-step while the Schreier FoM is 172.3dB</t>
  </si>
  <si>
    <t>A 10b 0.6nW leakage SAR ADC with data-dependent energy savings using LSB-first successive approximation</t>
  </si>
  <si>
    <t>NQ/OS</t>
  </si>
  <si>
    <t>An Oversampled 12b/14b SAR ADC with Noise Reduction and Linearity Enhancements Achieving up to 79.1dB SNDR</t>
  </si>
  <si>
    <t>A power-efficient oversampled 12b/14b SAR ADC in 65nm CMOS is presented. The chip area is 0.18mm&lt;sup&gt;2&lt;/sup&gt; and it operates at 0.8V supply. Feedback-controlled data-driven noise reduction, chopping, dithering and oversampling are combined to enhance the linearity while reducing 1/f and white noise. Supporting 4 modes of operation, the SNDR ranges from 67.8dB to 79.1dB for bandwidths of 4 to 16kHz with power-efficiencies between 4.4 and 23.2fJ/conversion-step.</t>
  </si>
  <si>
    <t>Data for 14b, 32kS/s</t>
  </si>
  <si>
    <t>A 1GS/s 10b 18.9mW Time-interleaved SAR ADC with Background Timing-skew Calibration</t>
  </si>
  <si>
    <t>This paper presents a TI SAR ADC which enables background timing-skew calibration without a separate timing reference channel and enhances the conversion speed of each channel. After background timing-skew calibration, 51.4dB SNDR, 60.0dB SFDR, and ±1.0 LSB INL/DNL are achieved at 1GS/s with a Nyquist input signal. The power consumption is 18.9mW, which corresponds to 62.3fJ/step FoM.</t>
  </si>
  <si>
    <t>A 90GS/s 8b 667mW 64x Interleaved SAR ADC in 32nm Digital SOI CMOS</t>
  </si>
  <si>
    <t>A 90GS/s 8b ADC is presented that achieves above 36.0dB SNDR up to 6.1GHz and 33.0dB up to 19.9GHz input frequency with a FOM of 203fJ/conv.-step at 90GS/s. Using a 1:64 interleaver with integrated sampling, conversion speeds from 56GS/s up to 100GS/s and an input BW of 22GHz are achieved. Skew and gain adjustment are implemented on-chip. The ADC consumes 667mW at 90GS/s and 845mW at 100GS/s, can be operated from a single supply voltage, is implemented in 32nm SOI CMOS, and occupies 0.45mm&lt;sup&gt;2&lt;/sup&gt;.</t>
  </si>
  <si>
    <t>A 1.62GS/s Time-Interleaved SAR ADC with fully digital background mismatch compensation achieving interleaving spurs below 70dBFS</t>
  </si>
  <si>
    <t>A 1.62 GS/s Time-Interleaved SAR ADC in 40nm CMOS with fully digital mismatch compensation is presented. The on-chip digital mismatch compensation unit runs in background and cancels offset, gain and timing mismatch errors to maintain the interleaving spurs below 70dBFS up to 750MHz input frequency. The TIADC consumes 93mW for an active area of 0.83mm².</t>
  </si>
  <si>
    <t>Folding Flash</t>
  </si>
  <si>
    <t>Pipe, SAR, TI</t>
  </si>
  <si>
    <t>Data at Nyquist</t>
  </si>
  <si>
    <t>This paper presents a new self-biased ring amplifier that is robust to transistor variation and eliminates external biases. Furthermore, a comparator-less pipeline ADC structure uses the characteristics of the ring-amplifier to replace the sub-ADC in each pipeline stage. The prototype ADC has a measured of SNDR, SNR and SFDR of 56.3dB (9.06b), 56.7dB and 67.6dB, respectively, for a Nyquist frequency input sampled at 100MS/s and consumes 2.46mW.</t>
  </si>
  <si>
    <t>P. Harpe, E. Cantatore, A. van Roermund</t>
  </si>
  <si>
    <t>H-Y. Tai, Y-S. Hu, H-W. Chen, H-S. Chen</t>
  </si>
  <si>
    <t>Y. Lim, M. P. Flynn</t>
  </si>
  <si>
    <t>V. H-C. Chen, L. Pileggi</t>
  </si>
  <si>
    <t>S. Lee, A. P. Chandrakasan, H-S. Lee</t>
  </si>
  <si>
    <t>M. Miyahara, I. Mano, M. Nakayama, K. Okada, A. Matsuzawa</t>
  </si>
  <si>
    <t>R. Rajan, S. Pavan</t>
  </si>
  <si>
    <t>A. M. Ali, H. Dinc, P. Bhoraskar, C. Dillon, S. Puckett, B. Gray, C. Speir, J. Lanford, D. Jarman, J. Brunsilius, P. Derounian, B. Jeffries, U. Mehta, M. McShea, H-Y. Lee</t>
  </si>
  <si>
    <t>D-Y. Chang, C. Muñoz, D. Daly, S-K. Shin, K. Guay, T. Thurston, H-S. Lee, K. Gulati, M. Straayer</t>
  </si>
  <si>
    <t>Y. Dong, R. Schreier, W. Yang, S. Korrapati, A. Sheikholeslami</t>
  </si>
  <si>
    <t>L. Kull, T. Toifl, M. Schmatz, P. A. Francese, C. Menolfi, M. Braendli1, M. Kossel, T. Morf, T. M. Andersen, Y. Leblebici</t>
  </si>
  <si>
    <t>N. Le Dortz, J-P. Blanc, T. Simon, S. Verhaeren, E. Rouat, P. Urard, S. Le Tual, D. Goguet, C. Lelandais-Perrault, P. Benabes</t>
  </si>
  <si>
    <t>S. Le Tual, P. N. Singh, C. Curis, P. Dautriche</t>
  </si>
  <si>
    <t>F. van der Goes, C. Ward, S. Astgimath, H. Yan, J. Riley, J. Mulder, S. Wang, K. Bult</t>
  </si>
  <si>
    <t>F. M. Yaul, A. P. Chandrakasan</t>
  </si>
  <si>
    <t>A 0.85fJ/conversion-step 10-bit 200kS/s subranging SAR ADC in 40nm CMOS</t>
  </si>
  <si>
    <t>A 0.85fJ/conversion-step 10-bit 200kS/s subranging SAR ADC is presented in this paper. The detect-and-skip algorithm and the aligned switching technique are proposed to save the big fine DAC switching energy with the assistance of the little coarse ADC. The comparator power is also reduced by using a low-power comparator during coarse conversion. The ADC in 40nm CMOS achieves 55.63dB SNDR at Nyquist input. It consumes 84nW at 0.45V.</t>
  </si>
  <si>
    <t>log(f/Hz)</t>
  </si>
  <si>
    <t>Envelope</t>
  </si>
  <si>
    <t>FOMW,hf</t>
  </si>
  <si>
    <t>AVG</t>
  </si>
  <si>
    <t>Extraction of 5 best data points to date:</t>
  </si>
  <si>
    <t>ISSCC</t>
  </si>
  <si>
    <t>VLSI</t>
  </si>
  <si>
    <t>Overall</t>
  </si>
  <si>
    <t>FOMW,hf/fsnyq</t>
  </si>
  <si>
    <t>FOMW_hf/fsnyq</t>
  </si>
  <si>
    <t>FOMW,hf corner frequency:</t>
  </si>
  <si>
    <t>FOMS,hf</t>
  </si>
  <si>
    <t>Now use this info to create plot envelopes, assuming first order roll-off beyond corner:</t>
  </si>
  <si>
    <t>FOMS,hf+10log(fsnyq)</t>
  </si>
  <si>
    <t>FOMS,hf corner frequency:</t>
  </si>
  <si>
    <t>[6] B. Murmann, "Energy limits in A/D converters," IEEE Faible Tension Faible Consommation (FTFC), Paris, France, June 2013.</t>
  </si>
  <si>
    <t>20130406a: Corrected the missing "TI" for time interleaved designs in the 2013 ISSCC data</t>
  </si>
  <si>
    <t>20140302: Update ISSCC 2014, added explicitly computed (rather than eyeballed) envelope curves to the FOM vs. Speed plots</t>
  </si>
  <si>
    <r>
      <t xml:space="preserve">Power (P) </t>
    </r>
    <r>
      <rPr>
        <sz val="10"/>
        <rFont val="Arial"/>
      </rPr>
      <t>- Taken as specified by the authors. Sometimes this number includes power for clocks, references, etc.; sometimes it doesn't. For delta-sigma modulators, the power for the decimation filter is not included. This is fair since the Nyquist converter data also does not include any power typically needed for anti-alias filtering.</t>
    </r>
  </si>
  <si>
    <r>
      <rPr>
        <b/>
        <sz val="10"/>
        <rFont val="Arial"/>
        <family val="2"/>
      </rPr>
      <t>fin_hf</t>
    </r>
    <r>
      <rPr>
        <sz val="10"/>
        <rFont val="Arial"/>
        <family val="2"/>
      </rPr>
      <t xml:space="preserve"> - This is the frequency at which SNDR_hf was measured. For Nyquist ADCs, fin_hf is typically taken equal to fsnyq/2 where justified, i.e. the listed SNDR is also measured at fsnyq/2. Exceptions include designs that roll off below Nyquist (example: ISSCC 2003, paper 18.2., fs=20GHz, SNDR measured up to fin=6GHz ==&gt;fin_hf=6GHz). This column is therefore useful primarily to capture these exceptions, which also tend to be the designs that push the envelope on aperture bandwidth. (Note: this column was called "BW_plot" in earlier versions of this survey.</t>
    </r>
  </si>
  <si>
    <t>The envelope lines included in the FOM vs. Speed plots are constructed as follows: (1) Identify the 5 data points with the best FOM (regardless of speed) and average them. This defines the "DC" value of the envelope. (2) Identify the 5 best data points with the best "combination" of FOM and speed. For FOMW, this means FOMW/fsnyq. For FOMS, this means FOMS + 10log(fsnyq). The average of these defines the locations of the 10dB/decade rise/drop lines in the FOM plots. In these regions, power grows quadratically with speed (and not linearly, and postulated by FOMW and FOMS). One can argue that circuits limited by transistor fT may show this behavior [6].</t>
  </si>
  <si>
    <t>Type 1</t>
  </si>
  <si>
    <t>Data for Nyquist input</t>
  </si>
  <si>
    <t>20140302a,b: Minor corrections on individual data points</t>
  </si>
  <si>
    <t>An 18 b 5 MS/s SAR ADC with 100.2 dB Dynamic Range</t>
  </si>
  <si>
    <t>Alan Bannon, Christopher Peter Hurrell, Derek Hummerston and Colin Lyden</t>
  </si>
  <si>
    <t>10Vpp input swing, no HF data</t>
  </si>
  <si>
    <t>A 0.4V 2.02fJ/Conversion-step 10-bit Hybrid SAR ADC with Time-domain Quantizer in 90nm CMOS</t>
  </si>
  <si>
    <t>This paper presents an ultra-low voltage and power efficient 10-bit hybrid successive-approximation register (SAR) analog-to-digital converter (ADC). To reduce the total amount of capacitance and relieve requirement of comparator, we propose a hybrid architecture composed of coarse and fine conversions by 7-bit SAR ADC and 3.5-bit time-domain quantizer, respectively. Using residue voltages generated by coarse ADC and converting it to time-domain, the fine ADC detects the least three bits with 0.5-bit redundancy by Vernier delay structure. At 250KS/s and Nyquist rate input, the ADC prototype fabricated in 90nm CMOS consumes 200nW at 0.4V supply. It achieves a SNDR of 53.7db and a resulting FoM of 2.02-fJ/conv.-step.</t>
  </si>
  <si>
    <t>Yan-Jiun Chen, Chih-Cheng Hsieh</t>
  </si>
  <si>
    <t>A 48 fJ/CS, 74 dB SNDR, 87 dB SFDR, 85 dB THD, 30 MS/s Pipelined ADC Using Hybrid Dynamic Amplifier</t>
  </si>
  <si>
    <t>Hariprasath Venkatram, Taehwan Oh, Kazuki Sobue, Koichi Hamashita, Un-Ku Moon</t>
  </si>
  <si>
    <t>7-bit 0.8-1.2GS/s Dynamic Architecture and Frequency Scaling Subrange ADC with Binary-Search/Flash Live Configuring Technique</t>
  </si>
  <si>
    <t>Subrange ADC with Dynamic Architecture and Frequency Scaling(DAFS) is presented, which has exponential power scaling against frequency with high-speed operation of over 1GS/s. We propose Live Configuring Technique(LCT) to adaptively configure the sub-ADC operation between binary-search and flash every clock cycle, reflecting the conversion delay. The power consumption is cut down significantly and retains high-speed operation. The prototype ADC fabricated in 65nm CMOS operates up to 1228MS/s and achieves an SNDR 36.2dB at nyquist. DAFS is active between 800-1200MS/s and when compared with the frequency power scaling with DAFS disabled, the peak power consumption cut down is 30%. Peak FoM of 85fJ/conv. was obtained at 820MS/s, which is nearly a 2x improvement compared with reported subrange ADCs.</t>
  </si>
  <si>
    <t>Kentaro Yoshioka, Ryo Saito, Takumi Danjo, Sanroku Tsukamoto, Hiroki Ishikuro</t>
  </si>
  <si>
    <t>Data for 820 MS/s</t>
  </si>
  <si>
    <t>75dB DR 50MHz BW 3rd Order CT-ΔΣ Modulator Using VCO-Based Integrators</t>
  </si>
  <si>
    <t>A wide bandwidth, high sample rate 3rd order continuous-time ΔΣ modulator using VCO-based integrators is presented. Non-idealities caused by VCOs at the modulator frontend are addressed using both circuit- and architecture-level techniques. Fabricated in 65nm CMOS, the prototype modulator operates at 1.28GS/s and achieves a dynamic range of 75dB, SNR of 71dB in 50MHz bandwidth, while consuming 38mW of total power.</t>
  </si>
  <si>
    <t>Brian Young, Karthik Reddy, Sachin Rao, Amr Elshazly, Tejasvi Anand, and Pavan Kumar Hanumolu</t>
  </si>
  <si>
    <t>A 23mW, 73dB Dynamic Range, 80MHz BW Continuous-Time Delta-Sigma Modulator in 20nm CMOS</t>
  </si>
  <si>
    <t>A 23mW, 80MHz BW, 73dB dynamic range continuous-time ΔΣ modulator in 20nm CMOS is presented. The modulator operates from 1.0/1.2/1.5V supplies. Power is minimized by combining a low OSR, fast digital excess loop delay compensation scheme, and several techniques to minimize delay in the feedback path. The result is a highly power efficient modulator that achieves an FOM(DR) of 168dB.</t>
  </si>
  <si>
    <t>Stacy Ho, Chi-Lun Lo, Zhiyu Ru, Jialin Zhao</t>
  </si>
  <si>
    <t>A 97.3 dB SNR, 600 kHz BW, 31mW Multibit Continuous Time ΔΣ ADC</t>
  </si>
  <si>
    <t>Abhishek Bandyopadhyay, Robert Adams, Khiem Nguyen, Paul Baginski, Daviud Lamb, Thomas Tansley</t>
  </si>
  <si>
    <t>An 8.5MHz 67.2dB SNDR CTDSM with ELD Compensation Embedded Twin-T SAB and Circular TDC-based Quantizer in 90nm CMOS</t>
  </si>
  <si>
    <t>A power-efficient continuous-time delta-sigma modulator (CTDSM) employing a single-amplifier biquad (SAB) based topology is proposed. The modulator incorporates a proposed twin-T SAB topology where the excess loop delay (ELD) is compensated by injecting a feedback signal into an internal node of the SAB while cooperating with an additional phase-compensation resistor. A low-power time-to-digital converter (TDC) with an embedded data weighted averaging (DWA) function is proposed as the quantizer, which mitigates the mismatch issue in the feedback DACs. Fabricated in 90nm CMOS, the proposed CTDSM achieves peak SNDR of 67.2dB over an 8.5MHz signal bandwidth, while consuming 4.3mW at 300MHz sampling frequency, and scores a FoM of 135fJ/conv.-step.</t>
  </si>
  <si>
    <t>Chan-Hsiang Weng, Tzu-An Wei, Erkan Alpman, Chang-Tsung Fu, Yi-Ting Tseng, and Tsung-Hsien Lin</t>
  </si>
  <si>
    <t>A 70 dB SNDR 200 MS/s 2.3 mW dynamic pipelined SAR ADC in 28nm digital CMOS</t>
  </si>
  <si>
    <t>We present a 200 MS/s 2x interleaved 14 bit pipelined SAR ADC in 28nm digital CMOS. The ADC uses a new residue amplifier for low noise at low power, and incorporates interleaved channel time-constant calibration. The ADC achieves a peak SNDR of 70.7 dB at 200 MS/s while consuming 2.3 mW from an 0.9 V supply.</t>
  </si>
  <si>
    <t>Bob Verbruggen, Kazuaki Deguchi, Badr Malki, Jan Craninckx</t>
  </si>
  <si>
    <t>A 12-bit 210-MS/s 5.3-mW Pipelined-SAR ADC with a Passive Residue Transfer Technique</t>
  </si>
  <si>
    <t>A 210 MS/s dual-channel 12-bit analog-to-digital converter (ADC) employing a pipelined successive approximation (SAR) architecture is presented. The ADC is partitioned into 3 stages with passive residue transferring between the 1st and the 2nd stages and active residue amplification between the 2nd and the 3rd stages. The ADC consumes 5.3 mW from a 1-V supply and achieves an SNDR of 63.48 dB at a 5-MHz input and 60.1 dB near Nyquist-rate.</t>
  </si>
  <si>
    <t>Chin-Yu Lin and Tai-Cheng Lee</t>
  </si>
  <si>
    <t>An 11.5-ENOB 100-MS/s 8mW Dual-Reference SAR ADC in 28nm CMOS</t>
  </si>
  <si>
    <t>Michael Inerfield, Abhishek Kamath, Feng Su, Jason Hu, Xinyu Yu, Victor Fong, Omar Alnaggar, Fang Lin and Tom Kwan</t>
  </si>
  <si>
    <t>Excluding references</t>
  </si>
  <si>
    <t>A 12b 160MS/s Synchronous Two-Step SAR ADC Achieving 20.7fJ/step FoM with Opportunistic Digital Background Calibration</t>
  </si>
  <si>
    <t>Yuan Zhou, Benwei Xu, and Yun Chiu</t>
  </si>
  <si>
    <t>20140627: Update VLSI 2014</t>
  </si>
  <si>
    <t>Reported HF performance was genarated by subtracting jitter. The data listed here is from the conference talk, with jitter included.</t>
  </si>
  <si>
    <t>A 5GS/s 150mW 10b SHA-less Pipelined/SAR Hybrid ADC in 28nm CMOS</t>
  </si>
  <si>
    <t>A 28nm CMOS 10b SHA-less Pipelined/SAR hybrid ADC is presented. To achieve low power at 5GS/s, the ADC combines a 2.5-b 2-way interleaved 2.5GS/s MDAC, followed by an 8-b 8-way interleaved 625MHz SAR. An over-range calibration loop that allows the SHA-less 2.5-b MDAC to operate at multi-GHz input is introduced. A calibration technique is also proposed to align the MDAC and SAR references. The ADC consumes 150mW.</t>
  </si>
  <si>
    <t>Data with PLL jitter</t>
  </si>
  <si>
    <t>SDCT, SAR</t>
  </si>
  <si>
    <t>This paper presents a 3-1 CT MASH delta-sigma modulator achieving 85dB DR, 85.2dBc SFDR, and 74.6dB SNDR at a 50MHz BW in 28nm CMOS based on the Sturdy-MASH architecture. The modulator is clocked at 1.8GHz while consuming 78mW. The extraction of the main loop quantization noise without the signal is realized by a low pass filter as an analog delay. The accurate in-band quantization noise cancellation of the main loop is achieved by a feedforward path in the second loop. The Schreier FOM of this modulator is 173.1dB.</t>
  </si>
  <si>
    <t>N/A</t>
  </si>
  <si>
    <t>A 14b 35MS/s SAR ADC achieving 75dB SNDR and 99dB SFDR with loop-embedded input buffer in 40nm CMOS</t>
  </si>
  <si>
    <t xml:space="preserve">We present a 14b 35MS/s SAR ADC that achieves a nearly constant 74.5dB SNDR up to Nyquist and a peak SNDR/SFDR of 75dB/99dB. The loop-embedded input source follower (23% of total power) shields the large sampling capacitor from the input, making it easier to drive the ADC linearly up to Nyquist, while its nonlinearity is cancelled by the SAR operation. The ADC occupies 0.236mm&lt;sup&gt;2&lt;/sup&gt; in 40nm CMOS and uses a self-calibrated current steering DAC, which eliminates the need for a low impedance reference.  </t>
  </si>
  <si>
    <t>Includes ref and buf</t>
  </si>
  <si>
    <t>A 12b 250MS/s Pipelined ADC with Virtual Ground Reference Buffers</t>
  </si>
  <si>
    <t>The virtual ground reference buffer technique is introduced as a solution to improve the feedback factor of a closed-loop circuit. The bootstrapping action of the level-shifting buffers enable improvement in unity-gain bandwidth, noise, and open-loop gain compared with conventional circuits. This reduces the design complexity and the power consumption of the op amps. A proof of concept 12b pipelined ADC in 65nm CMOS achieves 67.0dB SNDR at 250MS/s and consumes 49.7mW of power from a 1.2V power supply.</t>
  </si>
  <si>
    <t>A 1mW 71.5dB SNDR 50MS/s 13b Fully Differential Ring Amplifier Based SAR-Assisted Pipeline ADC in 65nm CMOS</t>
  </si>
  <si>
    <t>This paper presents a 1mW 71.5dB SNDR 13b 50MS/s ring amplifier based SAR-assisted pipeline ADC with Walden and Schreier FoMs of 6.9fJ/conversion-step and 174.9dB, respectively, without calibration. We introduce a fully differential ring amplifier based residue amplifier with an almost rail-to-rail output swing. In addition, a new capacitive DAC switching method reduces first-stage DAC errors and switching energy.</t>
  </si>
  <si>
    <t>An 800MS/s 10b/13b Receiver for 10GBase-T Ethernet in 28nm CMOS</t>
  </si>
  <si>
    <t>Power, area is for complete Rx, 13b mode</t>
  </si>
  <si>
    <t>A 0.8V 10bit 80kS/s SAR ADC with Duty-Cycled Reference Generation</t>
  </si>
  <si>
    <t>A 0.8V 10bit 80kS/s SAR ADC with duty-cycled reference generation in 65nm CMOS is presented. A 25nW 0.62V CMOS reference voltage generator (RVG) is proposed to generate the reference for the ADC. With a duty-cycling technique, 10% duty-cycle of the RVG is realized while ADC performance is maintained. A bi-directional dynamic comparator is implemented to increase the power-efficiency of the ADC further. The ADC with integrated RVG consumes 106nW and achieves 9.1bit ENOB and 2.4fJ/conversion-step.</t>
  </si>
  <si>
    <t>Includes ref</t>
  </si>
  <si>
    <t>This work demonstrates a 4.5mW CT self-coupled £G£U modulator with residual ELD compensation achieving 90.4dB SNDR over a 2.2MHz bandwidth. To improve power efficiency, an extra first-order noise shaping with 10dB SQNR improvement by self coupling technique is introduced. Moreover, residual ELD compensation removes the conventional ELD feedback DAC. The modulator operating at 140MHz is fabricated in 55nm CMOS which shows a Schreier FoM of 177.3dB and a Walden FoM of 37.8fJ/conv-step, respectively.</t>
  </si>
  <si>
    <t>A 90 dB 14 bit 500 MS/S BiCMOS Switched-Current Pipelined ADC</t>
  </si>
  <si>
    <t>A 14 bit 500 MS/s pipelined ADC in a 0.18um BiCMOS SiGe process is presented, which achieves over 90 dBc SFDR at low frequency and over 80 dBc up to 500 MHz.  This is achieved with T&amp;H enhancements and by extending the effective amplifier settling time.  Dither is incorporated to further improve linearity.</t>
  </si>
  <si>
    <t>A 21fJ/conversion-step 9 ENOB 1.6GS/s 2x Time-Interleaved FATI SAR ADC with Background Offset and Timing-skew Calibration in a 45nm CMOS</t>
  </si>
  <si>
    <t>A 5.5fJ/conv.step 6.4MS/s 13b SAR ADC utilizing a redundancy facilitated background error-detection and correction scheme</t>
  </si>
  <si>
    <t>Cal included</t>
  </si>
  <si>
    <t>A 5.5mW 6b 5GS/s 4-times Interleaved 3b/cycle SAR ADC in 65nm CMOS</t>
  </si>
  <si>
    <t>A 4x time-interleaved 6b 5GS/s 3b/cycle SAR ADC in 65nm is presented. Design complexity has been reduced, where each channel only consists of 4 DACs with 8 unit capacitors, 4 dynamic pre-amps and 7 latches. Large error due to the input difference close to the comparators¡¦ thresholds is lessened with the boundary-detection-code-overriding scheme. This design consumes 5.5mW from a 1V supply, resulting in a Nyquist-FoM of 39fJ/conv.-step. SNDR and SFDR are 30.76dB and 43.12dB at Nyquist input without timing calibration.</t>
  </si>
  <si>
    <t>A 2.6b/cycle-architecture-based 10b 1.7GS/s 15.4mW 4x Time-interleaved SAR ADC with a Multi-step Hardware Retirement Technique</t>
  </si>
  <si>
    <t>A multi-step hardware retirement technique with redundancies that turns off low-accuracy designed hardware blocks respective to the decision state is proposed to improve power efficiency in multi-bit/cycle architectures, which has been employed to increase the conversion rate of a single channel in alleviating timing skew calibration burdens. The 4x TI 10b prototype design achieves an SNDR of 51.24dB at the Nyquist input, resulting in a FOM of 30.4fJ/conv.-step at 1.7 GS/s conversion rate and 1.2V supply.</t>
  </si>
  <si>
    <t>D-Y. Yoon, S. Ho, H-S. Lee</t>
  </si>
  <si>
    <t>C-Y. Ho, C. Liu, C-L. Lo, H-C. Tsai, T-C. Wang, Y-H. Lin</t>
  </si>
  <si>
    <t>M. Liu, P. Harpe, R. van Dommele, A. van Roermund</t>
  </si>
  <si>
    <t>H. H. Boo, D. S. Boning, H-S. Lee</t>
  </si>
  <si>
    <t>M. Krämer, E. Janssen, K. Doris, B. Murmann</t>
  </si>
  <si>
    <t>M. Ding, P. Harpe, Y-H. Liu, B. Busze, K. Philips, H. de Groot</t>
  </si>
  <si>
    <t>J. Mulder, D. Vecchi, Y. Ke, S. Bozzola, M. Core, N. Saputra, Q. Zhang, J. Riley, H. Yan, M. Introini, S. Wang, C. M. Ward, J. Westra, J. Wan, K. Bult</t>
  </si>
  <si>
    <t>M. El-Chammas, X. Li, S. Kimura, J. Coulon, J. Hu, D. Smith, 'P. Landman, M. Weaver</t>
  </si>
  <si>
    <t>B-R-S. Sung, D-S. Jo, I-H. Jang, D-S. Lee, Y-S. You,Y-H. Lee, H-J. Park, S-T. Ryu</t>
  </si>
  <si>
    <t>C-H. Chan, Y. Zhu, S-W. Sin, S-P. U, R. Martins</t>
  </si>
  <si>
    <t>H-K. Hong, H-W. Kang, D-S. Jo, D-S. Lee, Y-S. You,Y-H. Lee, H-J. Park, S-T. Ryu</t>
  </si>
  <si>
    <t>M. Brandolini, Y. Shin, K. Raviprakash, T. Wang, R. Wu,H. M. Geddada, Y-J. Ko, Y. Ding, C-S. Huang, W-T. Shih,M-H. Hsieh, W-T. Chou, T. Li, A. Shrivastava, Y-C. Chen,J-J. Hung, G. Cusmai, J. Wu, M. M. Zhang, G. Unruh,A. Venes, H. S. Huang, C-Y. Chen</t>
  </si>
  <si>
    <t>A 110dB SNR ADC with ±30V Input Common-Mode Range and 8µV offset for Current Sensing Applications</t>
  </si>
  <si>
    <t xml:space="preserve">This paper presents a 110dB SNR ADC that achieves a ±30V input common-mode voltage range (CMVR) while powered from a single 5V supply. The beyond-the-rails capability is obtained by employing an improved capacitively-coupled high voltage chopper in the front-end of a &amp;#916;&amp;#931; ADC. Furthermore, the use of dynamic offset cancellation techniques results in a maximum offset of 8µV. Compared to the state-of-the-art, the CMVR of this design extends below its negative rail. It also has 30dB higher resolution, achieving an SNR of 110dB SNR. </t>
  </si>
  <si>
    <t>L. Xu, B. Gönen, Q. Fan, J. H. Huijsing, K. A. Makinwa</t>
  </si>
  <si>
    <t>A 3nW Signal-Acquisition IC Integrating an Amplifier with 2.1 NEF and a 1.5fJ/conv-step ADC</t>
  </si>
  <si>
    <t>P. Harpe, H. Gao, R. van Dommele, E. Cantatore, A. van Roermund</t>
  </si>
  <si>
    <t>This paper presents an 18 bit 5 MS/s SAR ADC. It has a dynamic range of 100.2 dB, SNR of 99 dB, INL of ±2 ppm and DNL of ±0.4 ppm. It has currently the lowest noise floor of any monolithic Nyquist converter relative to the full scale input (21.9 nV/√Hz, ±5V full scale) known to the author, all of this is achieved with an ADC core power of 30.52 mW giving a Schreier figure of merit of 179.3 dB [1]. Architectural choices
such as the use of a residue amplifier are outlined that enable the high sample rate, low noise and power efficiency. The design is implemented on 0.18 μm CMOS with MIM capacitors and both 1.8 V and 5 V MOS devices. An LVDS interface is used to transfer the ADC result off chip.</t>
  </si>
  <si>
    <t>A 10Gb/s Hybrid ADC-Based Receiver with Embedded 3-Tap Analog FFE and Dynamically-Enabled Digital Equalization in 65nm CMOS</t>
  </si>
  <si>
    <t>Ayman Shafik, Ehsan Zhian Tabasy, Shengchang Cai, Keytaek Lee, Sebastian Hoyos, Samuel Palermo</t>
  </si>
  <si>
    <t>Includes FFE, no sinusoidal test data</t>
  </si>
  <si>
    <t>A hybrid ADC-based receiver architecture employs 3-tap analog FFE embedded inside a 6-bit asynchronous SAR ADC and a per-symbol dynamically-enabled digital equalizer to reduce digital equalizer complexity and power consumption. Fabricated in GP 65nm CMOS, the 10Gb/s receiver compensates for up to 36.4dB channel attenuation. Dynamically-enabling the digital 4-tap FFE and 3-tap DFE on a per-symbol basis results in 30mW savings, and an overall receiver power less than 90mW</t>
  </si>
  <si>
    <t>20150307: Update ISSCC 2015, some data corrections</t>
  </si>
  <si>
    <t>SAR, VCO</t>
  </si>
  <si>
    <t>A 120nW 8b Sub-Ranging SAR ADC with Signal-Dependent Charge Recycling for Biomedical Applications</t>
  </si>
  <si>
    <t>We present an 8-bit sub-ranging SAR ADC designed for bursty signals having long time periods with small code spread. A modified capacitive-DAC (CDAC) saves previous sample’s MSB voltage and reuses it throughout subsequent conversions. This prevents unnecessary switching of large MSB capacitors as well as conversion cycles, reducing energy consumed in the comparator and digital logic and yielding total energy savings of 2.6×. In 0.18μm CMOS, the ADC consumes 120nW at 0.6V and 100kS/s with 46.9dB SNDR.</t>
  </si>
  <si>
    <t>S. Jeong, W. Jung, D. Jeon, O. Berenfeld, H. Oral, G. Kruger, D. Blaauw and D. Sylvester</t>
  </si>
  <si>
    <t>A 12b 70MS/s SAR ADC with Digital Startup Calibration in 14nm CMOS</t>
  </si>
  <si>
    <t>A 12b 70MS/s sub-2 radix SAR ADC designed on Intel’s 14nm tri-gate CMOS process is presented. It utilizes a startup calibration for correcting capacitor mismatches in its CDAC. The calibration is fully digital and doesn’t require accurate references or input signals. The sub-2 radix architecture provides redundancy that improves speed. The comparator has a novel preamplifier that helps achieve low-noise and high-speed operation. The ADC achieves 68.1dB SNDR, 80dB SFDR, 70MS/s speed, and consumes 4.3mW power.</t>
  </si>
  <si>
    <t>C. C. Lee, C.-Y. Lu, R. Narayanaswamy and J. B. Rizk</t>
  </si>
  <si>
    <t>A 9.35-ENOB, 14.8 fJ/Conv.-Step Fully-Passive Noise-Shaping SAR ADC</t>
  </si>
  <si>
    <t>This paper presents an opamp-free solution to implement noise shaping in a successive approximation register analog-to-digital convertor. The comparator noise, incomplete settling error of digital-to-analog convertor and mismatch are alleviated. Designed in a 65 nm CMOS technology, the prototype realizes 58 dB SNDR at 50 MS/s sampling frequency. It consumes 120.7 μW from a 0.8 V supply and achieves a FoM of 14.8 fJ per conversion step.</t>
  </si>
  <si>
    <t>Z. Chen, M. Miyahara and A. Matsuzawa</t>
  </si>
  <si>
    <t>A 12-Bit 200-MS/s 3.4-mW CMOS ADC with 0.85-V Supply</t>
  </si>
  <si>
    <t>A SAR ADC incorporates two VCOs and a TDC as a multi-bit quantizer to improve the conversion speed. Using background calibration and realized in 45-nm technology, the ADC exhibits an SNDR of 68 dB and an FOM of 8 fJ per conversion step at Nyquist.</t>
  </si>
  <si>
    <t>J. P. Mathew, L. Kong and B. Razavi</t>
  </si>
  <si>
    <t>Asynchronous</t>
  </si>
  <si>
    <t>A 25GS/s 6b TI Binary Search ADC with Soft-Decision Selection in 65nm CMOS</t>
  </si>
  <si>
    <t>S. Cai, E. Z. Tabasy, A. Shafik, S. Kiran, S. Hoyos and S. Palermo</t>
  </si>
  <si>
    <t>S. Patil, A. Ratiu, D. Morche and Y. Tsividis</t>
  </si>
  <si>
    <t>A 6b 46GS/s ADC with &gt;23GHz BW and Sparkle-Code Error Correction</t>
  </si>
  <si>
    <t>Y. Duan and E. Alon</t>
  </si>
  <si>
    <t>A 75 MHz BW 68dB DR CT-ΣΔ Modulator with Single Amplifier Biquad Filter and a Broadband Low-Power Common-Gate Summing Technique</t>
  </si>
  <si>
    <t>A wide bandwidth, power efficient continuous-time ΣΔ modulator (CTΣΔM) is presented. The modulator introduces a 3rd order filter implemented with a lossless integrator and a multiple-feedback (MFB) single-amplifier biquad (SAB) with embedded loop stability compensation. An active summing block is implemented with a common-gate amplifier followed by a transimpedance amplifier (TIA) that achieves optimum bandwidth (BW) vs power consumption tradeoff, making it suitable for over GHz operation. Fabricated in 40 nm CMOS, and clocked at 3.2 GHz, the CTΣΔM achieves a signal-to-noise and distortion ratio (SNDR) of 64.9 dB over 75 MHz BW while consuming 22.8 mW of power. The obtained Walden’s Figure of Merit (FoM) is 106 fJ/conv-step.</t>
  </si>
  <si>
    <t>C. Briseno-Vidrios, A. Edward, A. Shafik, S. Palermo and J. Silva-Martinez</t>
  </si>
  <si>
    <t>A 54mW 1.2GS/s 71.5dB SNDR 50MHz BW VCO-Based CT ΔΣ ADC Using Dual Phase/Frequency Feedback in 65nm CMOS</t>
  </si>
  <si>
    <t>SDCT, VCO</t>
  </si>
  <si>
    <t>A 7.2 mW 75.3 dB SNDR 10 MHz BW CT Delta-Sigma Modulator Using Gm-C-Based Noise-Shaped Quantizer and Digital Integrator</t>
  </si>
  <si>
    <t>T. Kim, C. Han and N. Maghari</t>
  </si>
  <si>
    <t>A 16nm FinFet 19/39MHz 78/72dB DR Noise-Injected Aggregated CTSDM ADC for Configurable LTE Advanced CCA/NCCA Application</t>
  </si>
  <si>
    <t>T.-K. Kao, P. Chen, J.-Y. Tsai and P.-C. Chiu</t>
  </si>
  <si>
    <t>A 10/20/30/40 MHz Feed-Forward FIR DAC Continuous-Time ΔΣ ADC with Robust Blocker Performance for Radio Receivers</t>
  </si>
  <si>
    <t>S. Loeda, J. Harrison, F. Pourchet and A. Adams</t>
  </si>
  <si>
    <t>A 0.7 V 256 μW ΔΣ Modulator with Passive RC Integrators Achieving 76 dB DR in 2 MHz BW</t>
  </si>
  <si>
    <t>J. L. A. de Melo, J. Goes and N. Paulino</t>
  </si>
  <si>
    <t>A 13-ENOB, 5 MHz BW, 3.16 mW Multi-Bit Continuous-Time ΔΣ ADC in 28 nm CMOS with Excess-Loop-Delay Compensation Embedded in SAR Quantizer</t>
  </si>
  <si>
    <t>G. Wei, P. Shettigar, F. Su, X. Yu and T. Kwan</t>
  </si>
  <si>
    <t>A Low-Power Gm-C-Based CT-ΔΣ Audio-Band ADC in 1.1V 65nm CMOS</t>
  </si>
  <si>
    <t>A low power CT-ΔΣ is presented which achieves 92dBA of dynamic range while consuming only 110μA from a 1.1V supply in 65nm. The ADC exploits the inherent virtual ground of the ΔΣ loop to enable low power Gm-C integrators, and a simplified excess loop-delay compensation scheme. A common-mode feedback circuit which enables low voltage operation is also presented.</t>
  </si>
  <si>
    <t>I. Ahmed, J. Cherry, A. Hasan, A. Nafee, D. Halupka, Y. Allasasmeh and M. Snelgrove</t>
  </si>
  <si>
    <t>Data for 40MHz</t>
  </si>
  <si>
    <t>20150712: Update VLSI 2015</t>
  </si>
  <si>
    <t>K. Reddy, S. Dey, S. Rao, B. Young, P. Prabha and P. K. Hanumolu</t>
  </si>
  <si>
    <t>20150712a: Minor corrections</t>
  </si>
  <si>
    <t>A 24.7mW 45MHz-BW 75.3dB-SNDR SAR-Assisted CT ΔΣ Modulator with 2nd-Order Noise Coupling in 65nm CMOS</t>
  </si>
  <si>
    <t>In Paper 15.1, the University of Texas at Dallas introduces a SAR-assisted continuous-time delta-sigma modulator in 65nm CMOS that uses 2nd-order noise coupling to achieve a peak SNDR of 75.3dB SNDR in 45MHz BW.</t>
  </si>
  <si>
    <t>Bo Wu, Shuang Zhu, Benwei Xu, Yun Chiu</t>
  </si>
  <si>
    <t>2.2GHz Continuous-Time ΔΣ ADC with -102dBc THD and 25MHz BW</t>
  </si>
  <si>
    <t>In Paper 15.2, NXP Semiconductors and Catena Microelectronics present a converter that uses a 1b feedback DAC with a return-to-open technique to achieve a high linearity of -102dBc/-104dBc THD/IM3 in a 25MHz bandwidth.</t>
  </si>
  <si>
    <t>A 1V 77dB-DR 72dB-SNDR 10MHz-BW 2-1 MASH CT ΔΣM</t>
  </si>
  <si>
    <t>In Paper 15.3, New University of Lisbon presents a 65nm CMOS 10MHz BW passive-active CT 2-1 MASH ΔΣM that uses RC integrators and low gain stages to achieve high power efficiency.</t>
  </si>
  <si>
    <t>A 280μW 24kHz-BW 98.5dB-SNDR Chopped Single-Bit CT ΔΣM Achieving &lt;10Hz 1/f Noise Corner Without Chopping Artifacts</t>
  </si>
  <si>
    <t>In Paper 15.4, IIT Madras introduces a 1b modulator with chopping used in conjunction with a FIR feedback DAC to achieve a 1/f corner frequency of &lt;10Hz without chopping artifacts and 98.5dB SNDR in the audio band.</t>
  </si>
  <si>
    <t>A 930mW 69dB-DR 465MHz-BW CT 1-2 MASH ADC in 28nm CMOS</t>
  </si>
  <si>
    <t>In Paper 15.5 Analog Devices describes a continuous-time 1-2 MASH ADC clocking at 8GHz in 28nm CMOS. This ADC achieves the largest signal bandwidth (465MHz) thus far reported for a CMOS delta-sigma ADC.</t>
  </si>
  <si>
    <t>A 160MHz-BW 72dB-DR 40mW Continuous-Time ΔΣ Modulator in 16nm CMOS with Analog ISIReduction Technique</t>
  </si>
  <si>
    <t>In Paper number 15.6 MediaTek describes a 4th-order continuous-time delta-sigma ADC in 16nm CMOS. The ADC uses an analog ISI-reduction technique to achieve 72dB DR over 160MHz with only 40mW of power.</t>
  </si>
  <si>
    <t>In Paper 15.7 Delft University of Technology and NXP Semiconductors describe a Dynamic Zoom ADC that uses energy-efficient pseudo-differential inverter-based OTAs to achieve 107.5dB of dynamic range over the audio band with only 1.6mW of power.</t>
  </si>
  <si>
    <t>A 22.3b 1kHz 12.7mW Switched-Capacitor ΔΣ Modulator with Stacked Split-Steering Amplifiers</t>
  </si>
  <si>
    <t>In paper 15.8, ams describes a 1b discrete-time modulator that uses amplifier stacking to achieve 136dB of dynamic range in a bandwidth of 1kHz with only 13mW of power consumption.</t>
  </si>
  <si>
    <t>Lucien Breems, Muhammed Bolatkale, Hans Brekelmans, Shagun Bajoria, Jan Niehof, Robert Rutten, Bert Oude-Essink, Franco Fritschij, Jagdip Singh, Gerard Lassche</t>
  </si>
  <si>
    <t>Blazej Nowacki, Nuno Paulino, Joao Goes</t>
  </si>
  <si>
    <t>Sujith Billa, Amrith Sukumaran, Shanthi Pavan</t>
  </si>
  <si>
    <t>Yunzhi Dong, Jialin Zhao, Wenhua Yang, Trevor Caldwell, Hajime Shibata, Richard Schreier, Qingdong Meng, Jose Silva, Donald Paterson, Jeffrey Gealow</t>
  </si>
  <si>
    <t>Data for fs=6 GHz</t>
  </si>
  <si>
    <t>Su-Hao Wu, Tsung-Kai Kao, Zwei-Mei Lee, Ping Chen, Jui-Yuan Tsai</t>
  </si>
  <si>
    <t>Burak Gönen, Fabio Sebastiano, Robert van Veldhoven, Kofi A. A. Makinwa</t>
  </si>
  <si>
    <t>Matthias Steiner, Nigel Greer</t>
  </si>
  <si>
    <t>Area-Efficient 1GS/s 6b SAR ADC with Charge-Injection-Cell-Based DAC</t>
  </si>
  <si>
    <t>A 0.35mW 12b 100MS/s SAR-Assisted Digital Slope ADC in 28nm CMOS</t>
  </si>
  <si>
    <t>In Paper 27.4, MediaTek combines a fine digital slope ADC with a coarse SAR ADC. At 100MS/s, the 28nm CMOS ADC achieves an SNDR of 64.4dB and an SFDR of 75.4dB at Nyquist input frequency, while consuming only 0.35mW from a 0.9V supply and occupying an area of 66×71μm2.</t>
  </si>
  <si>
    <t>Single-slope, SAR</t>
  </si>
  <si>
    <t>A 4GS/s Time-Interleaved RF ADC in 65nm CMOS with 4GHz Input Bandwidth</t>
  </si>
  <si>
    <t>In Paper 27.5, Maxim presents a hierarchically time-interleaved ADC for wide-bandwidth communication applications. This 65nm 4GS/s RF ADC digitizes input frequencies up to 4GHz with an aperture jitter of 50fs rms, while consuming 2.2W. The ADC achieves 56.1dB SNR and 64dBc linearity at 1.842GHz input frequency.</t>
  </si>
  <si>
    <t>A 4GS/s 13b Pipelined ADC with Capacitor and Amplifier Sharing in 16nm CMOS</t>
  </si>
  <si>
    <t>A 10b 2.6GS/s Time-Interleaved SAR ADC with Background Timing-Skew Calibration</t>
  </si>
  <si>
    <t>In Paper 27.7, National Taiwan University introduces a time-interleaved skew-correction technique based on signal-slope estimation. The 40nm CMOS 10b 2.6GS/s SAR ADC employing the technique achieves a 50.6dB SNDR at Nyquist rate while dissipating 18.4mW from a 1.1V power supply.</t>
  </si>
  <si>
    <t>An Oversampling SAR ADC with DAC Mismatch Error Shaping Achieving 105dB SFDR and 101dB SNDR over 1kHz BW in 55nm CMOS</t>
  </si>
  <si>
    <t>In Paper 27.2, MediaTek introduces a DAC mismatch error-shaping technique. The 55nm CMOS prototype consumes 15.7μW and exhibits 96.1dB peak SNDR over 4kHz BW with a Schreier FOM of 180dB.</t>
  </si>
  <si>
    <t>Yun-Shiang Shu, Liang-Ting Kuo, Tien-Yu Lo</t>
  </si>
  <si>
    <t>Data for BW = 1kHz</t>
  </si>
  <si>
    <t>Kyojin D. Choo, John Bell, Michael P Flynn</t>
  </si>
  <si>
    <t>Chun-Cheng Liu</t>
  </si>
  <si>
    <t>Matt Straayer, Jim Bales, Dwight Birdsall, Denis Daly, Phillip Elliott, Bill Foley, Roy Mason, Vikas Singh, Xuejin Wang</t>
  </si>
  <si>
    <t>Jiangfeng Wu,, Acer Chou, Tianwei Li, Rong Wu, Tao Wang, Giuseppe Cusmai, Sha-Ting Lin, Cheng-Hsun Yang, Gregory Unruh, Sunny Raj Dommaraju, Mo M. Zhang, Po Tang Yang, Wei-Ting Lin, Xi Chen, Dongsoo Koh, Qingqi Dou, H. Mohan Geddada, Juo-Jung Hung, Massimo Brandolini, Young Shin, Hung-Sen Huang, Chun-Ying Chen, Ardie Venes</t>
  </si>
  <si>
    <t>Chin-Yu Lin, Yen-Hsin Wei, Tai-Cheng Lee</t>
  </si>
  <si>
    <t>Alessandro Venca, Nicola Ghittori, Alessandro Bosi, Claudio Nani</t>
  </si>
  <si>
    <t>A ±50mV Linear-Input-Range VCO-Based Neural-Recording Front-End with Digital Nonlinearity Correction</t>
  </si>
  <si>
    <t>Wenlong Jiang, Vahagn Hokhikyan, Hariprasad Chandrakumar, Vaibhav Karkare, Dejan Markovic</t>
  </si>
  <si>
    <t>In Paper 28.6, the University of California at Los Angeles proposes a front-end achieving a linear input-range of ±50mV, which is a 10× improvement with respect to the range of previous designs. The SFDR is 79dB, which is 20dB higher than existing designs.</t>
  </si>
  <si>
    <t>A 320mW 32Gb/s 8b ADC-Based PAM-4 Analog Front-End with Programmable Gain Control and Analog Peaking in 28nm CMOS</t>
  </si>
  <si>
    <t>Delong Cui, Heng Zhang, Nick Huang, Ali Nazemi, Burak Catli, Hyo Gyuem Rhew, Bo Zhang, Afshin Momtaz, Jun Cao</t>
  </si>
  <si>
    <t>Power includes CTLE, PGA</t>
  </si>
  <si>
    <t>K. Obata, K. Matsukawa, T. Miki, Y. Tsukamoto and K. Sushihara</t>
  </si>
  <si>
    <t>A 97.99 dB SNDR, 2 kHz BW, 37.1 μW Noise-Shaping SAR ADC with Dynamic Element Matching and Modulation Dither Effect</t>
  </si>
  <si>
    <t>A 35μW 96.8dB SNDR 1 kHz BW Multi-Step Incremental ADC Using Multi-Slope Extended Counting with a Single Integrator</t>
  </si>
  <si>
    <t>Y. Zhang, C.-H. Chen, T. He and G. C. Temes</t>
  </si>
  <si>
    <t>A 18.5‐fJ/step VCO‐Based 0‐1 MASH DS ADC with Digital Background Calibration</t>
  </si>
  <si>
    <t>A 13.3mW 60MHz Bandwidth, 76dB DR 6GS/s CTDS M with Time Interleaved FIR Feedback</t>
  </si>
  <si>
    <t>A.Jain, S.Pavan</t>
  </si>
  <si>
    <t>A. Sanyal, N. Sun</t>
  </si>
  <si>
    <t>A scaling-friendly and energy-efficient 0-1 MASH ΔΣ ADC is proposed in this work. An 8b SAR is used as the 1st stage for coarse quantization. A ring VCO is used as the 2nd stagefor fine quantization. The proposed ADC uses digital background calibration to track VCO gain variation across PVT. A 40nm CMOS prototype achieves a Walden FoM of 18.5 fJ/conv-step while operating from 1.1V supply.</t>
  </si>
  <si>
    <t>A 97.99 dB SNDR, 2 kHz bandwidth noise-shaping SAR ADC was fabricated in 28 nm CMOS process. By integrating residue of 12 bit SAR AD conversion with 3rd order integrator, Σ modulation is achieved and noise floor of AD conversion is shaped. Distortion due to mismatch of capacitive DAC is eliminated by introducing dynamic element matching (DEM) technique and by utilizing modulation dither effect. The ADC consumes 37.1 μW with 100 kHz sampling speed and achieves Schreier’s figure of merit (FoMs) of 175.3 dB.</t>
  </si>
  <si>
    <t>A multi-step incremental ADC (IADC) with multi-slope extended counting is presented. In the proposed IADC, the accuracy is enhanced by reconfiguring it as a multi-slope ADC in two additional steps. For the same accuracy, the conversion cycle is shortened by a factor of about 29 as compared to the single-step IADC. Fabricated in 0.18-μm CMOS process, the prototype ADC operates at 642 kHz and achieves a peak SNDR = 96.8 dB and DR = 99.7 dB over a 1 kHz bandwidth. The power consumption is 35 μW, which results in an excellent Schreier FoM of 174.6 dB.</t>
  </si>
  <si>
    <t>We present a wideband single-bit CTΔ_x0006_M that uses a 2x time-interleaved quantizer and FIR DAC. Time interleaving reduces power dissipation and regeneration errors of the FIR DAC when compared to a full rate implementation. Fabricated in a low leakage 65nm CMOS, the prototype modulator operates at 6 GS/s and achieves 67.6/76 dB SNDR/DR in a 60 MHz bandwidth while consuming 13.3 mW. The FoM is 56.5 fJ/conv-step.</t>
  </si>
  <si>
    <t>A 56Gb/s PAM4 Wireline Transceiver using a 32-way Time-Interleaved SAR ADC in 16nm FinFET</t>
  </si>
  <si>
    <t>Yohan Frans, Mohamed Elzeftawi, Hiva Hedayati, Jay Im, Vassili Kireev, Toan Pham, Jaewook Shin, Parag Upadhyaya, Lei Zhou, Santiago Asuncion, Chris Borrelli, Geoff Zhang, Hongtao Zhang, Ken Chang</t>
  </si>
  <si>
    <t>A 56Gb/s PAM4 wireline transceiver testchip is implemented in 16nm FinFET. The CML transmitter incorporates an auxiliary current injection at the output nodes to maintain PAM4 amplitude linearity. The receiver consists of continuous-time linear equalizers with constant DC-gain and a 28GSa/s 32-way time-interleaved SAR ADC. The transceiver achieves 1e-8 BER over a backplane channel with 25dB loss at 14GHz while consuming 550mW power, excluding DSP.</t>
  </si>
  <si>
    <t>A 12-bit 1.6 GS/s Interleaved SAR ADC with Dual Reference Shifting and Interpolation Achieving 17.8 fJ/conv-step in 65nm CMOS</t>
  </si>
  <si>
    <t>A 12-bit SAR ADC architecture with dual reference shifting and interpolation technique has been proposed and implemented with 8-way time interleaving in 65nm CMOS. The proposed technique converts 4 bits per SAR conversion cycle with reduced overhead, which is a key to achieve both high speed and resolution while maintaining low power consumption. The measured peak SNDR is 72dB and remains above 65.3dB at 1-GHz input frequency at sample rate of 1.6 GS/s. It achieves a record power efficiency of 17.8fJ/conv-step among the recently published high-speed/resolution ADCs.</t>
  </si>
  <si>
    <t>Jae-Won Nam, Mohsen Hassanpourghadi, Aoyang Zhang, and Mike Shuo-Wei Chen</t>
  </si>
  <si>
    <t>A 14.6mW 12b 800MS/s 4×Time-Interleaved Pipelined SAR ADC achieving 60.8dB SNDR with Nyquist input and sampling timing skew of 60fsrms without calibration</t>
  </si>
  <si>
    <t>A 12b time-interleaved pipelined SAR ADC is presented. The proposed sampling circuit makes timing skew immune to mismatch of control circuit for time interleaving and reduces the main mismatch source to only sampling switch to achieve very low sampling skew of 60fsrms without calibration. MDAC transfer curve of pipeline stage is folded and OP output is kept half without degrading its gain and bandwidth by the proposed MDAC. The proposed OP loading reset scheme also enhances the settling speed without sacrificing ADC conversion time. Operating at 800MS/s, this ADC consumes 14.6mW from 1V supply and achieves SNDR of 60.8dB with Nyquist input.</t>
  </si>
  <si>
    <t>Yuan-Ching Lien</t>
  </si>
  <si>
    <t>An Oscillator Collapse-Based Comparator with Application in a 74.1dB SNDR, 20KS/s 15b SAR ADC</t>
  </si>
  <si>
    <t>This paper presents a new energy-efficient ring oscillator collapse-based comparator, which is demonstrated in a 15-bit SAR ADC. The comparator automatically adjusts comparison energy according to its input difference without any control, eliminating unnecessary energy spent on coarse comparisons. The employed SAR ADC supplements a 10-bit differential main CDAC with a 5-bit common-mode CDAC. This offers an additional 5 bits of resolution with common mode to differential gain tuning that improves linearity by reducing the effect of switch parasitic capacitance. A test chip fabricated in 40nm CMOS shows 74.12 dB SNDR and 173.4 dB FOMs. The comparator consumes 104 nW with the full ADC consuming 1.17 μW.</t>
  </si>
  <si>
    <t>Minseob Shim, Seokhyeon Jeong, Paul Myers, Suyoung Bang, Chulwoo Kim, Dennis Sylvester, David Blaauw and Wanyeong Jung</t>
  </si>
  <si>
    <t>A 0.44fJ/conversion-step 11b 600KS/s SAR ADC with Semi-Resting DAC</t>
  </si>
  <si>
    <t>A 0.3V 600KS/s 11b SAR ADC with semi-resting (SR) DAC, cascade-input (CI) comparator, and double rail-to-rail input range is implemented in 90nm CMOS. The SR DAC consumes only 6-13.5% switching energy of the state-of-the art works. The CI comparator consumes only 49% of power and 66% of decision time with an x3 front-stage gain boost. The prototype achieves a SNDR of 58.7dB, an ENOB of 9.46b, a power of 187nW, and a resulting FoM of 0.44fJ/conv.-step.</t>
  </si>
  <si>
    <t>Sung-En Hsieh, Chih-Cheng Hsieh</t>
  </si>
  <si>
    <t>A 125 mW 8.5-11.5 Gb/s Serial Link Transceiver with a Dual Path 6-bit ADC/5-tap DFE Receiver and a 4-tap FFE Transmitter in 28 nm CMOS</t>
  </si>
  <si>
    <t>Bharath Raghavan, Aida Varzaghani, Lakshmi Rao, Henry Park, Xiaochen Yang, Zhi Huang, Yu Chen, Rama Kattamuri, Chunhui Wu, Bo Zhang, Jun Cao, Afshin Momtaz, and Namik Kocaman</t>
  </si>
  <si>
    <t>A 23mW 24GS/s 6b Time-Interleaved Hybrid Two-Step ADC in 28nm CMOS</t>
  </si>
  <si>
    <t>Benwei Xu, Yuan Zhou, and Yun Chiu</t>
  </si>
  <si>
    <t>A 8.2-mW 10-b 1.6-GS/s 4× TI SAR ADC with Fast Reference Charge Neutralization and Background Timing-Skew Calibration in 16-nm CMOS</t>
  </si>
  <si>
    <t>Ying-Zu Lin, Chih-Hou Tsai, Shan-Chih Tsou, Chao-Hsin Lu</t>
  </si>
  <si>
    <t>A 14-bit 2.5GS/s and 5GS/s RF Sampling ADC with Background Calibration and Dither</t>
  </si>
  <si>
    <t>We describe a 14-bit 2.5GS/s non-interleaved pipelined ADC that relies on correlation-based background calibrations to correct the inter-stage gain, settling (dynamic), kick-back and memory errors. A new technique is employed to inject a large dither signal on the input to dither the non-linear kick-back on the ADC driver, and another large dither signal is injected to dither any residual non-linearity in the pipeline. In order to correct the effect of aging on the comparators, a new background calibration technique is employed to correct the comparator offsets. The ADC is fabricated as a dual in a 28nm CMOS process. An optional interleaved mode is provided, where the two ADCs on chip are time-interleaved to obtain a single 14-bit 5GS/s ADC. Background calibration of offset and gain mismatch and fixed calibration of timing mismatch between the two channels are implemented on chip.</t>
  </si>
  <si>
    <t>Ahmed M.A. Ali, Huseyin Dinc, Paritosh Bhoraskar, Scott Puckett, Andy Morgan, Ning Zhu, Qicheng Yu, Chris Dillon, Bryce Gray, Jon Lanford, Matt McShea, Ushma Mehta, Scott Bardsley, Peter Derounian, Ryan Bunch, Ralph Moore and Gerry Taylor</t>
  </si>
  <si>
    <t>A 16-channel Noise-Shaping Machine Learning Analog-Digital Interface</t>
  </si>
  <si>
    <t>Fred N. Buhler, Adam E. Mendrela, Yong Lim, Jeffrey A. Fredenburg and Michael P. Flynn</t>
  </si>
  <si>
    <t>Multi-modal Smart Bio-sensing SoC Platform with &gt;80dB SNR 35μA PPG RX Chain</t>
  </si>
  <si>
    <t>A multi-modal analog front end (AFE) and ultra-low energy bio-sensing CMOS SoC is presented. System/ circuit techniques enable signal path duty cycles as low as sub-1% and result in a 35μA Photo Plethysmography (PPG) RX Chain – 5X lower than published state of the art – while maintaining overall SNR &gt; 80dBFS. The signal chain is adaptively synchronized by an ultra-low power FSM and includes a 1.3μW 14b 1kSPS SAR A/D. Input signal-aware, real-time data path adaptation is achieved by leveraging on-the-fly algorithms running on an external microcontroller (μC) to further reduce system energy. A programmable, asynchronous capacitive reset amplifier (PARCA) with NEF of 4.8 and dx/dt analog feature extractor demonstrate energy efficient ECG capture. A battery-powered, Bluetooth low energy (BLE) based, wearable platform with simultaneous ECG and PPG acquisition using this AFE has been demonstrated.</t>
  </si>
  <si>
    <t>Ajit Sharma, Seung Bae Lee, Arup Polley, Sriram Narayanan, Wen Li, Terry Sculley, Srinath Ramaswamy</t>
  </si>
  <si>
    <t>20110415: Added area data by Marian Verhelst</t>
  </si>
  <si>
    <t>20160712: Update ISSCC 2016 and VLSI 2016</t>
  </si>
  <si>
    <t>A 20GHz-BW 6b 10GS/s 32mW time-interleaved SAR ADC with MasterT&amp;H in 28nm UTBB FDSOI technology</t>
  </si>
  <si>
    <t>Optical communication technology in long-haul and metropolitan links is experiencing a transition to coherent techniques and high spectral efficiency modulation formats such as dual-polarization (DP) QPSK, DP-QAM and OFDM. The combination of coherent demodulation and DSP allows costly optical signal-processing hardware used to compensate fiber optic impairments such as chromatic dispersion (CD) and polarization-mode dispersion (PMD) to be replaced by DSP-based techniques [1]. Economic large-scale deployment of coherent systems requires the integration of the optical transceiver functions in CMOS technology.</t>
  </si>
  <si>
    <t>Jun Cao, Delong Cui, Ali Nazemi, Tim He, Guansheng Li, Burak Catli, Mehdi Khanpour, Kangmin Hu, Tamer Ali, Heng Zhang, Hairong Yu, Ben Rhew, Shiwei Sheng, Yonghyun Shim, Bo Zhang, Afshin Momtaz</t>
  </si>
  <si>
    <t>A pixel-pitch-matched ultrasound receiver for 3D photoacoustic imaging with integrated delta-sigma beamformer in 28nm UTBB FDSOI</t>
  </si>
  <si>
    <t>In Paper 29.2, Broadcom reports the first integrated receiver and transmitter in a 100G coherent DSP chip using 4x64GS/s ADCs and DACs in 20nm CMOS. By supporting 100Gb/s coherent transmission, the overall speed of the transceiver is the fastest among all reported data-converter-based transmitters or receivers.</t>
  </si>
  <si>
    <t xml:space="preserve">Man-Chia Chen, Aldo Peña Perez, Sri-Rajasekhar Kothapalli, Philippe Cathelin, Andreia Cathelin, Sanjiv Sam Gambhir, Boris Murmann </t>
  </si>
  <si>
    <t>In Paper 27.5, Stanford University and STMicroelectronics present a 28nm ultrasound receiver for 3D photoacoustic imaging with the front-end and the modulator integrated within a 250×250µm2 pixel. The beamformer achieves 59.9dB SNR with a 7.4× area reduction over comparable prior-art solutions.</t>
  </si>
  <si>
    <t xml:space="preserve">A Transmitter and Receiver for 100Gb/s Coherent Networks with Integrated 4×64GS/s 8b ADCs and DACs in 20nm CMOS </t>
  </si>
  <si>
    <t>Power includes front-end</t>
  </si>
  <si>
    <t>In Paper 28.1, MediaTek describes a 5MHz BW noise-shaping SAR ADC with a highly efficient dynamicamplifier-based FIR-IIR filter. Built in 28nm technology, the ADC consumes only 0.46mW and achieves a peak SNDR of 79.7dB with a Schreier FoM of 180.1dB.</t>
  </si>
  <si>
    <t>In Paper 28.2, the University of Florida presents a 4th-order continuous-time delta-sigma modulator, employing a double noise-shaping quantizer, which incorporates both noise-shaped integrating and gated ring oscillator techniques. The prototype in 0.13μm CMOS consumes 11.4mW and exhibits 80.4dB peak SNDR over 15MHz BW.</t>
  </si>
  <si>
    <t xml:space="preserve">A 0.46mW 5MHz-BW 79.7dB-SNDR Noise-Shaping SAR ADC with Dynamic-Amplifier-Based FIR-IIR Filter </t>
  </si>
  <si>
    <t xml:space="preserve">An 11.4mW 80.4dB-SNDR 15MHz-BW CT Delta-Sigma Modulator Using 6b Double-Noise-Shaped Quantizer </t>
  </si>
  <si>
    <t xml:space="preserve">A 125MHz-BW 71.9dB-SNDR VCO-Based CT ΔΣ ADC with Segmented Phase-Domain ELD Compensation in 16nm CMOS </t>
  </si>
  <si>
    <t xml:space="preserve">In Paper 28.3, MediaTek introduces a phase-domain excess-loop-delay compensation technique using a 128state segmented rotator in a VCO-based continuous-time delta-sigma modulator to achieve 125MHz BW. Fabricated in 16nm CMOS, this ADC achieves 74.8dB/-80dBc DR/THD with a FOMw of 67.2fJ/conv-step. </t>
  </si>
  <si>
    <t>Chun-Cheng Liu, Mu-Chen Huang</t>
  </si>
  <si>
    <t xml:space="preserve">Taewook Kim, Changsok Han, and Nima Maghari </t>
  </si>
  <si>
    <t>A 12b 330MS/s Pipelined-SAR ADC with PVT-Stabilized Dynamic Amplifier Achieving &lt;1dB SNDR Variation</t>
  </si>
  <si>
    <t xml:space="preserve">In Paper 28.4, the University of Texas at Dallas proposes a PVT-stabilized dynamic amplification technique for stable residue generation in a 12b 330MS/s pipelined-SAR ADC. The measured SNDR variation is less than 1dB for supply voltages from 1.25V to 1.35V and temperatures from -5°C to 85°C. </t>
  </si>
  <si>
    <t>Lukas Kull, Danny Luu, Christian Menolfi, Matthias Braendli, Pier Andrea Francese, Thomas Morf, Marcel Kossel, Hazar Yueksel, Alessandro Cevrero, IlterOzkaya, Thomas Toifl</t>
  </si>
  <si>
    <t xml:space="preserve">Hongda Xu, Yongda Cai, Ling Du, Yuan Zhou, Benwei Xu, Datao Gong, Jingbo Ye, and Yun Chiu </t>
  </si>
  <si>
    <t xml:space="preserve">Kentaro Yoshioka, Tomohiko Sugimoto, Naoya Waki, Sinnyoung Kim, Daisuke Kurose, Hirotomo Ishii, Masanori Furuta, Akihide Sai and Tetsuro Itakura </t>
  </si>
  <si>
    <t>Sheng-Jui Huang, Nathan Egan, Divya Kesharwani, Frank Opteynde, Michael Ashburn</t>
  </si>
  <si>
    <t>Hai Huang, Sudipta Sarkar, Brian Elies, and Yun Chiu</t>
  </si>
  <si>
    <t xml:space="preserve">A 10b 1.5GS/s Pipelined-SAR ADC with Background Second-Stage Common-Mode Regulation and Offset Calibration in 14nm CMOS FinFET </t>
  </si>
  <si>
    <t xml:space="preserve">A 0.7V 12b 160MS/s 12.8fJ/conv-step Pipelined-SAR ADC in 28nm CMOS with Digital Amplifier Technique </t>
  </si>
  <si>
    <t xml:space="preserve">In Paper 28.7, Toshiba describes a digital amplifier technique to cancel out all the errors from the low-gain residue amplifier. The 28nm 12b 160MS/s pipelined-SAR ADC employing the proposed technique achieves a 61.1dB SNDR at Nyquist while dissipating 1.9mW from a 0.7V power supply. </t>
  </si>
  <si>
    <t>A 78.5dB-SNDR Radiation- and Metastability-Tolerant Two-Step Split SAR ADC Operating up to 75MS/s with 24.9mW Power Consumption in 65nm CMOS</t>
  </si>
  <si>
    <t>Numbers w/o chop</t>
  </si>
  <si>
    <t xml:space="preserve">In Paper 28.6, the University of Texas at Dallas introduces a 5MS/s two-step split SAR ADC, incorporating single event effect error-detection techniques to achieve a 100% error-correction rate in an irradiation test with proton beams. The 65nm CMOS prototype demonstrates a 78.5dB peak SNDR and over 100dB peak SFDR at 35MS/s and consumes 24.9mW at 75MS/s. </t>
  </si>
  <si>
    <t>A 2x Time-Interleaved FATI SAR ADC with background offset and timing skew calibration is implement in a 45nm CMOS. A proposed folding-flash ADC employing designated comparators with dual-sampler and multiple-latches reduces power and hardware burden. Periodic time skew calibration scheme that references a divided external clock is introduced. The ADC achieves 9 ENOB from the 10b design at 1.6GS/s, achieving FoMNyq of 21fJ/conversion-step.</t>
  </si>
  <si>
    <t>A 13b 4GS/s Digitally Assisted Dynamic 3-Stage Asynchronous Pipelined-SAR ADC</t>
  </si>
  <si>
    <t>In Paper 16.1, Xilinx presents a 13b 4GS/s asynchronous pipelined SAR ADC in 16nm CMOS. The ADC features multiple on-chip calibration loops that enable the use of open-loop integrator-based amplifiers thus achieving 57.3dB SNDR for a 1.9GHz input signal.</t>
  </si>
  <si>
    <t>Bruno Vaz, Adrian Lynam, Bob Verbruggen, Asma Laraba, Conrado Mesadri, Ali Boumaalif, John Mcgrath, Umanath Kamath, Ronnie De Le Torre, Alvin Manlapat, Daire Breathnach, Christophe Erdmann, Brendan Farley</t>
  </si>
  <si>
    <t xml:space="preserve">A 9GS/s 1GHz-BW Oversampled Continuous-Time Pipeline ADC Achieving -161dBFS/Hz NSD </t>
  </si>
  <si>
    <t>In Paper 16.2, Analog Devices introduces a 9GS/s 1GHz-BW oversampled continuous-time pipeline ADC in 28nm CMOS. This new ADC architecture simultaneously achieves the wide bandwidth of a pipeline ADC and the antialiasing properties of a continuous-time oversampled converter, reaching a -161dBFS/Hz NSD.</t>
  </si>
  <si>
    <t>A 5mW 7b 2.4GS/s 1-then-2b/cycle SAR ADC with Background Offset Calibration</t>
  </si>
  <si>
    <t>In Paper 16.4, the University of Macau presents a 7b, 2.4GS/s SAR ADC in 28nm CMOS. The 1b-then-2b/cycle algorithm skips the DAC operation during the first cycle and enables background calibration of the comparator offsets, leading to a power consumption of 5mW.</t>
  </si>
  <si>
    <t xml:space="preserve">An 8GS/s Time-Interleaved SAR ADC with Unresolved Decision Detection Achieving -58dBFS Noise and 4GHz Bandwidth in 28nm CMOS </t>
  </si>
  <si>
    <t>In Paper 16.5, Keysight Technologies introduces an 8GS/s SAR ADC with 4GHz bandwidth in 28nm CMOS achieving 60.3dB SFDR at 3.8GHz input. Detecting late comparator decisions lowers power consumption to 300mW while allowing for improved resolution and metastability error rate.</t>
  </si>
  <si>
    <t xml:space="preserve">A 12b 10GS/s Interleaved Pipeline ADC in 28nm CMOS Technology </t>
  </si>
  <si>
    <t>In Paper 16.7, Analog Devices describes a 12b pipeline ADC in 28nm CMOS sampling at 10GS/s, that incorporates multiple circuit, interleaving, calibration and randomization techniques. The ADC achieves 64dB SFDR and 55dB SNDR for a 4GHz input signal while consuming 2.9W.</t>
  </si>
  <si>
    <t>Hajime Shibata, Victor Kozlov, Zexi Ji, Asha Ganesan, Haiyang Zhu, and Donald Paterson</t>
  </si>
  <si>
    <t>Chi-Hang Chan, Yan Zhu, Iok-MengHo, WaiHong Zhang, Seng-Pan U2,3, RuiPaulo Martins</t>
  </si>
  <si>
    <t xml:space="preserve">John P. Keane, Nathaniel J. Guilar, DusanStepanovic, Bernd Wuppermann, Charles Wu, CheongyuenW. Tsang, Robert Neff, Ken Nishimura </t>
  </si>
  <si>
    <t>S. Devarajan, L. Singer, D. Kelly, S. Kosic, T. Pan, J. Silva, J. Brunsilius, D. Rey-Losada, F. Murden, C. Speir, J. Bray, E. Otte, N. Rakuljic, P. Brown, T. Weigandt, Q. Yu, D. Paterson, C. Petersen, J. Gealow</t>
  </si>
  <si>
    <t>A 12nW Always-On Acoustic Sensing and Object Recognition Microsystem using Frequency-Domain Feature Extraction and SVM Classification</t>
  </si>
  <si>
    <t>Seokhyeon Jeong, Yu Chen, Julius Tsai, Taekwang Jang, David Blaauw, Hun-Seok Kim, Dennis Sylvester</t>
  </si>
  <si>
    <t>In Paper 21.6, the University of Michigan, Ann Arbor presents an ultra-low power acoustic sensing and object recognition microsystems for IoT applications. An ultra-low power 8b SAR-ADC with 50fF input capacitance enables a frontend amplifier with nW-level power consumption. A serialized discrete Fourier transform feature extraction is performed in a digital back-end, replacing a high-power/area-consuming conventional FFT. The overall system consumes 12nW while successfully identifying the target objects with better than 95% accuracy.</t>
  </si>
  <si>
    <t>A 4.2mW 10MHz BW 74.4dB SNDR Fourth-Order CT DSM with Second-Order Digital Noise Coupling Utilizing an 8b SAR ADC</t>
  </si>
  <si>
    <t>I.-H. Jang, M.-J. Seo, M.-Y. Kim, J.-K. Lee, S.-Y. Baek, S.-W. Kwon, M. Choi, H.-J. Ko and S.-T. Ryu</t>
  </si>
  <si>
    <t>S. Li and N. Sun</t>
  </si>
  <si>
    <t xml:space="preserve">A 5GS/s 156MHz BW 70dB DR Continuous-Time Sigma-Delta Modulator with TimeInterleaved Reference Data-Weighted Averaging </t>
  </si>
  <si>
    <t>M. B. Dayanik, D. Weyer and M. P. Flynn</t>
  </si>
  <si>
    <t xml:space="preserve">A 55μW 93.1dB-DR 20kHz-BW Single-Bit CT ΔΣ Modulator with Negative R-Assisted Integrator Achieving 178.7dB FoM in 65nm CMOS </t>
  </si>
  <si>
    <t>M. Jang, S. Lee and Y. Chae</t>
  </si>
  <si>
    <t xml:space="preserve">A compact and low-power digital-domain noise coupling technique is proposed for higher-order CT DSM implementation, exploiting the architectural advantage of a SAR ADC and a simple digital filter. With an 8b SAR ADC and a second-order digital noise coupling filter, a prototype fourth-order DSM achieves 74.4dB SNDR for 10MHz BW with an OSR of 16 in a 28nm CMOS, showing an FoMS_DR of 174.5dB. </t>
  </si>
  <si>
    <t>Conventional dynamic element matching limits the continuous time ΣΔ ADC architecture at high speeds. This work introduces a Time-Interleaved Reference DataWeighted-Averaging (TI-RDWA) architecture that breaks the speed limitation of the traditional DEM decoder. Timeinterleaving eliminates the reference voltage settling bottleneck, enabling DWA operation at 5GHz, while still achieving the benefits of first order shaping of feedback DAC mismatch. The prototype 5GS/s ADC has 70dB and 84dB measured dynamic range and SFDR, respectively, in a 156MHz bandwidth. TI-RDWA improves SFDR by 17dB. The 40nm CMOS prototype consumes 233mW.</t>
  </si>
  <si>
    <t>20170801: Update ISSCC 2017 and VLSI 2017</t>
  </si>
  <si>
    <t>A 16nm 69dB SNDR 300MSps ADC with Capacitive Reference Stabilization</t>
  </si>
  <si>
    <t>A 9.1 ENOB 21.7fJ/conversion-step 10b 500MS/s Single-Channel Pipelined SAR ADC with a Current-Mode Fine ADC in 28nm CMOS</t>
  </si>
  <si>
    <t>A Single-Channel, 600Msps, 12bit, Ringamp-Based Pipelined ADC in 28nm CMOS</t>
  </si>
  <si>
    <t>A Calibration-Free 2.3 mW 73.2 dB SNDR 15b 100 MS/s Four-Stage Fully Differential Ring Amplifier Based SAR-Assisted Pipeline ADC</t>
  </si>
  <si>
    <t>E. Martens, B. Hershberg and J. Craninckx</t>
  </si>
  <si>
    <t>K.-J. Moon, H.-W. Kang, D.-S. Jo, M.-Y. Kim, S.-Y. Baek, M. Choi, H.-J. Ko and S.-T. Ryu</t>
  </si>
  <si>
    <t>J. Lagos, B. Hershberg, E. Martens, P. Wambacq and J. Craninckx</t>
  </si>
  <si>
    <t>Y. Lim and M. P. Flynn</t>
  </si>
  <si>
    <t>We present a 300 MSps 2 times interleaved pipelined SAR ADC in 16nm digital CMOS. It implements a new scheme to cancel reference voltage ripple due to DAC switching, greatly reducing requirements for decoupling capacitance and/or reference buffering, and achieves better than 76dB harmonic distortion. At 300 MSps, the peak ENOB is 11.2 bit with a power consumption of 3.6mW.</t>
  </si>
  <si>
    <t>A single-channel 10b pipelined SAR ADC with a gm-cell residue amplifier and a current-mode fine SAR ADC achieves a 500MS/s conversion rate in a 28nm CMOS process under a 1.0V supply. With background offset and gain calibration, the prototype ADC achieves an SNDR of 56.6dB at Nyquist. With power consumption of 6mW, it obtains a FoM of 21.7fJ/conversion-step.</t>
  </si>
  <si>
    <t>A pipelined ADC is presented that exploits the low but very constant (over output swing) open-loop gain characteristic of the ring amplifier (ringamp) to achieve high SFDR in low voltage nanoscale CMOS designs. A dynamic ringamp biasing scheme using CMOS resistors and an active ringamp-based common-mode feedback (CMFB) are also introduced. The
implemented prototype achieves 56.3dB SNDR and 69.2dB SFDR at 600Msps, consuming 14.2mW from a 0.9V supply, resulting in a Figure-of-Merit (FoM) of 44.3fJ/conv.-step.</t>
  </si>
  <si>
    <t>A four-stage fully differential ring amplifier in 40 nm CMOS improves gain to over 90 dB without compromising speed. It is applied in a 15b, 100 MS/s calibration-free SAR-assisted pipeline ADC. In addition, a new auto-zero noise filtering method reduces noise without consuming additional power. The ADC achieves 73.2 dB SNDR (11.9b) and 90.4 dB SFDR with a 1.1 V supply. It consumes 2.3 mW resulting in a SNDR based Schreier FoM of 176.6 dB.</t>
  </si>
  <si>
    <t>A 2.4-mW 25-MHz BW 300-MS/s Passive Noise Shaping SAR ADC with Noise Quantizer Technique in 14-nm CMOS</t>
  </si>
  <si>
    <t>A 13b-ENOB 173dB-FoM 2nd -Order NS SAR ADC with Passive Integrators</t>
  </si>
  <si>
    <t>A 510nW 12-bit 200kS/s SAR-Assisted SAR ADC Using a Re-Switching Technique</t>
  </si>
  <si>
    <t>A 107 dB SFDR, 80 kS/s Nyquist-Rate SAR ADC Using a Hybrid Capacitive and Incremental ΣΔ DAC</t>
  </si>
  <si>
    <t>A. AlMarashli, J. Anders, J. Becker and M. Ortmanns</t>
  </si>
  <si>
    <t>Y.-S. Hu, K.-Y. Lin and H.-S. Chen</t>
  </si>
  <si>
    <t>W. Guo, H. Zhuang and N. Sun</t>
  </si>
  <si>
    <t>Y.-Z. Lin, C.-H. Tsai, S.-C. Tsou, R.-X. Chu and C.-H. Lu</t>
  </si>
  <si>
    <t>This paper presents a SAR ADC using passive noise shaping and noise quantizer techniques. A ping-pong residue switching enables noise shaping at high sampling rate. The prototype  n 14 nm achieves 69-dB SNDR at 25-MHz BW and 300 MS/s. The FOMS and FOMW are 169 dB and 20.5 fJ/conv.-step, respectively. With noise shaping only, the SNDR is 66.2 dB at 33-MHz BW and 400 MS/s.</t>
  </si>
  <si>
    <t>This paper presents a low-power 2nd-order noise-shaping (NS) SAR ADC. Instead of using power-hungry op-amps, it uses switches and capacitors to make passive integrators for noise shaping. The overall architecture is simple and the NS order can be easily reconfigured from 0 to 2. A prototype chip is fabricated in a 40nm CMOS process. With 2nd-order NS, the chip consumes 143uW power at 1.1V and 8.4MS/s. At an OSR of 16, SNDR is 80dB and the Schreier FoM is 173dB.</t>
  </si>
  <si>
    <t>This paper presents a 510nW 12-bit 200kS/s SAR-assisted SAR ADC in 40nm CMOS at 0.7V supply. A re-switching technique is proposed to suppress DNL spikes so that the size of DAC capacitor array can be minimized to reduce switching energy. A set of 2-way charge pump is used to decrease settling time constant and to increase sampling linearity. The prototype ADC achieves the DNL/INL performance of 0.5/0.79 LSB. Its SNDR and SFDR at Nyquist rate are 69.1dB and 81.72dB, respectively. It results in an FoMS of 182dB and an FoMW of 1.1fJ/c.-s.</t>
  </si>
  <si>
    <t>SAR, Pipe</t>
  </si>
  <si>
    <t>A 12b 61dB SNDR 300MS/s SAR ADC with Inverter-Based Preamplifier and Common-Mode-Regulation DAC in 14nm CMOS FinFET</t>
  </si>
  <si>
    <t>An 18-Bit 2MS/s Pipelined SAR ADC Utilizing a Sampling Distortion Cancellation Circuit with -107dB THD at 100kHz</t>
  </si>
  <si>
    <t>A 16-Bit 16MS/s SAR ADC with On-Chip Calibration in 55nm CMOS</t>
  </si>
  <si>
    <t>A 2GS/s 8b Flash ADC Based on Remainder Number System in 65nm CMOS</t>
  </si>
  <si>
    <t>D. Luu, L. Kull, T. Toifl, C. Menolfi, M. Braendli, P. A. Francese, T. Morf, M. Kossel, H. Yueksel, A. Cevrero, I. Ozkaya and Q. Huang</t>
  </si>
  <si>
    <t>L. Luo, S. Chen, M. Zhou and T. Ye</t>
  </si>
  <si>
    <t>D. Hummerston and P. Hurrell</t>
  </si>
  <si>
    <t>J. Shen, A. Shikata, L. Fernando, N. Guthrie, B. Chen, M. Maddox, N. Mascarenhas, R. Kapusta and M. Coln</t>
  </si>
  <si>
    <t>S. Zhu, B. Wu, Y. Cai and Y. Chiu</t>
  </si>
  <si>
    <t xml:space="preserve">A 300MS/s 12b SAR ADC achieving 61.6dB peak SNDR is presented. It reaches 60.5dB SNDR and 78.7dB SFDR with 0.8Vpp,diff input amplitude at Nyquist. The key elements are a comparator with inverter-based preamplifier and a SAR-based common-mode regulation. The regulation adjusts the common mode on a sample-by-sample basis to improve  ommon-mode rejection. The ADC consumes 7.0mW from a single 0.85V supply, where 3.7mW is contributed by the reference buffer. </t>
  </si>
  <si>
    <t xml:space="preserve">This paper presents an 18-bit SAR ADC capable of -107dB THD for a 10V pk to pk 100kHz input. Distortion originating from the input switch’s nonlinear on-resistance is cancelled by sampling the input onto two separate capacitor arrays, whose components are scaled to give the same nonlinear charge error, and then subtracting this charge during conversion. The new sampling scheme can support event-driven sampling, requires no active circuits and draws zero quiescent power. </t>
  </si>
  <si>
    <t>Hongxing Li, Mark Maddox, Michael C. W. Coln, William Buckley, Derek Hummerston, Naveed Naeem</t>
  </si>
  <si>
    <t>In Paper 14.7, Analog Devices introduces a signal independent background calibration technique to achieve 0.3ppm INL in a 20b 1MS/s pipelined SAR ADC in 0.18μm CMOS. The double conversion calibration settles to 0.25ppm within 100k samples, resulting in 101.5dB SNDR with a 5V reference.</t>
  </si>
  <si>
    <t>A Signal-Independent Background-Calibrating 20b 1MS/s SAR ADC with 0.3ppm INL</t>
  </si>
  <si>
    <t>In Paper 14.6, National Tsing Hua University proposes a single-path time-domain voltage-controlled delay line for use in a coarse SAR comparator and a fine incremental delta-sigma integrator to realize a 13b ADC. Power consumption is only 638nW at 270kS/s with 11.9b ENOB.</t>
  </si>
  <si>
    <t>A 0.4V 13b 270kS/s SAR-ISDM ADC with an Opamp-Less Time-Domain Integrator</t>
  </si>
  <si>
    <t>Shoubhik Karmakar, Burak Gönen, Fabio Sebastiano, Robert Van Veldhoven, Kofi A. A. Makinwa</t>
  </si>
  <si>
    <t>In Paper 14.5, Delft University of Technology presents a dynamic zoom ADC with a high-speed asynchronous SAR that works in tandem with a delta-sigma. Fabricated in 0.16μm CMOS, the ADC reaches 118dB SNDR in a 1kHz bandwidth while consuming 280uW.</t>
  </si>
  <si>
    <t>A 280μW Dynamic-Zoom ADC with 120dB DR and 118dB SNDR in 1kHz BW</t>
  </si>
  <si>
    <t>Patrick Vogelmann, Michael Haas, Maurits Ortmanns</t>
  </si>
  <si>
    <t>In Paper 14.4, the University of Ulm introduces an integrator slicing technique in an incremental delta-sigma ADC that allows for improved noise and power tradeoffs in the front-end integrator stages. The 200kS/s prototype in 0.18μm CMOS achieves 91.5dB dynamic range and 1.1mW.</t>
  </si>
  <si>
    <t>A 1.1mW 200kS/s Incremental ΔΣ ADC with a DR of 91.5dB Using Integrator Slicing for Dynamic Power Reduction</t>
  </si>
  <si>
    <t>Shaolan Li, Bo Qiao, Miguel Gandara, Nan Sun</t>
  </si>
  <si>
    <t>In Paper 14.3, the University of Texas at Austin proposes an error feedback structure with a passive FIR and re-used comparator to realize complex noise transfer function zeros in a noise-shaping SAR ADC.
Clocked at 10MHz, the 40nm ADC realizes 79dB SNDR in 625kHz bandwidth and consumes 84uW.</t>
  </si>
  <si>
    <t>A 13-ENOB 2nd-Order Noise-Shaping SAR ADC Realizing Optimized NTF Zeros Using an Error-Feedback Structure</t>
  </si>
  <si>
    <t>Hariprasad Chandrakumar, Dejan Marković</t>
  </si>
  <si>
    <t>In Paper 14.2, the University of California, Los Angeles describes a capacitively coupled continuous-time delta-sigma ADC for a neural recording front-end in 40nm CMOS. Chopping and linearity enhancement techniques are key to demonstrating 15.2b-ENOB with only 4.5uW in 5kHz bandwidth.</t>
  </si>
  <si>
    <t>A 15.2-ENOB Continuous-Time ΔΣ ADC for a 7.3μW 200mVpp-Linear-Input-Range Neural Recording Front-End</t>
  </si>
  <si>
    <t>Tao He, Michael Ashburn, Stacy Ho, Yi Zhang, Gabor Temes</t>
  </si>
  <si>
    <t>In Paper 14.1, Oregon State University and MediaTek present an efficient dynamic error correction technique for an NRZ feedback DAC in a  ntinuous-time delta-sigma ADC. The 28nm ADC achieves 80dB SNDR in a 50MHz bandwidth while consuming 64.3mW.</t>
  </si>
  <si>
    <t>A 50MHz-BW Continuous-Time ΔΣ ADC with Dynamic Error Correction Achieving 79.8dB SNDR and 95.2dB SFDR</t>
  </si>
  <si>
    <t>Calibration power 4uW not included</t>
  </si>
  <si>
    <t>Incremental, SDSC</t>
  </si>
  <si>
    <t>Power includes cal engine</t>
  </si>
  <si>
    <t>A 24-to-72GS/s 8b Time-Interleaved SAR ADC with 2.0-to-3.3pJ/conversion and &gt;30dB SNDR at Nyquist in 14nm CMOS FinFET</t>
  </si>
  <si>
    <t>This ADC employs hierarchical interleaving with 16 parallel sampling switches each driving 4 sub ADCs. The 64 asynchronous 8b SAR ADCs use separate comparators per bit and are extensively calibrated for offset, gain and timing errors.</t>
  </si>
  <si>
    <t>Lukas Kull, Danny Luu, Christian Menolfi, Matthias Braendli, Pier Andrea Francese, Thomas Morf, Marcel Kossel, Alessandro Cevrero, Ilter Ozkaya, Thomas Toifl</t>
  </si>
  <si>
    <t>A 20ch TDC/ADC Hybrid SoC for 240×96-Pixel 10%-Reflection &lt;0.125%-Precision 200m-Range Imaging LiDAR with Smart Accumulation Technique</t>
  </si>
  <si>
    <t>In Paper 5.7, Toshiba presents a TDC/ADC hybrid LiDAR SoC with a smart accumulation technique (SAT) to achieve 200m range imaging with 240×90 pixel resolution for reliable self-driving systems. The SAT using ADC information enhances the effective pixel resolution with an accumulation activated by recognizing only the target reflection, while the hybrid architecture enables a wide measurement range from 0 to 200m.</t>
  </si>
  <si>
    <t>Kentaro Yoshioka, Hiroshi Kubota, Tomonori Fukushima, Satoshi Kondo, Tuan Thanh Ta, Hidenori Okuni, Kaori Watanabe, Yoshinari Ojima, Katsuyuki Kimura, Sohichiroh Hosoda, Yutaka Oota, Tomohiro Koizumi, Naoyuki Kawabe, Yasuhiro Ishii, Yoichiro Iwagami, Seitaro Yagi, Isao Fujisawa, Nobuo Kano, Tomohiro Sugimoto, Daisuke Kurose, Naoya Waki, Yumi Higashi, Tetsuya Nakamura, Yoshikazu Nagashima, Hirotomo Ishii, Akihide Sai, Nobu Matsumoto</t>
  </si>
  <si>
    <t>Ali Fazli Yeknami, Xiaoyang Wang, Somayeh Imani, Ali Nikoofard, Itthipon Jeerapan, Joseph Wang, Patrick P. Mercier</t>
  </si>
  <si>
    <t>A 0.3V Biofuel-Cell-Powered Glucose/Lactate Biosensing System Employing a 180nW 64dB SNR Passive ΔΣ ADC and a 920MHz Wireless Transmitter</t>
  </si>
  <si>
    <t>In Paper 17.3, the University of California, San Diego demonstrates a wireless biosensing system powered directly by a Glucose/Lactate biofuel cell without a DC-DC converter. Operating at 0.3V, the presented chip includes an dutycycled maximum power point tracker, a 180nW 64dB SNR passive ΔΣ ADC, and a 30pJ/b 920MHz transmitter.</t>
  </si>
  <si>
    <t>Maged El Ansary, Nima Soltani, Hossein Kassiri, Ruben Machado, Suzie Dufou, Peter L. Carlen, Michael Thompson, Roman Genov</t>
  </si>
  <si>
    <t>50nW 5kHz-BW Opamp-Less ΔΣ Impedance Analyzer for Brain Neurochemistry Monitoring</t>
  </si>
  <si>
    <t>In Paper 17.5, the University of Toronto and the Toronto Western Hospital present a 12-channel potentiostat IC sensing K+ ions concentration in vivo by computing the impedance on the surface of biofouling-resistant label-free potassium-sensitive chemically functionalized microelectrodes. The 50nW, 5kHz-BW opamp-less ΔΣ ADC performs 19.5fJ/conv at an ENOB of 8bits, and is validated in a mouse model.</t>
  </si>
  <si>
    <t>A 0.13μm CMOS SoC for Simultaneous Multichannel Optogenetics and Electrophysiological Brain Recording</t>
  </si>
  <si>
    <t>In Paper 29.4, Laval University presents a 0.13μm CMOS IC for simultaneous multichannel optogenetics and electrophysiological brain recording with 10 multimodal recording channels (NEF of 2.30) with ADC, and a 4-channel LED driver circuit. Digitization is done using an in-channel 8.68b ENOB ΔΣ MASH 1-1-1
ADC with on-chip decimation including AFE, with power consumption of 11.2μW per channel.</t>
  </si>
  <si>
    <t>Gabriel Gagnon-Turcotte, Christian Ethier, Yves De Koninck, Benoit Gosselin</t>
  </si>
  <si>
    <t>In Paper 29.6, the University of California San Diego presents a 16-channel 92dB input dynamic range, low-noise, low-power neural-recording acquisition system employing predictive digital auto-ranging (PDA) in 0.8V 65nm CMOS. Per-channel ADC with PDA offers a 22dB increase in input dynamic range and 30×
improvement in bandwidth and faster than 1ms recovery to 100mV input differential transient artifacts, with noise below 1μVrms over DC-to-500Hz bandwidth at 32kHz chopping and 1μA supply current.</t>
  </si>
  <si>
    <t>A 92dB Dynamic Range Sub-μVrms-Noise 0.8μW/ch Neural-Recording ADC Array with Predictive Digital Autoranging</t>
  </si>
  <si>
    <t>Chul Kim, Siddharth Joshi, Hristos Courellis, Jun Wang, Cory Miller, Gert Cauwenberghs</t>
  </si>
  <si>
    <t>20180519: Update ISSCC 2018, some data corrections</t>
  </si>
  <si>
    <t>Picked 20GHz as HF input frequency for direct comparison with 2014 paper by same author</t>
  </si>
  <si>
    <t>A 12-bit 31.1uW 1MS/s SAR ADC with on-chip inputsignal-independent calibration achieving 100.4dB SFDR is presented. The proposed calibration overcomes the drawbacks of the traditional split-ADC calibration while obtaining very fast convergence. The calibration only needs one ADC and is input signal independent. Three techniques are proposed to help achieve this, including shuffling of mismatched MSB capacitors. Silicon results fully validated the design and show 16-bit linearity with only 256fF total sampling capacitance.</t>
  </si>
  <si>
    <t>Junhua Shen, Akira Shikata, Anping Liu, and Frederick Chalifoux</t>
  </si>
  <si>
    <t>A 12-bit 31.1uW 1MS/s SAR ADC with On-Chip Input-Signal-Independent Calibration Achieving 100.4dB SFDR using 256fF Sampling Capacitance</t>
  </si>
  <si>
    <t>A 0.5-1.1V 10b Adaptive Bypassing SAR ADC Utilizing Oscillation Cycle Information of VCO-based Comparator</t>
  </si>
  <si>
    <t>VCO-based comparators generate both bit decisions as well as oscillation cycle information, whereas the latter has not been exploited in SAR ADCs. This work presents a SAR ADC using oscillation cycle as the  thresholds for multiple bypass windows, which improves energy efficiency. PVT-induced variations are compensated by adaptive windowing. The implemented 40nm ADC is robust under wide supply voltages ranging 0.5-1.1V with 9.71b peak ENOB at 1.1V and 2.4fJ/c.-s. lowest FoM at 0.5V without any tuning.</t>
  </si>
  <si>
    <t>Zhaoming Ding, Xiong Zhou, Qiang Li</t>
  </si>
  <si>
    <t>A 2.3-mW, 950-MHz, 8-bit Fully-Time-Based Subranging ADC Using Highly-Linear Dynamic VTC</t>
  </si>
  <si>
    <t>Kenichi Ohhata</t>
  </si>
  <si>
    <t xml:space="preserve">A novel fully-time-based subranging analog-to-digital converter (ADC) is proposed. Two time-based ADCs (TB ADCs) are used for both coarse and fine ADCs, resulting in low power operation. They were pipelined  to enhance the sampling frequency. Highly-linear voltage-to-time converter (HL VTC) is also proposed to ensure a wide input range for the coarse ADC. Moreover, the interpolation time-to-digital converter (TDC)  with a dynamic delayer enables low-power operation. An 8-bit test chip fabricated with 65-nm CMOS technology had power dissipation of 2.3 mW at 950 MS/s. The figure of merit was 16.0 fJ/conversion step. </t>
  </si>
  <si>
    <t>A &gt;3GHz ERBW 1.1GS/s 8b Two-Step SAR ADC with Recursive-Weight DAC</t>
  </si>
  <si>
    <t>Two-step, SAR</t>
  </si>
  <si>
    <t>20180716: Update VLSI 2018, some data corrections</t>
  </si>
  <si>
    <t>A 13bit 5GS/s ADC with time-interleaved chopping calibration in 16nm FinFET</t>
  </si>
  <si>
    <t>A 13bit 5GS/s time-interleaved ADC is described which uses a chopping technique to reduce the effect of interleaved flicker noise spectral artefacts and to increase the ADC immunity to input signal  characteristics. Enhanced offset and time-skew calibration algorithms are developed to maximize the performance in the presence of non-ideal sampling switches. At 5GS/s, the ADC dissipates 641mW while achieving a 62dB and 57dB of SFDR and SNDR respectively while maintaining a SFDR excluding HD2 and HD3 better than 70dBc across the first Nyquist band for input amplitudes down to -20dBFS.</t>
  </si>
  <si>
    <t>Bruno Vaz, Bob Verbruggen, Christophe Erdmann, Diarmuid Collins, John Mcgrath, Ali Boumaalif, Edward Cullen, Darragh Walsh, Alonso Morgado, Conrado Mesadri, Brian Long, Rajitha Pathepuram, Ronnie De La Torre, Alvin Manlapat, Georgios Karyotis, Dimitris Tsaliagos, Patrick Lynch, Peng Lim, Daire Breathnach and Brendan Farley</t>
  </si>
  <si>
    <t>Power &amp; area includes cal.</t>
  </si>
  <si>
    <t>A 1.2V 68μW 98.2dB-DR Audio Continuous-Time Delta-Sigma Modulator</t>
  </si>
  <si>
    <t>Changwook Lee, MoonHyung Jang, and Youngcheol Chae</t>
  </si>
  <si>
    <t>Jiaxin Liu, Shaolan Li, Wenjuan Guo, Guangjun Wen and Nan Sun</t>
  </si>
  <si>
    <t>A 77dB SNDR 12.5MHz Bandwidth 0-1 MASH ΣΔ ADC Based on the Pipelined-SAR Structure</t>
  </si>
  <si>
    <t>This paper presents a wide-band and energy-efficient 0-1 MASH ΣΔ ADC which is realized based on the pipelined-SAR structure. Composed by a 6b SAR ADC in the 1st-stage and a 5b SAR ADC in the 2nd-stage, with alternate loading capacitors (ALC) reused for error feedback, it realizes an ideal 1st-order noise shaping while simultaneously maintaining a high-speed pipeline operation. Fabricated in 65nm  CMOS, the prototype consumes 4.5mW from a 1.2V supply with 77dB SNDR over 12.5MHz bandwidth, leading to a 171.5dB Schreier FoM.</t>
  </si>
  <si>
    <t>Yan Song, Yan Zhu, Chi-Hang Chan, Li Geng and Rui Paulo Martins</t>
  </si>
  <si>
    <t>SDSC, Pipe, SAR</t>
  </si>
  <si>
    <t>A 1.25MS/s Two-Step Incremental ADC with 100dB DR and 110dB SFDR</t>
  </si>
  <si>
    <t>Takato Katayama, Shiko Miyashita, Kazuki Sobue, Koichi Hamashita</t>
  </si>
  <si>
    <t>A 550μW 20kHz BW 100.8dB SNDR Linear-Exponential Multi-Bit Incremental Converter with 256-cycles in 65nm CMOS</t>
  </si>
  <si>
    <t>A 10-bit 20-40 GS/s ADC with 37 dB SNDR at 40 GHz Input using First Order Sampling Bandwidth Calibration</t>
  </si>
  <si>
    <t>Biao Wang, Sai-Weng Sin, Seng-Pan U, Franco Maloberti, R. P. Martins</t>
  </si>
  <si>
    <t>Lukas Kull, Danny Luu, Christian Menolfi, Thomas Morf, Pier Andrea Francese, Matthias Braendli, Marcel Kossel, Alessandro Cevrero, Ilter Ozkaya, Thomas Toifl</t>
  </si>
  <si>
    <t>A 6.5μW 92.3dB-DR Biopotential-Recording Front-End with 360mVpp Linear Input Range</t>
  </si>
  <si>
    <t>This paper presents a direct-digital-conversion biopotentialrecording front-end with 92.3dB dynamic range at an input range of 360mVpp. The proposed front-end is a capacitively -coupled 3rd-order Gm-C CT ΔΣM with a 5-bit SAR quantizer. The capacitively-coupled summing circuit increases linearity of the ΔΣM, and a 3rd-order Gm-C loop filter and a 5-bit SAR ADC reduces quantization noise level. The proposed front-end is fabricated in 0.18μm CMOS, and achieves 91.3dB SNDR and 1.8μVrms input-referred noise over 100Hz BW. Also, an invitro LFP recording is performed to verify the front-end.</t>
  </si>
  <si>
    <t>Jun-Suk Bang, Hyuntak Jeon, Minkyu Je, Gyu-Hyeong Cho</t>
  </si>
  <si>
    <r>
      <t>A. Agah*</t>
    </r>
    <r>
      <rPr>
        <vertAlign val="superscript"/>
        <sz val="10"/>
        <color indexed="8"/>
        <rFont val="Arial"/>
        <family val="2"/>
      </rPr>
      <t>,</t>
    </r>
    <r>
      <rPr>
        <sz val="10"/>
        <color indexed="8"/>
        <rFont val="Arial"/>
        <family val="2"/>
      </rPr>
      <t>**, K. Vleugels***, P.B. Griffin*, M. Ronaghi**, J.D. Plummer* and B.A. Wooley*</t>
    </r>
  </si>
  <si>
    <t>20190425: Update ISSCC 2019, some data corrections</t>
  </si>
  <si>
    <t>In Paper 3.1, imec describes a 13b, 3.2GS/s, 4× interleaved ring-amplifier-based pipelined ADC, which introduces a general method for background tracking of signal-to-distortion ratio using a single-comparator stochastic ADC. This 16nm ADC achieves 61.7dB SNDR with a 1.6GHz input while consuming 61mW.</t>
  </si>
  <si>
    <t>In Paper 3.2, the University of Macau describes a single channel 12b, 1GS/s SAR-assisted pipelined ADC. A Gm-R-based residue amplifier with temperature-compensated bias is used. This 28nm ADC achieves &gt;60dB SNDR at Nyquist while consuming 7.6mW.</t>
  </si>
  <si>
    <t>In Paper 3.3, KU Leuven describes a 5GS/s 12b passive-sampling 8×-interleaved hybrid ADC with a bandwidth in excess of 6GHz. This 28nm ADC achieves a 58.5dB SNDR at 2.4GHz while consuming 158.6mW.</t>
  </si>
  <si>
    <t>In Paper 3.4, the University of Texas Austin describes a 2MS/s, 13b continuous-time pipelined-SAR ADC with a kT/C noisefree input stage. This 40nm ADC achieves a peak SNDR of 73.5dB while consuming 25.2uW.</t>
  </si>
  <si>
    <t>In Paper 3.5, the University of Macau presents a 20MS/s, 13b, two-step TDC-assisted SAR ADC with PVT tracking and speed enhancing techniques. This 65nm ADC achieves a Walden FoM of 1.4fJ/conversion-step using a 0.6V supply.</t>
  </si>
  <si>
    <t>In Paper 3.6, imec presents a single-channel 600MS/s, 11b, pipelined ADC with an asynchronous, event-driven approach to timing control that leads to fully dynamic power consumption. This 16nm ADC achieves 60dB SNDR and 78dB SFDR while consuming 6mW.</t>
  </si>
  <si>
    <t>In Paper 3.7, Oregon State University describes a 15MS/s, 16b, two-step SAR ADC using a dual-deadzone ring-amplifier. This 180μm ADC achieves 91dB SNDR while consuming 10mW.</t>
  </si>
  <si>
    <t>A 3.2GS/s 10 ENOB 61mW Ringamp ADC in 16nm with Background Monitoring of Distortion</t>
  </si>
  <si>
    <t>A 7.6mW 1GS/s 60dB SNDR Single-Channel SAR-Assisted Pipelined ADC with Temperature-Compensated Dynamic Gm-R-Based Amplifier</t>
  </si>
  <si>
    <t>A 5GS/s 158.6mW 12b Passive-Sampling 8×-Interleaved Hybrid ADC with 9.4 ENOB and 160.5dB FoMS in 28nm CMOS</t>
  </si>
  <si>
    <t>A 0.6V 13b 20MS/s Two-Step TDC-Assisted SAR ADC with PVT Tracking and Speed-Enhanced Techniques</t>
  </si>
  <si>
    <t>A 6-to-600MS/s Fully Dynamic Ringamp Pipelined ADC with Asynchronous Event-Driven Clocking in 16nm</t>
  </si>
  <si>
    <t>A 10mW 16b 15MS/s Two-Step SAR ADC with 95dB DR Using Dual-Deadzone Ring-Amplifier</t>
  </si>
  <si>
    <t>Benjamin Hershberg, Davide Dermit, Barend van Liempd, Ewout Martens, Nereo Markulic, Jorge Lagos, Jan Craninckx</t>
  </si>
  <si>
    <t>Wenning Jiang, Yan Zhu, Minglei Zhang, Chi-Hang Chan, Rui P. Martins</t>
  </si>
  <si>
    <t xml:space="preserve">Athanasios Ramkaj, Juan Carlos Pena Ramos, Yifan Lyu, Maarten Strackx, Marcel J. M. Pelgrom, Michiel Steyaert, Marian Verhelst, Filip Tavernier </t>
  </si>
  <si>
    <t>Linxiao Shen, Yi Shen, Xiyuan Tang, Chen-Kai Hsu, Wei Shi, Shaolan Li, Wenda Zhao, Abhishek Mukherjee, Nan Sun</t>
  </si>
  <si>
    <t>Minglei Zhang, Chi-Hang Chan, Yan Zhu, Rui P. Martins</t>
  </si>
  <si>
    <t>Benjamin Hershberg, Barend van Liempd, Nereo Markulic, Jorge Lagos, Ewout Martens, Davide Dermit, Jan Craninckx</t>
  </si>
  <si>
    <t>Ahmed ElShater, Calvin Yoji Lee, Praveen Kumar, Venkatachala, Jason Muhlestein, Spencer Leuenberger, Kazuki Sobue, Koichi Hamashita, Un-Ku Moon</t>
  </si>
  <si>
    <t>An 8×-OSR 25MHz-BW 79.4dB/74dB DR/SNDR CT ΔΣ Modulator Using 7b Linearized Segmented DACs with Digital Noise-Coupling-Compensation Filter in 7nm FinFET CMOS</t>
  </si>
  <si>
    <t>In Paper 20.4, MediaTek shows the first 7nm ADC at ISSCC, using a linearized DAC and digital noise coupling compensation. The design achieves 74dB SNDR in a 25MHz bandwidth while consuming only 3.8mW.</t>
  </si>
  <si>
    <t>A 76.6dB-SNDR 50MHz-BW 29.2mW Noise-Coupling-Assisted CT Sturdy MASH ΔΣ Modulator with 1.5b/4b Quantizers in 28nm CMOS</t>
  </si>
  <si>
    <t>In Paper 20.5, the University of Macau demonstrates a 4th-order sturdy-MASH DSM using a noise-coupling technique with a zeroth-order second stage. The design achieves 76.6dB SNDR in a 50MHz bandwidth consuming 29.2mW of power, without requiring any DAC calibration or error shaping.</t>
  </si>
  <si>
    <t>A 5GS/s 7.2 ENOB Time-Interleaved VCO-Based ADC Achieving 30.5fJ/conv-step</t>
  </si>
  <si>
    <t>In Paper 20.1, KU Leuven describes a 28nm time-interleaved VCO-based ADC. It achieves 45.2dB SNDR with a Nyquist input at 5GS/s, while consuming 22.7mW.</t>
  </si>
  <si>
    <t>A 40MHz-BW 320MS/s Passive Noise-Shaping SAR ADC with Passive Signal-Residue Summation in 14nm FinFET</t>
  </si>
  <si>
    <t>A 50MHz-Bandwidth 70.4dB-SNDR Calibration-Free Time-Interleaved 4th-Order Noise-Shaping SAR ADC</t>
  </si>
  <si>
    <t>In Paper 20.2, MediaTek demonstrates a technique for passive signal-residue summation in a noise-shaping SAR ADC in 14nm FinFET technology. It achieves 66.6dB SNDR in a 40MHz bandwidth consuming 1.25mW of power.</t>
  </si>
  <si>
    <t>In Paper 20.3, the University of Michigan shows how time-interleaving can be combined with noise-shaping for the first time-interleaved noise-shaping SAR ADC. Implemented in 40nm CMOS, the design achieves 70.4dB SNDR in a 50MHz bandwidth while sampling at 400MS/s and consuming 13mW.</t>
  </si>
  <si>
    <t>An 80MHz-BW 31.9fJ/conv-step Filtering ΔΣ ADC with a Built-In DAC-Segmentation/ELDCompensation 6b 960MS/s SAR-Quantizer in 28nm LP for 802.11ax Applications</t>
  </si>
  <si>
    <t>In Paper 20.6, MediaTek shows a dual-mode delta-sigma including variable gain and filtering for an 802.11ax analog baseband. The 28nm design achieves 64.9dB SNDR in 80MHz bandwidth consuming 7.3mW of power, or 76.8dB SNDR in 10MHz bandwidth consuming 4.15mW of power.</t>
  </si>
  <si>
    <t>A 72.6dB-SNDR 100MHz-BW 16.36mW CTDSM with Preliminary Sampling and Quantization Scheme in Backend Subranging QTZ</t>
  </si>
  <si>
    <t>In Paper 20.7, the University of Macau shows a wideband CTDSM with a preliminary sampling and quantization technique to increase the time available for quantization. The design, implemented in 28nm CMOS achieves 72.6dB SNDR in 100MHz bandwidth consuming 16.3mW of power.</t>
  </si>
  <si>
    <t>VCO, TI</t>
  </si>
  <si>
    <t>Maarten Baert, Wim Dehaene</t>
  </si>
  <si>
    <t>Ying-Zu Lin, Chin-Yu Lin, Shan-Chih Tsou, Chih-Hou Tsai, Chao-Hsin Lu</t>
  </si>
  <si>
    <t>Tien-Yu Lo, Chan-Hsiang Weng, Hung-Yi Hsieh, Ding-Yang, Wang, Yun-Shiang Shu, and Pao-Cheng Chiu</t>
  </si>
  <si>
    <t>Lu Jie, Boyi Zheng, Michael P. Flynn</t>
  </si>
  <si>
    <t>Liang Qi, Ankesh Jain, Dongyang Jiang, Sai-Weng Sin, Rui P. Martins, Maurits Ortmanns</t>
  </si>
  <si>
    <t>Chi-Yun (Stanley) Wang, Jen-Huan Tsai, Sheng-Yuan Su, Jen-Che Tsai, Jhy-Rong Chen, Chih-Hong Lou</t>
  </si>
  <si>
    <t>Wei Wang, Chi-Hang Chan, Yan Zhu, and Rui Paulo Martins</t>
  </si>
  <si>
    <t>A 5.37mW/Channel Pitch-Matched Ultrasound ASIC with Dynamic-Bit-Shared SAR ADC and 13.2V Charge-Recycling TX in Standard CMOS for Intracardiac Echocardiograph</t>
  </si>
  <si>
    <t>Jihee Lee, Kyoung-Rog Lee, Benjamin E. Eovino, Jeong Hoan Park, Liwei Lin, Hoi-Jun Yoo, Jerald Yoo</t>
  </si>
  <si>
    <t>In Paper 11.1, KAIST, University of California at Berkeley, National University of Singapore and Singapore Institute of Neurotechnology present a pitch-matched ultrasound ASIC for an intracardiac echocardiography (ICE) system. The presented work achieves high integration density with a 250×250μm2 unit cell and the low power consumption of 5.37mW with 5Vpp TX.</t>
  </si>
  <si>
    <t>A 769μW Battery-Powered Single-Chip SoC with BLE for Multi-Modal Vital Sign Health Patches</t>
  </si>
  <si>
    <t>In Paper 22.1, imec introduces an SoC for concurrent and synchronized ECG, bioimpedance and PPG recording, incorporating accelerators and an ARM Cortex-M4f microprocessor. The SoC also includes cryptography IP and an SRAMbased PUF solution. The 4320×4320μm2 SoC consumes 769μW. The total average system power drawn from the battery, including LDO, LEDs and accelerometer is 2mW, allowing an operating time of more than 3 weeks on 2 ZnAir batteries.</t>
  </si>
  <si>
    <t>Mario Konijnenburg, Roland van Wegberg, Shuang Song, Hyunsoo Ha, Wim Sijbers, Jiawei Xu, Stefano Stanzione, Chris van Liempd, Dwaipayan Biswas, Arjan Breeschoten, Peter Vis, Chris Van Hoof, Nick Van Helleputte</t>
  </si>
  <si>
    <t>20190802: Update VLSI 2019</t>
  </si>
  <si>
    <t>A 75.8dB-SNDR Pipeline SAR ADC with 2nd-order Interstage Gain Error Shaping</t>
  </si>
  <si>
    <t>C.-K. Hsu and N. Sun</t>
  </si>
  <si>
    <t>This paper presents a low-cost gain error shaping (GES) technique that can substantially suppress the in-band interstage gain error in pipeline ADCs. It works for both closed-loop and open-loop amplification. A prototype ADC with the proposed 2nd-order GES technique in 40nm CMOS achieves 75.8dB SNDR over 12.5MHz BW while operating at 100MS/s and consuming 1.54mW. It achieves 174.9dB Schreier FoM. The GES-related hardware occupies less than 2% of the core area.</t>
  </si>
  <si>
    <t>An Amplifier-Less Calibration-Free SAR ADC Achieving &gt;100dB SNDR for Multi-Channel ECG Acquisition with 667mVpp Linear Input Range</t>
  </si>
  <si>
    <t>W.-H. Huang, S.-H. Wu, Z.-X. Chen and Y.-S. Shu</t>
  </si>
  <si>
    <t>A 40nm CMOS 12b 200MS/s Single-Amplifier Dual-Residue Pipelined-SAR ADC</t>
  </si>
  <si>
    <t>M.-J. Seo, Y.-D. Kim, J.-H. Chung and S.-T. Ryu</t>
  </si>
  <si>
    <t>A 0.2 - 8 MS/s 10b flexible SAR ADC Achieving 0.35 - 2.5 fJ/Conv-Step and Using Self-Quenched Dynamic Bias Comparator</t>
  </si>
  <si>
    <t>H. S. Bindra, A.-J. Annema, S. M. Louwsma and B. Nauta</t>
  </si>
  <si>
    <t>A 29mW 5GS/s Time-Interleaved SAR ADC Achieving 48.5dB SNDR with Fully-Digital Timing-Skew Calibration Based on Digital-Mixing</t>
  </si>
  <si>
    <t xml:space="preserve">This paper presents a 5GS/s 16-way Time-Interleaved SAR ADC in 28nm CMOS, proposing a fully-digital background timingskew calibration based on digital mixing, without adding any extra analog circuits. We implement the sub-channel SAR with a splitting-combined monotonic switching procedure. The prototype ADC achieves 48.5dB SNDR at Nyquist rate, while the power consumption is 29mW leading to a Walden FOM of 26.7fJ/conv-step. </t>
  </si>
  <si>
    <t>M. Guo, J. Mao, S-W. Sin, H. Wei and R. P. Martins</t>
  </si>
  <si>
    <t>A 1.54mW per Element 150μm-Pitch-Matched Receiver ASIC with Element-Level SAR-Shared-Single-Slope Hybrid ADCs for Miniature 3D Ultrasound Probes</t>
  </si>
  <si>
    <t xml:space="preserve">This paper presents an ultrasound receiver ASIC in 180nm CMOS that enables element-level digitization of echo signals in miniature 3D ultrasound probes. It is the first to integrate an analog front-end and a 10-b Nyquist ADC within the 150μm element pitch of a 5-MHz 2D transducer array. To achieve this, a hybrid SAR-shared-single-slope architecture is proposed in which the ramp generator is shared within each 2x2 subarray. The ASIC consumes 1.54mW per element and has been successfully demonstrated in an acoustic imaging experiment. </t>
  </si>
  <si>
    <t>J. Li, Z. Chen, M. Tan, D. van Willigen, C. Chen, Z.-Y. Chang, E. Noothout, N. de Jong, M. Verweij, and M. Pertijs</t>
  </si>
  <si>
    <t>A Low Power Continuous-Time Zoom ADC for Audio Applications</t>
  </si>
  <si>
    <t>B. Gonen, S. Karmakar, R. van Veldhoven and K. A. A. Makinwa</t>
  </si>
  <si>
    <t>We present a CTΔΣM which uses a virtual- ground-switched resistor DAC to achieve low distortion by reducing the effects of inter-symbol interference (ISI), and parasitic resistance in the reference path. 1/f noise is reduced by chopping the first stage of the input OTA. Chopping artifacts and clock jitter sensitivity are reduced by using a 3-stage OTA, and an 8-tap FIR feedback DAC. Fabricated in 180 nm CMOS, the pro- totype modulator operates at 32 MS/s and achieves 103.5/107.5 dB SNDR/DR in a 250 kHz bandwidth while consuming 24 mW. The Schreier FoM is 174dB.</t>
  </si>
  <si>
    <t>R. Theertham, P. Koottala, S. Billa and S. Pavan</t>
  </si>
  <si>
    <t>A 24mW Chopped CTDSM Achieving 103.5dB SNDR and 107.5dB DR in a 250kHz Bandwidth</t>
  </si>
  <si>
    <t>A 71.4dB SNDR 30MHz BW Continuous-Time Delta-Sigma Modulator Using a Time-Interleaved Noise-Shaping Quantizer in 12-nm CMOS</t>
  </si>
  <si>
    <t>C.-H. Weng, T.-A. Wei, H.-Y. Hsieh, S.-H. Wu and T.-Y. Wang</t>
  </si>
  <si>
    <t>This work presents a continuous-time delta-sigma modulator (CTDSM) using a time-interleaved noise-shaping quantizer
targeted for wireless communication system application. A quantization error duplication method enables the SAR-based
quantizer to implement noise-shaping and operate at an 832MHz sampling frequency concurrently. Through the use of a CRFB loop filter topology and the noise-shaping quantizer, the proposed CTDSM achieves 71.4 dB SNDR in 30-MHz BW without STF peaking. The FoMs and FoMw are 171 dB and 17.6 fJ/conv.-step, respectively.</t>
  </si>
  <si>
    <t>This paper presents a SAR-assisted Continuous-time Delta-Sigma (CTΔΣ) ADC, which combines the energy efficiency of SAR ADCs with the relaxed driving requirements of CTΔΣ ADCs, as well as similar anti-alias filtering. When clocked at 2.4GHz, the ADC achieves 77.5dB SNDR in 40MHz BW. It consumes 3.2mW, resulting in a state-of-the-art Walden FoM of 6.5fJ/cs and a Schreier FOM of 178.5dB.</t>
  </si>
  <si>
    <t>A 3.2mW SAR-assisted CTΔΣ ADC with 77.5dB SNDR and 40MHz BW in 28nm CMOS</t>
  </si>
  <si>
    <t>P. Cenci, M. Bolatkale, R. Rutten, M. Ganzerli, G. Lassche, K. A. Makinwa and L. Breems</t>
  </si>
  <si>
    <t>A 56Gb/s Long Reach Fully Adaptive Wireline PAM-4 Transceiver in 7nm FinFET</t>
  </si>
  <si>
    <t>D. Pfaff, S. Moazzeni, L. Gao, M.-C. Chuang, X.-J. Wang, C. Palusa, R. Abbott, R. Ramirez, A. Maher, M.-C. Huang, C.-C. Lin, F. Kuo, W.-L. Chen, T. Y. Goh and K. Hsieh</t>
  </si>
  <si>
    <t>Area includes amplifiers</t>
  </si>
  <si>
    <t>A Sub-250mW 1-to-56Gb/s Continuous-Range PAM-4 42.5dB IL ADC/DAC-Based Transceiver in 7nm FinFET</t>
  </si>
  <si>
    <t>Matteo Pisati, Fernando De Bernardinis, Paolo Pascale, Claudio Nani, Marco Sosio, Enrico Pozzati, Nicola Ghittori, Federico Magni, Marco Garampazzi, Giacomino Bollati, Antonio Milani, Alberto Minuti, Fabio Giunco, Paola Uggetti, Ivan Fabiano, Nicola Codega, Alessandro Bosi, Nicola Carta, Demetrio Pellicone, Giorgio Spelgatti, Massimo Cutrupi, Andrea Rossini, Roberto Massolini, Giovanni Cesura, Ivan Bietti</t>
  </si>
  <si>
    <t>The enormous availability of data on the internet and the increased computational power available in the cloud require a constant increase in the bandwidth needed to transport data across the network. In order to mitigate the cost of infrastructure, the industry has proposed standards for 56Gb/s PAM-4 interfaces that can support legacy channels in conjunction with forward error correction (FEC) techniques. The reduced signal to noise ratio (SNR) available with PAM-4 modulation vs. NRZ requires sophisticated signal processing, making DSP-based solutions very attractive in terms of performance but, so far, at the expense of extra power vs. classical analog solutions. This paper demonstrates that this trade-off can be broken and presents a compact ADC/DAC DSP-based long-reach transceiver in 7nm FinFET technology that operates seamlessly from 3.5-to60Gb/s in PAM-4 (from 1-to-30Gb/s in NRZ mode) and consumes less than 250mW at 56Gb/s. The presented IP extends the deployment of DSP-based transceivers from repeater/re-timer applications to big ASICs with a very large number of ports.</t>
  </si>
  <si>
    <t>Power disclosed in JSSC paper; SN(D)R numbers are for entire front-end</t>
  </si>
  <si>
    <t>Incremental, SDCT</t>
  </si>
  <si>
    <t>A Current-Sensing Front-End Realized by A Continuous-Time Incremental ADC with 12b SAR Quantizer and Reset-Then-Open Resistive DAC Achieving 140dB DR and 8ppm INL at 4kS/s</t>
  </si>
  <si>
    <t>A 134μW 24kHz-BW 103.5dB-DR CT ΔΣ Modulator with Chopped Negative-R and Tri-Level FIR DAC</t>
  </si>
  <si>
    <t>A 40kHz-BW 90dB-SNDR Noise-Shaping SAR with 4× Passive Gain and 2nd-Order Mismatch Error Shaping</t>
  </si>
  <si>
    <t>A 4th-Order Cascaded-Noise-Shaping SAR ADC with 88dB SNDR Over 100kHz Bandwidth</t>
  </si>
  <si>
    <t>A 13.5b-ENOB Second-Order Noise-Shaping SAR with PVT-Robust Closed-Loop Dynamic Amplifier</t>
  </si>
  <si>
    <t>A 2.56mW 40MHz-Bandwidth 75dB-SNDR Partial-Interleaving SAR-Assisted NS Pipeline ADC With Background Inter-Stage Offset Calibration</t>
  </si>
  <si>
    <t>Background Multi-Rate LMS Calibration Circuit for 15MHz-BW 74dB-DR CT 2-2 MASH ΔΣ ADC in 28nm CMOS</t>
  </si>
  <si>
    <t>A Low-Cost 4-Channel Reconfigurable Audio Interface for Car Entertainment Systems</t>
  </si>
  <si>
    <t>In Paper 9.1, MediaTek demonstrates a 140dB DR current measurement continuous-time incremental ADC that uses a 12b DSM and achieves an 8ppm INL at 4kS/s.</t>
  </si>
  <si>
    <t>In Paper 9.2, Yonsei University presents an audio-band CT ΔΣ modulator with chopped negative resistors that achieves a 99.4dB SNDR while consuming 134μW.</t>
  </si>
  <si>
    <t>In Paper 9.3, Tsinghua University reports a 90dB-SNDR passive noise-shaping SAR that realizes a 4× passive gain with a 40kHz bandwidth while consuming 67μW.</t>
  </si>
  <si>
    <t>In Paper 9.4, University of Michigan presents a 4th-order single-channel cascaded-noise-shaping SAR ADC that achieves an 88dB SNDR over 100kHz bandwidth.</t>
  </si>
  <si>
    <t>In Paper 9.5, UT Austin describes a second-order noise-shaping SAR ADC uses a calibration-free closed-loop dynamic amplifier to achieve a 13.5b ENOB in a 625kHz bandwidth.</t>
  </si>
  <si>
    <t>In Paper 9.6, University of Macau shows a SAR-assisted noise-shaping pipeline ADC using partial interleaving to achieve a 40MHz bandwidth with 75dB SNDR while consuming 2.56mW.</t>
  </si>
  <si>
    <t>In Paper 9.7, Renesas describes a 2-2 MASH continuous-time ΔΣ ADC in 28nm CMOS with multi-rate LMS background calibration to achieve a 15MHz bandwidth and a 67.5dB SNDR.</t>
  </si>
  <si>
    <t>In Paper 9.8, NXP reports a reconfigurable, 4-channel audio ADC in 28nm CMOS that has all references and LDOs on-chip and achieves a peak SNR of 106dB while consuming 6mW.</t>
  </si>
  <si>
    <t>Su-Hao Wu, Yun-Shiang Shu, Albert Yen-Chih Chiou, Wei-Hsiang Huang, Zhi-Xin Chen, Hung-Yi Hsieh</t>
  </si>
  <si>
    <t>MoonHyung Jang, Changuk Lee, Youngcheol Chae</t>
  </si>
  <si>
    <t>Jiaxin Liu, Xing Wang, Zijie Gao, Mingtao Zhan, Xiyuan Tang, Nan Sun</t>
  </si>
  <si>
    <t>Lu Jie, Boyi Zheng, Hsiang-Wen Chen, Runyu Wang, Michael P. Flynn</t>
  </si>
  <si>
    <t>Xiyuan Tang, Xiangxing Yang, Wenda Zhao, Chen-Kai Hsu, Jiaxin Liu, Linxiao Shen, Abhishek Mukherjee, Wei Shi, David Z. Pan, Nan Sun</t>
  </si>
  <si>
    <t>Yan Song, Yan Zhu, Chi Hang Chan, Rui Paulo Martins</t>
  </si>
  <si>
    <t>Mitsuya Fukazawa, Takashi Oshima, Masaki Fujiwara, Katsuki Tateyama, Alsubaie Raed, Masao Ito, Tetsuya Matsumoto, Tetsuo Matsui</t>
  </si>
  <si>
    <t>A 12b 18GS/s RF Sampling ADC with an Integrated Wideband Track-and-Hold Amplifier and Background Calibration</t>
  </si>
  <si>
    <t>In Paper 16.1, Analog Devices presents a 16nm design that achieves a record 18GS/s with &gt;50 dB linearity. It achieves 48dB SNDR and 54dB SFDR for an 8GHz signal sampled at 18GS/s. This performance is enabled by a wideband track-and-hold amplifier and extensive background calibration.</t>
  </si>
  <si>
    <t>A 4× Interleaved 10GS/s 8b Time-Domain ADC with 16× Interpolation-Based Inter-Stage Gain Achieving &gt;37.5dB SNDR at 18GHz Input</t>
  </si>
  <si>
    <t>In Paper 16.2, University of Macau presents a 65nm 8b 10GS/s 4× time-interleaved time-domain pipeline ADC using 16× interpolation-based inter-stage gain. It achieves 37.6dB SNDR for an 18GHz input signal sampled at 10GS/s while consuming 50.8mW.</t>
  </si>
  <si>
    <t>A Single-Channel 5.5mW 3.3GS/s 6b Fully Dynamic Pipelined ADC with Post-Amplification Residue Generation</t>
  </si>
  <si>
    <t>In Paper 16.3, University of Macau presents a 6b 3.3GS/s single-channel pipeline ADC in 28nm. It uses a look-ahead pipeline scheme to allow amplification and comparison to happen at the same time and achieves 34.2dB SNDR for a Nyquist input at 3.3GS/s with 5.5mW of power.</t>
  </si>
  <si>
    <t>A Calibration-Free 71.7dB SNDR 100MS/s 0.7mW Weighted-Averaging Correlated Level Shifting Pipelined SAR ADC with Speed-Enhancement Scheme</t>
  </si>
  <si>
    <t>In Paper 16.4, National Cheng Kung University presents a weighted-averaging correlated level shifting technique for a 14b pipelined SAR manufactured in 28nm CMOS. The design achieves 71.7dB SNDR for a Nyquist input at 100MS/s and consumes only 0.7mW of power.</t>
  </si>
  <si>
    <t>In Paper 16.5, Tsinghua University presents a 13b 40MS/s ADC fabricated in 40nm CMOS. It reduces kT/C noise by sampling at the output of a preamplifier and achieves 69dB SNDR for Nyquist input at 40MS/s with an input capacitance of only 240fF and 0.59mW of power consumption.</t>
  </si>
  <si>
    <t>An 800MHz-BW VCO-Based Continuous-Time Pipelined ADC with Inherent Anti-Aliasing and On-Chip Digital Reconstruction Filter</t>
  </si>
  <si>
    <t>In Paper 16.6, Analog Devices proposes a continuous-time pipeline ADC with a VCO-based back-end and an on-chip digital reconstruction filter in 16nm FinFET. In addition to peak SNDR of 58dB in an 800MHz bandwidth it offers 41dB inherent anti-alias filtering for 280mW of power.</t>
  </si>
  <si>
    <t>A 40MHz-BW 76.2dB/78.0dB SNDR/DR Noise-Shaping Nonuniform Sampling ADC with Single Phase-Domain Level Crossing and Embedded Nonuniform Digital Signal Processor in 28nm CMOS</t>
  </si>
  <si>
    <t>In Paper 16.7, the University of Southern California introduces a noise-shaping non-uniform sampling ADC with phase-domain level crossing and an embedded digital signal processor in 28nm. This design achieves 76.2dB SNDR in a 40MHz bandwidth while consuming a total power of 55.5mW.</t>
  </si>
  <si>
    <t>Robert van Veldhoven, Marco Lammers, Leon van der dussen, Khalid Mabtoul</t>
  </si>
  <si>
    <t>Ahmed M. A. Ali, Huseyin Dinc, Paritosh Bhoraskar, Scott Bardsley, Chris Dillon, Mohit Kumar, Matthew McShea, Ryan Bunch, Joel Prabhakar, Scott Puckett</t>
  </si>
  <si>
    <t>Minglei Zhang, Yan Zhu, Chi-Hang Chan, Rui P. Martins</t>
  </si>
  <si>
    <t>Zihao Zheng, Lai Wei, Jorge Lagos, Ewout Martens, Yan Zhu, Chi-Hang Chan, Jan Craninckx, Rui P. Martins</t>
  </si>
  <si>
    <t>Tsung-Chih Hung, Jia-Ching Wang, Tai-Haur Kuo</t>
  </si>
  <si>
    <t>Jiaxin Liu, Xiyuan Tang, Wenda Zhao, Linxiao Shen, Nan Sun</t>
  </si>
  <si>
    <t>Hajime Shibata, Gerry Taylor, Bob Schell, Victor Kozlov, Sharvil Patil, Donald Paterson, Asha Ganesan, Yunzhi Dong, Wenhua Yang, Yue Yin, Zhao Li, Prawal Shrestha, Athreya Gopal, Aathreya Bhat, Shanthi Pavan</t>
  </si>
  <si>
    <t>Tzu-Fan Wu, Mike Shuo-Wei Chen</t>
  </si>
  <si>
    <t>Satoshi Kondo, Hiroshi Kubota, Hisaaki Katagiri, Yutaka Ota, Masatoshi Hirono, Tuan Thanh Ta, Hidenori Okuni, Shinichi Ohtsuka, Yoshinari Ojima, Tomohiko Sugimoto, Hirotomo Ishii, Kentaro Yoshioka, Katsuyuki Kimura, Akihide Sai, Nobu Matsumoto</t>
  </si>
  <si>
    <t>In Paper 5.1, Toshiba describes a 240×192 pixel automotive LiDAR SoC capable of 225m maximum range distance at 10fps, while operating at up to 70klux ambient light based on 40-channel voltage/time dual-data-converter-based AFE.</t>
  </si>
  <si>
    <t>TI, TDC</t>
  </si>
  <si>
    <t>Pipe, VCO</t>
  </si>
  <si>
    <t>A 6.5μW 10kHz-BW 80.4dB-SNDR Continuous-Time ΔΣ Modulator with Gm-Input and 300mVpp Linear Input Range for Closed-Loop Neural Recording</t>
  </si>
  <si>
    <t>In Paper 26.6, Yonsei University describes a Continuous-Time ΔΣ Modulator for closed-loop neural recording. The modulator with Gm-input achieves 300mVpp linear input range and 80.4dB SNDR, consuming 6.5μW with a signal BW of 10kHz, exhibiting 172.3dB FoM.</t>
  </si>
  <si>
    <t>Changuk Lee, Taejune Jeon, MoonHyung Jang, Sanggeon Park, Yeowool Huh, Youngcheol Chae</t>
  </si>
  <si>
    <t>Yaoyao Jia, Ulkuhan Guler, Yen-Pang Lai, Yan Gong, Arthur Weber, Wen Li, Maysam Ghovanloo</t>
  </si>
  <si>
    <t>A Trimodal Wireless Implantable Neural Interface System-on-Chip</t>
  </si>
  <si>
    <t>In Paper 26.8, North Carolina State University presents a trimodal neural interface SoC with 16 optical and 8 electrical stimulation channels. A 16-channel AFE provides 55-to-70dB gain and 1-to-100Hz low cutoff with 3.46μVrms inputreferred noise. The SoC in 0.35μm receives &gt;20.7mW via a 13.56MHz inductive link, which also carries forward data at 50kb/s.</t>
  </si>
  <si>
    <t>20200401: Update ISSCC2020, some data additions/corrections</t>
  </si>
  <si>
    <t>CD1.1</t>
  </si>
  <si>
    <t>A 1MS/s to 1GS/s Ringamp-Based Pipelined ADC with Fully Dynamic Reference Regulation and Stochastic Scope-on-Chip Background Monitoring in 16nm</t>
  </si>
  <si>
    <t>An 11b single-channel ADC with constant 14 fJ/c-step FoM energy efficiency from 1MS/s to 1GS/s introduces a fully-dynamic discrete-time reference regulation solution that consumes only 8% of total system power. A small, low power background monitoring circuit in each pipeline stage generates time-domain waveforms of amplifier settling behavior. Performance at 1GS/s with a Nyquist input is 59.5dB SNDR, 75.9dB SFDR, and consumes 10.9mW.</t>
  </si>
  <si>
    <t>CD1.2</t>
  </si>
  <si>
    <t>CD1.3</t>
  </si>
  <si>
    <t>A 10-bit 100MS/s SAR ADC with Always-on Reference Ripple Cancellation</t>
  </si>
  <si>
    <t>This paper presents an always-on reference ripple cancellation technique that actively cancels the reference settling error throughout the entire SAR conversion process, thus significantly relaxing reference settling requirement. Equipped with the proposed technique, a 100-MS/s prototype SAR ADC only requires a 0.5-pF decoupling capacitor and an on-chip low-power reference buffer that consumes 60% less power compared to state-of-the-art designs with similar performance. Fabricated in 40nm CMOS, it achieves an SNDR of 56.3dB at Nyquist rate while consuming 1.4 mW, including the reference buffer.</t>
  </si>
  <si>
    <t>An 8b 1GS/s 2.55mW SAR-Flash ADC with Complementary Dynamic Amplifiers</t>
  </si>
  <si>
    <t>An 8b SAR-Flash ADC is proposed, where four reset-power-free complementary dynamic amplifiers (CDAs) are first engaged to a 4b loop-unrolled (LU) SAR conversion and then reutilized for a 4.5b fine interpolating-flash conversion. The hardware-reusing flash ADC not only saves power consumption and area but also reduces the number of conversion cycles. A prototype 1GS/s ADC in 28nm CMOS achieves 45.5dB SNDR at a Nyquist input with 2.55mW power consumption, leading to a FoMw of 16.6 fJ/c-s</t>
  </si>
  <si>
    <t>SAR, Flash</t>
  </si>
  <si>
    <t>CD2.1</t>
  </si>
  <si>
    <t>CD2.2</t>
  </si>
  <si>
    <t>CD2.3</t>
  </si>
  <si>
    <t>CD2.4</t>
  </si>
  <si>
    <t>CD2.5</t>
  </si>
  <si>
    <t>A 440μW, 109.8dB DR, 106.5dB SNDR Discrete-Time Zoom ADC with a 20kHz BW</t>
  </si>
  <si>
    <t>A 5MHz-BW, 86.1dB-SNDR 4X Time-Interleaved Second-Order ΔΣ Modulator with Digital Feedforward Extrapolation in 28nm</t>
  </si>
  <si>
    <t>This paper presents a 4X Time-Interleaved (TI) 2nd-order discrete-time (DT) ΔΣ Modulator (DSM) using digital feedforward extrapolation. Three feedforward paths digitize one channel information first and then extrapolate the other channels fully in the digital domain. Hence, this DSM only needs two op-amps in one channel to realize four interleaving paths, thus reducing analog hardware overheads. With the sampling clock @ 520MHz, this 28nm CMOS prototype achieves an equivalent output sampling rate of 2.08GS/s, 208x OSR, 86.1dB SNDR, and 98dB SFDR over a 5MHz BW, while the power consumption is 23.1mW. It results in an FOMS of 169.5dB.</t>
  </si>
  <si>
    <t>A 10.4mW 50MHz-BW 80dB-DR Single-Opamp Third-Order CTSDM with SAB-ELD-Merged Integrator and 3-Stage Opamp</t>
  </si>
  <si>
    <t xml:space="preserve">This paper presents a wideband and energy-efficient single-loop 3rd order CTSDM enabled by an ELD-SAB-Merged integrator and a 3-stage opamp. We utilize only a single DAC and opamp to accomplish the ELD compensation in the SAB structure. While featuring a PSQ technique and a 1st order NS-SAR, the 28nm prototype achieves a 74.4dB SNDR in a 50MHz BW and consumes 10.4mW with 171.2dB FoMS. </t>
  </si>
  <si>
    <t>A 1GS/s Reconfigurable BW 2nd-Order Noise-Shaping Hybrid Voltage-Time Two-Step ADC Achieving 170.9dB FoMs</t>
  </si>
  <si>
    <t>This paper presents a reconfigurable BW 2nd-order noise-shaping (NS) hybrid voltage-time ADC based on the two-step ADC structure. Composed by a SAR ADC in the 1st stage and a time-based-converter (TBC) in the 2nd stage, with a reconfigurable passive filter, it realizes a 2nd-order NS while simultaneously maintaining a simple and high-speed operation. Due to the delay introduced by the inter-stage residue amplifier (RA), one NS order is inherently provided by the pipelined architecture. Fabricated in 28 nm CMOS, the prototype chip operates at 1 GS/s while consuming 2.3 mW at 1 V. At an OSR of 4, the SNDR is 63.58 dB leading to a 170.9 dB FoMS . Thanks to the reconfigurable filter, the ADC is able to achieve 163.5 dB and 171.6 dB FoMS at OSR of 2 and 6, respectively.</t>
  </si>
  <si>
    <t>A SAR ADC with Reduced kT/C Noise by Decoupling Noise PSD and BW</t>
  </si>
  <si>
    <t>This paper presents a SAR ADC with reduced front-end sampling kT/C noise. This is achieved by using an active sampling circuit with a specially designed 2-stage amplifier that decouples the tight relationship between the sampling noise power spectral density (PSD) and BW. A 12-bit 12-MS/s prototype ADC in 40nm CMOS achieves the sampling noise power reduction by 3.5 times. It permits the use of a small sampling capacitor of only 132 fF. This relaxes the requirement on the ADC input driver and reference buffer, which can lead to significant savings in power, area, and complexity on the system level.</t>
  </si>
  <si>
    <t>CW2.3</t>
  </si>
  <si>
    <t>Benjamin Hershberg, Nereo Markulic, Jorge Lagos, Ewout Martens, Davide Dermit, Jan Craninckx</t>
  </si>
  <si>
    <t>Xiyuan Tang, Yi Shen, Xin Xin, Shubin Liu, Jueping Cai, Zhangming Zhu, and Nan Sun</t>
  </si>
  <si>
    <t>Dong-Ryeol Oh, Kyoung-Jun Moon, Won-Mook Lim, Ye-Dam Kim, Eun-Ji An and Seung-Tak Ryu</t>
  </si>
  <si>
    <t>Efraïm Eland, Shoubhik Karmakar, Burak Gönen, Robert van Veldhoven, and Kofi Makinwa</t>
  </si>
  <si>
    <t>Dongyang Jiang, Liang Qi, Sai-Weng Sin, Franco Maloberti, and R.P. Martins</t>
  </si>
  <si>
    <t>Kai Xing, Wei Wang, Yan Zhu, Chi-Hang Chan, and Rui Paulo Martins</t>
  </si>
  <si>
    <t>Yifan Lyu, Filip Tevernier</t>
  </si>
  <si>
    <t>Zhelu Li, Arnab Dutta, Abhishek Mukherjee, Xiyuan Tang, Linxiao Shen, Lenian He, and Nan Sun</t>
  </si>
  <si>
    <t>Sung-Jin Kim, Zachary Myers, Steven Herbst, ByongChan Lim, Mark Horowitz</t>
  </si>
  <si>
    <t>Open-Source Synthesizable Analog Blocks for High-Speed Link Designs: 20GS/s 5b ENOB Analog-to-Digital Converter and 5GHz Phase Interpolator</t>
  </si>
  <si>
    <t>20200802: Update VLSI2020, some data corrections</t>
  </si>
  <si>
    <t xml:space="preserve">A 116μW 104.4dB-DR 100.6dB-SNDR CT ΔΣ Audio ADC Using Tri-Level Current-Steering DAC with Gate-Leakage Compensated Off-Transistor-Based Bias Noise Filter </t>
  </si>
  <si>
    <t>C. Lo, J. Lee, Y. Lim, Y. Yoon, H. Hwang, J. Lee, M. Choi, M. Lee, S. Oh, J. Lee</t>
  </si>
  <si>
    <t>A 139μW 104.8dB-DR 24kHz-BW CTΔΣM with Chopped AC-Coupled OTA-Stacking and FIR DACs</t>
  </si>
  <si>
    <t>S. Mondal, O. Ghadami, D. A. Hall</t>
  </si>
  <si>
    <t>A 100MHz-BW 68dB-SNDR Tuning-Free Hybrid-Loop DSM with an Interleaved Bandpass Noise-Shaping SAR Quantizer</t>
  </si>
  <si>
    <t>L. Jie, H-W. Chen, B. Zheng, M. P. Flynn</t>
  </si>
  <si>
    <t>A 3.7mW 12.5MHz 81dB-SNDR 4th-Order CTDSM with Single-OTA and 2nd-Order NS-SAR</t>
  </si>
  <si>
    <t>W. Shi, J. Liu, A. Mukherjee, X. Yang, X. Tang, L. Shen, W. Zhao, N. Sun</t>
  </si>
  <si>
    <t>A 12b 600MS/s Pipelined SAR and 2×-Interleaved Incremental Delta-Sigma ADC with Source-Follower-Based Residue-Transfer Scheme in 7nm FinFET</t>
  </si>
  <si>
    <t>S. Baek, I. Jang, M. Choi, H. Roh, W. Lim, Y. Cho, J. Shin</t>
  </si>
  <si>
    <t>A 250kHz-BW 93dB-SNDR 4th-Order Noise-Shaping SAR Using Capacitor Stacking and Dynamic Buffering</t>
  </si>
  <si>
    <t>14.1-ENOB 184.9dB-FoM Capacitor-Array-Assisted Cascaded Charge-Injection SAR ADC</t>
  </si>
  <si>
    <t xml:space="preserve">A 13.8-ENOB 0.4pF-CIN 3rd-Order Noise-Shaping SAR in a Single-Amplifier EF-CIFF Structure with Fully Dynamic Hardware-Reusing kT/C Noise Cancelation </t>
  </si>
  <si>
    <t>A 0.4-to-40MS/s 75.7dB-SNDR Fully Dynamic Event-Driven Pipelined ADC with 3-Stage Cascoded Floating Inverter Amplifier</t>
  </si>
  <si>
    <t>An 80MHz-BW 640MS/s Time-Interleaved Passive Noise-Shaping SAR ADC in 22nm FDSOI Process</t>
  </si>
  <si>
    <t xml:space="preserve">A 25MHz-BW 75dB-SNDR Inherent Gain Error Tolerance Noise-Shaping SAR-Assisted Pipeline ADC with Background Offset Calibration </t>
  </si>
  <si>
    <t>A 79dB-SNDR 167dB-FoM Bandpass ΔΣ ADC Combining N-Path Filter with Noise-Shaping SAR</t>
  </si>
  <si>
    <t>J. Liu, D. Li, Y. Zhong, X. Tang, N. Sun</t>
  </si>
  <si>
    <t>K. Choo, H. An, D. Sylvester, D. Blaauw</t>
  </si>
  <si>
    <t>T-H. Wang, R. Wu, V. Gupta, S. Li</t>
  </si>
  <si>
    <t>X. Tang, X. Yang, J. Liu, W. Shi, D. Z. Pan, N. Sun</t>
  </si>
  <si>
    <t>C-Y. Lin, Y-Z. Lin, C-H. Tsai, C-H. Lu</t>
  </si>
  <si>
    <t>H. Zhang, Y. Zhu, C-H. Chan, R. Martins</t>
  </si>
  <si>
    <t>L. Shen, Z. Gao, X. Yang, W. Shi, N. Sun</t>
  </si>
  <si>
    <t>In Paper 10.1, Samsung Electronics presents a 116μW audio-band CT ΔΣ ADC using a tri-level current-steering DAC with a gate-leakage-compensated noise filter that achieves 104.4dB dynamic range in 24kHz bandwidth resulting in a 187.5dB Schreier FoM.</t>
  </si>
  <si>
    <t>In Paper 10.2, the University of California San Diego reports a CT ΔΣM for audio applications with chopped Accoupled OTA-stacking and FIR DACs that achieves 104.8dB dynamic range in a 24kHz bandwidth and consumes 139μW resulting in a 187.2dB Schreier FoM.</t>
  </si>
  <si>
    <t>In Paper 10.3, University of Michigan describes a tuning-free hybrid-loop ΔΣ modulator with an interleaved bandpass noise-shaping SAR quantizer that achieves 68dB SNDR in a 100MHz bandwidth.</t>
  </si>
  <si>
    <t>In Paper 10.4, University of Texas at Austin presents a 4th-order CT ΔΣ modulator with single-OTA and 2nd-order NS-SAR that achieves 81dB-SNDR in 12.5MHz bandwidth and consumes 3.7mW.</t>
  </si>
  <si>
    <t>In Paper 10.5, Samsung Electronics reports a 12b 600MS/s pipelined SAR and 2×-interleaved Incremental ΔΣ ADC in 7nm FinFET.</t>
  </si>
  <si>
    <t>In Paper 27.1, Tsinghua University presents a 4th-order noise-shaping SAR that achieves 93dB SNDR over 250kHz bandwidth with 340μW power, leading to a Schreier FoM of 182dB. This NS-SAR has low complexity and is PVTrobust.</t>
  </si>
  <si>
    <t>In Paper 27.2, the University of Michigan introduces a Nyquist-rate capacitor-array-assisted cascaded charge-injection SAR ADC with 17b resolution. It achieves 14.14b ENOB and a 184.9dB Schreier FoM.</t>
  </si>
  <si>
    <t>In Paper 27.3, Georgia Institute of Technology describes a 3rd-order NS-SAR ADC featuring an EF-CIFF hybrid structure with kT/C noise cancelling. Fabricated in 65nm, the prototype achieves 13.8b ENOB consuming 119uW, leading to a 182dB Schreier FoM.</t>
  </si>
  <si>
    <t>In Paper 27.4, the University of Texas at Austin presents a pipelined SAR ADC equipped with a 3-stage fully dynamic floating inverter amplifier that achieves consistent 75.7dB SNDR and linearly scaled power from 0.4MS/s to 40MS/s.</t>
  </si>
  <si>
    <t>In Paper 27.5, MediaTek introduces a fully passive, time-interleaved noise-shaping SAR ADC in 22nm FDSOI. This ADC achieves a peak SNDR of 66.3dB over 80MHz bandwidth at 640MS/s and consumes 2.56mW.</t>
  </si>
  <si>
    <t>In Paper 27.6, the University of Macau describes a noise-shaping SAR-assisted pipeline ADC. With a partial interleaving first stage and 4b DWA, it runs at 400MHz and achieves 75dB SNDR with 25MHz bandwidth.</t>
  </si>
  <si>
    <t>In Paper 27.7, Peking University and the University of Texas at Austin present an open-loop bandpass ΔΣ modulator that combines an N-path filter with a noise-shaping SAR ADC. This work achieves 78.7dB SNDR and a 167.1dB Schreier FoM.</t>
  </si>
  <si>
    <t>Pipe, SDCT</t>
  </si>
  <si>
    <t>Bandpass, IF=56.3MHz</t>
  </si>
  <si>
    <t>Complete RX</t>
  </si>
  <si>
    <t>A Highly Reconfigurable 40-97GS/s DAC and ADC with 40GHz AFE Bandwidth and Sub-35fJ/conv-step for 400Gb/s Coherent Optical Applications in 7nm FinFET</t>
  </si>
  <si>
    <t>R. L. Nguyen, A. M. Castrillon, A. Fan, A. Mellati, B. T. Reyes, C. Abidin, E. Olsen, F. Ahmad, G. Hatcher, J. Chana, L. Biolato, L. Tse, L. Wang, L. Wang, M. Azarmnia, M. Davoodi, N. Campos, N. Fan, P. Prabha, Q. Lu, S. Cyrusian, S. Dallaire, S. Ho, S. Jantzi, T. Dusatko, W. Elsharkasy</t>
  </si>
  <si>
    <t>In Paper 8.6, Inphi presents reconfigurable 40-to-97GS/s 8b DACs and ADCs which are fully integrated in a 7nm FinFET DSP chip targeting 400Gb/s coherent optical links. It achieves 40GHz AFE bandwidth and a Walden FOM &lt;35fJ/conv-step.</t>
  </si>
  <si>
    <t>Cryo ADC, 300K data</t>
  </si>
  <si>
    <t>A 1GS/s 6-to-8b 0.5mW/Qubit Cryo-CMOS SAR ADC for Quantum Computing in 40nm CMOS</t>
  </si>
  <si>
    <t>Gerd Kiene, Alessandro Catania, Ramon Overwater, Paolo Bruschi, Edoardo Charbon, Masoud Babaie, Fabio Sebastiano</t>
  </si>
  <si>
    <t>In Paper 13.4, Delft University of Technology presents an A/D conversion applied to measurements of qubits after readout. The proposed 1GS/s ADC achieves 36.2dB SNDR at 4K, supporting multiple qubit readout at less than 0.5mW/qubit.</t>
  </si>
  <si>
    <t>A Distortion-Free VCO-Based Sensor-to-Digital Front-End Achieving 178.9dB FoM and 128dB SFDR with a Calibration-Free Differential Pulse-Code Modulation Technique</t>
  </si>
  <si>
    <t>Jiannan Huang, Patrick P. Mercier</t>
  </si>
  <si>
    <t>In Paper 28.1, the University of California, San Diego presents a sensor interface front-end for wearable applications with 95dB dynamic range and 128dB linearity in 1.68μW in 65nm CMOS. The front-end is demonstrated through in-vivo recordings of ECG and EOG in the presence of motion and other artifacts.</t>
  </si>
  <si>
    <t>A 400mVpp 92.3dB-SNDR 1kHz-BW 2nd-Order VCO-Based ExG-to-Digital Front-End Using a Multiphase Gated-Inverted Ring-Oscillator Quantizer</t>
  </si>
  <si>
    <t>Corentin Pochet, Jiannan Huang, Patrick P. Mercier, Drew A. Hall</t>
  </si>
  <si>
    <t>In Paper 28.4, the University of California, San Diego introduces a VCO-based ΔΣ AFE for biopotential measurement, achieving 92.3dB SNDR in 1kHz, and enabling ECG signal recording in the presence of motion artifacts. The 65nm CMOS design uses an impedance booster to maintain &gt;50MΩ input impedance for dry electrode measurement, while consuming &lt;5.8μW.</t>
  </si>
  <si>
    <t>AFE</t>
  </si>
  <si>
    <t>Daniel Wendler, Daniel De Dorigo, Mohammad Amayreh, Alexander Bleitner, Maximilian Marx, Yiannos Manoli</t>
  </si>
  <si>
    <t xml:space="preserve">Multi-Modal Peripheral Nerve Active Probe and Microstimulator with On-Chip Dual-Coil Power/Data Transmission and 64 2nd-Order Opamp-Less ΔΣ ADCs </t>
  </si>
  <si>
    <t>Maged ElAnsary, Jianxiong Xu, José Sales Filho, Gairik Dutta, Liam Long, Aly Shoukry, Camilo Tejeiro, Chenxi Tang, Enver Kilinc, Jaimin Joshi, Parisa Sabetian, Samantha Unger, José Zariffa, Paul Yoo, Roman Genov</t>
  </si>
  <si>
    <t xml:space="preserve">In Paper 28.8, the University of Toronto introduces an SoC for peripheral nerve stimulation and recording. This 64-channel neural-recording system includes cuff imbalance compensation and per-channel ΔΣ ADC consuming 140nW in 130nm CMOS. The system demonstrates nerve stimulation and fascicle selectivity in vivo. </t>
  </si>
  <si>
    <t>20210517: Update ISSCC 2021</t>
  </si>
  <si>
    <t>C14-1</t>
  </si>
  <si>
    <t>C14-2</t>
  </si>
  <si>
    <t>C14-3</t>
  </si>
  <si>
    <t>C15-1</t>
  </si>
  <si>
    <t>C15-2</t>
  </si>
  <si>
    <t>C15-3</t>
  </si>
  <si>
    <t>C15-4</t>
  </si>
  <si>
    <t>A 0.6V 86.5dB-DR 40kHz-BW Inverter-Based Continuous-Time Delta-Sigma Modulator with PVT-Robust Body-Biasing Technique</t>
  </si>
  <si>
    <t>This paper presents a body-biasing technique for an energy-efficient inverter-based integrator that significantly improves the PVT robustness of the integrators in sub-1V continuous-time delta-sigma modulators (CTDSMs). A prototype CTDSM with the body-biasing technique is implemented in a 28 nm CMOS process and achieves 83 dB SNDR, 84 dB SNR, and 86.5 dB DR in a 40-kHz bandwidth, while consuming only 33.6 μW from a 0.6 V supply. It achieves a Schreier FoM of 177.3 dB.</t>
  </si>
  <si>
    <t>S. Lee, S. Park, Y. Kim and Y. Chae</t>
  </si>
  <si>
    <t>OTA-free 1-1 MASH ADC Using Fully Passive Noise Shaping SAR &amp; VCO ADC</t>
  </si>
  <si>
    <t>We present an OTA-free 1-1 MASH ADC utilizing a fully passive noise shaping (FPNS) SAR as first-stage and open-loop VCO ADC as second stage. The key contribution of this work is to address the challenge of driving large sampling capacitor for high resolution NS-SAR. The proposed architecture reduces resolution of SAR stage and leverages residue attenuation due to passive charge sharing in the FPNS SAR to linearize the VCO. Combining an FPNS SAR with a VCO ADC shapes in-band thermal noise of VCO and SAR comparator at ADC output. Additionally, we demonstrate a computationally inexpensive foreground inter-stage gain calibration algorithm for the proposed ADC architecture. The prototype ADC consumes 0.16mW while achieving an SNDR/DR of 71.5/75.8dB over a 1.1MHz bandwidth and walden FoM of 23.3fJ/step which is the lowest in 65nm technology.</t>
  </si>
  <si>
    <t>S. T. Chandrasekaran, S. P. Bhanushali, S. Pietri and A. Sanyal</t>
  </si>
  <si>
    <t>A 300MHz-BW 38mW 37dB/40dB SNDR/DR Frequency-Interleaving Continuous-Time Bandpass Delta-Sigma ADC in 28nm CMOS</t>
  </si>
  <si>
    <t>Bandpass CT DSMs offer essential advantages for RF and mm-wave systems, including digital I/Q mixing, innate anti-alias filtering, and an easy-to-drive input. However, existing CT DSMs lack the bandwidth for emerging applications, including 5G and radar. A practical frequency-interleaving architecture efficiently scales CT bandpass DSM bandwidth to break the CT DSM bandwidth bottleneck. A 28nm CMOS prototype frequency-interleaves two DSMs for 300MHz BW, 37dB SNDR at 1.5GHz while consuming 38mW.</t>
  </si>
  <si>
    <t>R. Lu and M. P. Flynn</t>
  </si>
  <si>
    <t>A 10.0 ENOB, 6.2 fJ/conv.-step, 500 MS/s Ringamp-Based Pipelined-SAR ADC with Background Calibration and Dynamic Reference Regulation in 16nm CMOS</t>
  </si>
  <si>
    <t>We present a single-channel fully-dynamic pipelined SAR ADC that leverages a novel quantizer and narrowband dither injection to achieve fast and comprehensive background calibration of DAC mismatch, interstage gain, and ring amplifier (ringamp) bias optimality. The ADC also includes an on-chip wide-range, fully-dynamic reference regulation system. Consuming 3.3 mW at 500 MS/s, it achieves 10.0 ENOB and 75.5 dB SFDR, yielding a Walden FoM of 6.2 fJ/conv.-step.</t>
  </si>
  <si>
    <t>J. Lagos, N. Markulic, B. Hershberg, D. Dermit, M. Shrivas, E. Martens and J. Craninckx</t>
  </si>
  <si>
    <t>A 20GS/s 8b Time-Interleaved Time-Domain ADC with Input-Independent Background Timing Skew Calibration</t>
  </si>
  <si>
    <t>This paper demonstrates a background timing skew calibration for the time-interleaved (TI) ADCs using a direct time-based estimation to facilitate the input-independent and fast convergence features. It suppresses the timing spurs of a 20GS/s 8x TI-ADC below -50dB at a Nyquist input regardless of the calibrating input condition with 24 calibration cycles. The 8b timedomain TI-ADC achieves a 91.3fJ/conv.-step FoMWalden and &gt;16GHz bandwidth.</t>
  </si>
  <si>
    <t>M. Zhang, Y. Zhu, C.-H. Chan and R. P. Martins</t>
  </si>
  <si>
    <t>A Compact 8-bit, 8 GS/s 8xTI SAR ADC in 16nm with 45dB SNDR and 5 GHz ERBW</t>
  </si>
  <si>
    <t>We present a time-interleaved (TI) SAR ADC with 8 channels realizing 8-bit conversion at 1 GS/s each. SNDR is 45 dB at low frequency with an ERBW of 5 GHz limited by sampler distortion. Conventional SAR conversion at high speed with minimum degradation is achieved by leveraging techniques such as early quantization, minimum delay logic, DAC redundancy and gain and offset compensation via the DAC. At 8 GS/s the ADC consumes 26 mW resulting in an efficiency of 30 fJ/conv.-step.</t>
  </si>
  <si>
    <t>E. Martens, D. Dermit, M. Shrivas, S. Nagata and J. Craninckx</t>
  </si>
  <si>
    <t>An Auxiliary-Channel-Sharing Background Distortion and Gain Calibration Achieving &gt;8dB SFDR Improvement over 4th Nyquist Zone in 1GS/s ADC</t>
  </si>
  <si>
    <t>This paper presents an auxiliary-channel-assisted background calibration for ADC's input front-end (buffer + T/H) distortion and inter-stage gain error. The auxiliary channel is custom-designed which runs at a fractional speed of the main ADC with only moderate noise performance but high linearity. It also has a pseudo inter-stage gain characteristic as the main ADC, which incorporates with the multi-layer LMS procedure, facilitating a fast convergence speed. Verified in a 12-bit 1GS/s pipelined SAR ADC in 28nm CMOS, the SNDR and SFDR at Nyquist input are 59.28 dB and 67.09 dB SFDR, respectively. Just the distortion calibrations alone contribute &gt;11.13dB SFDR improvement in the entire Nyquist band. Both the ADCs and input buffers work under a 1V supply, consuming 19.2mW with 17% from the buffer.</t>
  </si>
  <si>
    <t>L. Wei, Z. Zheng, N. Markulic, J. Lagos, E. Martens, Y. Zhu, C. Chan, J. Craninckx and R. P. Martins</t>
  </si>
  <si>
    <t>C19-2</t>
  </si>
  <si>
    <t>A Self-Powered Wireless Gas Sensor Node Based on Photovoltaic Energy Harvesting</t>
  </si>
  <si>
    <t>In this work, we present a compact self-powered wireless gas sensor node based on photovoltaic (PV) energy harvesting (EH). Instead of a bulky and power-hungry gas sensor with separate gas signal processing (GSP) circuits, a mm3-sized colorimetric sensor film is integrated with a PV cell, and the GSP function is seamlessly embedded within EH circuits. Also, a dual-input shared-inductor boost converter is used to improve the EH efficiency under gas exposure. Offset cancellation is performed in GSP circuits to provide accurate gas-sensing readout without any external trimming.</t>
  </si>
  <si>
    <t>Phan Dang Hung, Yechan Park, Soon-Jae Kweon, Taeju Lee, Hyuntak Jeon, Seok-Tae Koh, Incheol Cho, Jun-Bo Yoon, Inkyu Park, Chul Kim, Sohmyung Ha, and Minkyu Je</t>
  </si>
  <si>
    <t>20210628: Update VLSI 2021</t>
  </si>
  <si>
    <t>J. Liu, M. Hassanpourghadi, M. S-W. Chen</t>
  </si>
  <si>
    <t>A 0.82mW 14b 130MS/s Pipelined-SAR ADC with a Distributed Averaging Correlated Level Shifting (DACLS) Ringamp and Bypass-Window Backend</t>
  </si>
  <si>
    <t>J-C. Wang, T-H. Kuo</t>
  </si>
  <si>
    <t>A 0.004mm2 200MS/s Pipelined SAR ADC with kT/C Noise Cancellation and Robust Ring-Amp</t>
  </si>
  <si>
    <t>M. Zhan, L. Jie, X. Tang, N. Sun</t>
  </si>
  <si>
    <t>A 0.97mW 260MS/s 12b Pipelined-SAR ADC with Ring-TDC-Based Fine Quantizer for PVT Robust Automatic Cross-Domain Scale Alignment</t>
  </si>
  <si>
    <t>H. Zhao, F. F. Dai</t>
  </si>
  <si>
    <t>A 24b 2MS/s SAR ADC with 0.03ppm INL and 106.3dB DR in 180nm CMOS</t>
  </si>
  <si>
    <t>J. Steensgaard, R. Reay, R. Perry, D. Thomas, G. Tu, G. Reitsma</t>
  </si>
  <si>
    <t>A 4.96μW 15b Self-Timed Dynamic-Amplifier-Based Incremental Zoom ADC</t>
  </si>
  <si>
    <t>Y. Liu, M. Zhao, Y. Zhao, X. Yu, N. N. Tan, L. Ye, Z. Tan</t>
  </si>
  <si>
    <t>A 0.014mm2 10kHz-BW Zoom-Incremental-Counting ADC Achieving 103dB SNDR and 100dB Full-Scale CMRR</t>
  </si>
  <si>
    <t>L. Jie, M. Zhan, X. Tang, N. Sun</t>
  </si>
  <si>
    <t>Time-based</t>
  </si>
  <si>
    <t>A 4.4μW 2.5kHz-BW 92.1dB-SNDR 3rd-Order VCO-Based ADC with Pseudo Virtual Ground Feedforward Linearization</t>
  </si>
  <si>
    <t>C. Pochet, D. Hall</t>
  </si>
  <si>
    <t>A 2.87μW 1kHz-BW 94.0dB-SNDR 2-0 MASH ADC using FIA with Dynamic-Body-Biasing Assisted CLS Technique</t>
  </si>
  <si>
    <t>Y. Hu, Y. Zhao, W. Qu, L. Ye, M. Zhao, Z. Tan</t>
  </si>
  <si>
    <t>A 0.0375mm2 203.5μW 108.8dB DR DT Single-Loop DSM Audio ADC Using a Single- Ended Ring-Amplifier-Based Integrator in 180nm CMOS</t>
  </si>
  <si>
    <t>C. Y. Lee, U-K. Moon</t>
  </si>
  <si>
    <t>A 5GS/s 360MHz-BW 68dB-DR Continuous-Time 1-1-1 Filtering MASH ΔΣ ADC in 40nm CMOS</t>
  </si>
  <si>
    <t>Q. Liu, L. Breems, C. Zhang, S. Bajoria, M. Bolatkale, R. Rutten, G. Radulov</t>
  </si>
  <si>
    <t>A 28nm 6GHz 2b Continuous-Time ΔΣ ADC with -101dBc THD and 120MHz Bandwidth Using Digital DAC Error Correction</t>
  </si>
  <si>
    <t>M. Bolatkale, R. Rutten, H. Brekelmans, S. Bajoria, Y. Gao, B. Burdiek, L. Breems</t>
  </si>
  <si>
    <t>An 84dB-SNDR Low-OSR 4th-Order Noise-Shaping SAR with an FIA-Assisted EF-CRFF Structure and Noise-Mitigated Push-Pull Buffer-in-Loop Technique</t>
  </si>
  <si>
    <t>T. Wang, T. Xie, Z. Liu, S. Li</t>
  </si>
  <si>
    <t>Non-TI data point</t>
  </si>
  <si>
    <t>Using core power only</t>
  </si>
  <si>
    <t>A 1.41pJ/b 224Gb/s PAM-4 SerDes Receiver with 31dB Loss Compensation</t>
  </si>
  <si>
    <t>Y. Segal, A. Laufer, A. Khairi, Y. Krupnik, M. Cusmai, I. Levin, A. Gordon, Y. Sabag, V. Rahinski, G. Ori, N. Familia, S. Litski, T. Warshavsky, U. Virobnik, Y. Horwitz, A. Balankutty, S. Kiran, S. Palermo, P. M. Li, A. Cohen</t>
  </si>
  <si>
    <t>SAR, Single-slope</t>
  </si>
  <si>
    <t>A Pitch-Matched ASIC with Integrated 65V TX and Shared Hybrid Beamforming ADC for Catheter-Based High-Frame-Rate 3D Ultrasound Probes</t>
  </si>
  <si>
    <t>Y. Hopf, B. Ossenkoppele, M. Soozande, E. Noothout, Z-Y. Chang, C. Chen, H. Vos, H. Bosch, M. Verweij, N. de Jong, M. Pertijs</t>
  </si>
  <si>
    <t>High-performance mode</t>
  </si>
  <si>
    <t>A Multimode 157μW 4-Channel 80dBA-SNDR Speech-Recognition Frontend With Self-DOA Correction Adaptive Beamformer</t>
  </si>
  <si>
    <t>T. Kang, S. Lee, S. Song, M. R. Haghighat, M. P. Flynn</t>
  </si>
  <si>
    <t>In Paper 6.1, Intel demonstrates a 224Gb/s PAM-4 receiver. The receiver features a data path with 18dB gain at 53GHz consisting of an inductively peaked analog front end, a 64-way time-interleaved ADC, a DSP incorporating a 16-tap digital FFE and a CDR loop utilizing a DCO followed by inductive clock distribution. The receiver supports channels with 31dB insertion loss at Nyquist with BER &lt; 1e-6. The power efficiency of the analog part is 1.41pJ/b.</t>
  </si>
  <si>
    <t>In Paper 10.1, the University of Southern California presents a 10GS/s two-step time-domain ADC, using a delay-tracking pipelined-SAR TDC. The 8b converter reaches a Walden FoM of 25fJ/c, in a very small area of only 2850m2 in 14nm CMOS.</t>
  </si>
  <si>
    <t>In Paper 10.2, National Cheng Kung University describes a 14b, 130MS/s pipelined-SAR ADC with a distributed averaging correlated level shifting ring amplifier. Consuming only 0.82mW at 130MS/s, the ADC achieves 72.5dB SNDR, yielding a FoMW and FoMS of 1.8fJ/c and 81.5dB, respectively.</t>
  </si>
  <si>
    <t>In Paper 10.3, Tsinghua University and Peking University show a 200MS/s pipelined-SAR ADC using an architecture that is optimized to combine kT/C noise cancellation with the use of PVT robust ring amplifiers. The 13b converter reaches an SNDR of 67dB, using an input capacitance of only 128fF.</t>
  </si>
  <si>
    <t>In Paper 10.4, Auburn University describes a 260MS/s, 12b pipelined-SAR ADC. The design uses a ring-TDC-based fine quantizer to minimize nonlinearity, save power and achieve PVT-robust automatic scale alignment between voltage and time domains. The converter reaches an efficiency of 3.04fJ/c FoMW and 174.8dB FoMS.</t>
  </si>
  <si>
    <t>In Paper 10.5, Analog Devices presents a high-precision SAR ADC with zero-order mismatch shaping, that makes linearity independent of capacitor matching. Made in a 180nm process, the 24b, 2MS/s precision SAR ADC reaches 0.03ppm INL and 106dB dynamic range.</t>
  </si>
  <si>
    <t>In Paper 10.6, Zhejiang University and Peking University describe a very efficient 15b self-timed incremental zoom ADC in 55nm CMOS, for IoT applications. The design, which consumes only 5uW from a 1V supply, reaches 50.2fJ/c FoMW and 177.3dB FoMS.</t>
  </si>
  <si>
    <t>In Paper 10.7, Tsinghua University and Peking University present a zoom-incremental-counting ADC with a 10kHz bandwidth. Made in a 28nm CMOS process, the design achieves 103dB SNDR and 100dB full-scale CMRR in only 0.014mm2.</t>
  </si>
  <si>
    <t>In Paper 25.1, UCSD describes an ADC which consumes 4.4μW from a 0.8V supply achieving a 92.1dB SNDR and 123.2dB SFDR over a 2.5kHz bandwidth. The pseudo virtual ground is exploited in a capacitively coupled VCO-based ADC to linearize and stabilize the system.</t>
  </si>
  <si>
    <t>In Paper 25.2, Zhejiang University presents a fully dynamic MASH ADC that consumes 2.87μW while achieving 96.9dB DR and 94.0dB SNDR in 1kHz BW at an OSR of 125×. A dynamic-body-biasing assisted correlated level shifting (CLS) technique is used to boost the DC gain of a single-stage FIA with only one reservoir capacitor.</t>
  </si>
  <si>
    <t>In Paper 25.3, Oregon State University shows a compact (0.0375mm2), low-power (203.5uW), high-resolution (108.8dB DR) 180nm DT DSM audio ADC. The design uses the pseudo-pseudo-differential switched capacitor technique, which utilizes single-ended circuits.</t>
  </si>
  <si>
    <t>In Paper 25.4, Eindhoven University of Technology presents a 5GS/s, CT MASH ADC achieving 68dB DR in 360MHz BW. It achieves 5dB higher FOMs and 2× lower FOMw, while occupying smaller area, in comparison to the state-of-the-art broadband CT ADCs.</t>
  </si>
  <si>
    <t>In Paper 25.5, NXP semiconductors introduces a CTΔΣ ADC achieving -101dBc THD and -105dBc IM3 with 120MHz bandwidth. The offset calibration and digital DAC error correction circuitries are implemented on-chip and do not require any external test/calibration signal.</t>
  </si>
  <si>
    <t>In Paper 25.6, Georgia Institute of Technology describes a 4th-order NS-SAR featuring a low OSR design and built-in buffering. The prototype in 65nm achieves 84.1dB SNDR with 500kHz BW (OSR=5) and 133.8uW (with input buffer).</t>
  </si>
  <si>
    <t>In Paper 32.2, TU Delft presents an ASIC for catheter-based high-frame-rate 3D ultrasound probes. The ASIC integrates an analog front-end, μ-beamformer, ADC and a datalink that processes 1000vol/s, while consuming 1.23mW RX power.</t>
  </si>
  <si>
    <t>In Paper 32.5, University of Michigan at Ann Arbor introduces a 4-channel speech-recognition front-end with a self-Direction-of-Arrival correction adaptive beamformer that mitigates distortion. The chip consumes 157μW while achieving 80 dBA SNDR.</t>
  </si>
  <si>
    <t>C06-1</t>
  </si>
  <si>
    <t>A 600mVPP-Input-Range 94.5dB-SNDR NS-SAR-Nested DSM with 4th-Order Truncation-Error Shaping and Input-Impedance Boosting for Biosignal Acquisition</t>
  </si>
  <si>
    <t xml:space="preserve"> K. Jeong, G. Yun, S. Ha, M. Je</t>
  </si>
  <si>
    <t>We present a 600mVPP-linear-input-range 94.5dB-SNDR NS-SAR-based DSM with input-impedance boosting for biopotential recording. The proposed  ADC utilizes a 1st-order DSM to widen the input range and a 2ndorder noise-shaping SAR ADC for power efficiency. Also, the truncation  error is 4th order shaped. Achieved 174.3dB FOMSNDR, and 175.6dB FOMDR, consuming 5.2μW.</t>
  </si>
  <si>
    <t>C06-2</t>
  </si>
  <si>
    <t>An 81.6dB SNDR 15.625MHz BW 3rd Order CT SDM with a True TI NS Quantizer</t>
  </si>
  <si>
    <t>This paper presents a CT SDM with a TINSQTZ. Complete parallelization of the NSQTZ operations relaxes loop filtering and residue integration and enables a high QTZ resolution. The 28nm CMOS prototype consumes 6.4mW at 500MS/s. The measured SNDR is 81.6dB for a 15.625MHz bandwidth. The corresponding FoMsSNDR is 175.5dB.</t>
  </si>
  <si>
    <t>S. Lee, T. Kang, S. Song, K. Kwon, M. Flynn</t>
  </si>
  <si>
    <t>C06-3</t>
  </si>
  <si>
    <t>C06-4</t>
  </si>
  <si>
    <t>A 100kHz-Bandwidth 98.3dB-SNDR Noise-Shaping SAR ADC with Improved Mismatch Error Shaping and Speed-Up Techniques</t>
  </si>
  <si>
    <t>Noise-Shaping (NS) SAR ADCs can have high Dynamic Range (DR) and be easily adopted to many applications. This paper proposes four techniques to improve the DR and conversion speed of NS SAR ADCs. A prototype ADC achieves SNDR/SNR/SFDR of 98.3dB/99.3dB/108.5dB with 100kHz bandwidth and 12.8MS/s. Schreier FoM reaches 175.3dB.</t>
  </si>
  <si>
    <t>K. Hasebe, S. Etou, D. Miyazaki, T. Iguchi, Y. Yagishita, M. Takasaki, T. Nogamida, H. Watanabe, T. Matsumoto, Y. Katayama</t>
  </si>
  <si>
    <t>A First-Order Continuous-Time Noise-Shaping SAR ADC with Duty-Cycled Integrator</t>
  </si>
  <si>
    <t>This paper presents the first continuous-time (CT) noise-shaping SAR (NS-SAR) ADC. Unlike prior discrete-time (DT) NS-SAR ADCs, this ADC utilizes a CT Gm-C integrator to realize inherent anti-aliasing. The prototype achieves 77 dB peak SNDR within 62.5 kHz bandwidth while consuming 13.5 μW, and it provides 15 dB anti-aliasing suppression.</t>
  </si>
  <si>
    <t>H. Li, Y. Shen, E. Cantatore, P. Harpe</t>
  </si>
  <si>
    <t>C10-2</t>
  </si>
  <si>
    <t>C10-3</t>
  </si>
  <si>
    <t>C10-4</t>
  </si>
  <si>
    <t>C10-5</t>
  </si>
  <si>
    <t>A 50 MS/s 65 dB-SNDR Pipelined SAR ADC using Capacitively Degenerated Two-Stage Dynamic Amplifier</t>
  </si>
  <si>
    <t>This paper presents capacitively degenerated two-stage dynamic amplifier, achieving high voltage gain and good linearity in residue amplifier of pipelined SAR ADC. It achieves 65-dB SNDR at sampling rate of 50 MS/s, while consuming 0.46 mW. This corresponds to Walden FoM of 6.33 fJ/conv.-step and Schreier FoM of 172.35 dB.</t>
  </si>
  <si>
    <t>H. Yoon, T. Kim, Y. Kwon, Y. Chae</t>
  </si>
  <si>
    <t>A 0.56mW 63.6dB SNDR 250MS/s SAR ADC in 8nm FinFET</t>
  </si>
  <si>
    <t>This paper presents a SAR ADC using coarse and fine comparators with dedicated SAR logics and asynchronous clockgenerators. The offset of the comparators are calibrated without power consumption and skewed inverters save current without CDAC settling time. The ADC achieves 63.6dB SNDR at 250MS/s while consuming 0.56mW, resulting 1.81fJ/c.∙s. FoMW.</t>
  </si>
  <si>
    <t>J. Lee, Y. Lim, J. Lee, T. Jang, K. Kang, J. Cho, S. Oh</t>
  </si>
  <si>
    <t>A 9.8-fJ/conv.-step FoMW 8b 2.5-GS/s Single-Channel CDAC-Assisted Subranging ADC with Reference-Embedded Comparators</t>
  </si>
  <si>
    <t>This paper proposes an 8b CDAC-assisted subranging ADC using reference-embedded comparators (RECs). Both the power and calibration overhead of the RECs are largely reduced by a CDAC. At 2.5 GS/s, the measured SNDR is 44.8 dB with 3.5 mW. This 28-nm ADC achieves a FoMW of 9.8 fJ/conv.-step only.</t>
  </si>
  <si>
    <t>J-C Wang, B-Y Li, T-H Kuo</t>
  </si>
  <si>
    <t>RaM-SAR: A Low Energy and Area Overhead, 11.3fJ/conv.-step 12b 25MS/s Secure Random-Mapping SAR ADC with Power and EM Side-channel Attacks Resilience</t>
  </si>
  <si>
    <t>This paper presents a 12b 25MS/s 11.3fJ/conv.-step. secure random-mapping SAR ADC with power/EM side-channel attack resilience. A prototype in 65nm CMOS demonstrates significant improvement for 12.5× higher bandwidth and 4.8× better energy-efficiency over prior works.</t>
  </si>
  <si>
    <t>R. Chen, H. Wang, A. Chandrakasan, H-S Lee</t>
  </si>
  <si>
    <t>C19-1</t>
  </si>
  <si>
    <t>C19-3</t>
  </si>
  <si>
    <t>C19-4</t>
  </si>
  <si>
    <t>An 8-bit 56GS/s 64x Time-Interleaved ADC with Bootstrapped Sampler and Class‑AB Buffer in 4nm CMOS</t>
  </si>
  <si>
    <t>A 56 GS/s 8-bit 16x4 SAR ADC in 4nm CMOS is demonstrated. The ADC uses a novel bootstrapping technique and a class-AB follower. The ENOB is 6.5 at low frequency and stays above 5.2 up to Nyquist. The bandwidth is higher than 27 GHz and the efficiency is 47 fJ/conv.step.</t>
  </si>
  <si>
    <t>A 6.0mW 3.8GS/s 7b VTC/TDC-Assisted Interleaved SAR ADC with 13GHz ERBW</t>
  </si>
  <si>
    <t>We present a hybrid ADC using one high-speed voltage-to-time converter as an interleaved SAR buffer to enhance bandwidth and remove timing skew. Time-domain encoding allows an assist TDC to enhance SAR speed. At 3.8GS/s, the 6.0mW 0.0045mm2 22nm FinFET prototype achieves 13GHz ERBW and 38dB Nyquist SNDR for 24.4fJ/step FoM.</t>
  </si>
  <si>
    <t>A 12-bit 10GS/s 16-Channel Time-Interleaved ADC with a Digital Processing Timing-Skew Background Calibration in 5nm FinFET</t>
  </si>
  <si>
    <t>A 12b 10GS/s 16-channel time-interleaved (TI) ADC with cascaded input buffers, 625MS/s voltage-current (V-I) pipelined SAR ADCs and a digital processing timing-skew background calibration is proposed. A prototype 10GS/s TI ADC achieves 48dB SNDR at the Nyquist input with 625mW power consumption, leading to a FoM of 305fJ/c-s.</t>
  </si>
  <si>
    <t>A Relative-Prime Rotation Based Fully On-Chip Background Skew Calibration for Time-Interleaved ADCs</t>
  </si>
  <si>
    <t>An on-chip background skew calibration technique for time interleaved (TI) ADCs with relative-prime rotation (RPR) based autocorrelation computation is presented, with which more flexible choice of number of channels and no residual skew accumulation are realized.</t>
  </si>
  <si>
    <t>C18-4</t>
  </si>
  <si>
    <t>A 0.4mm3 Battery-Less Crystal-Less Neural-Recording SoC Achieving 1.6cm Backscattering Range with 2mm×2mm On-Chip Antenna</t>
  </si>
  <si>
    <t>We demonstrate an all-integrated battery-less crystal-less neural-recording SoC featuring an overall size of 0.4mm3. A dither-based 3rd-order intermodulation (IM3) technique is proposed to prevent the backscattering signal from the blocker of wireless power transfer (WPT), achieving a communication range of 1.6cm with a 2mm×2mm on-chip antenna.  Meanwhile, a 2nd-order intermodulation (IM2) wireless-lock technique realizes low-power crystal-less clock generation. In-vivo testing shows that the neural signals recorded by our chip matches the wired testing waveforms including spikes, and the proposed techniques reduce the power consumption to 53.2μW</t>
  </si>
  <si>
    <t>A. Whitcombe, C. Lee, A. Kuriparambil Thekkumpate, S. Kundu, J. Timbadiya, A. Agrawal, B. Carlton, P. Sagazio, S. Pellerano, C. Hull</t>
  </si>
  <si>
    <t>K-J Moon, D-R Oh, Y-H Park, K-H Lee, S-J Park, S-N Lee, H-C Hwang, H-C Shin, Y-J Cho, M. Choi, J-S Shin</t>
  </si>
  <si>
    <t>D-J Chang, S-T Ryu</t>
  </si>
  <si>
    <t>C. Yang, Y. Zhang, Z. Chang, Z. Li, T. Zheng, Y. Luo, S. Zhang, K. Xu, G. Pan, B. Zhao</t>
  </si>
  <si>
    <t>A. Yonar, P. Francese, M. Braendli, M. Kossel, T. Morf, J. Proesel, S. Rylov, H. Ainspan, M. Cochet, Z. Deniz, T. Dickson, T. Beukema, C. Baks, M. Beakes, J. Bulzacchelli, Y-H Choi, B-J Yoo, H. Ahn, D-H Lim, G. Kang, S-H Park, M. Meghelli, H-G Rhew, D. Friedman, M. Choi, M. Soyuer, J. Shin</t>
  </si>
  <si>
    <t>SAR, Pipe, TI</t>
  </si>
  <si>
    <t>TI</t>
  </si>
  <si>
    <t>A 170 mW 10 b 50 Msample/s CMOS ADC in 1 mm²</t>
  </si>
  <si>
    <t>SDSC, TI, BP</t>
  </si>
  <si>
    <t>SDCT, BP</t>
  </si>
  <si>
    <t>SDCT, Complex, BP</t>
  </si>
  <si>
    <t>SDSC, BP</t>
  </si>
  <si>
    <t>SDCT, SDSC, BP</t>
  </si>
  <si>
    <t>SDCT, Filter, Complex, BP</t>
  </si>
  <si>
    <t>Two-Step, Subranging</t>
  </si>
  <si>
    <t>VCO, TDC</t>
  </si>
  <si>
    <t>SAR, SDSC, BP</t>
  </si>
  <si>
    <t>SDSC, Class-C</t>
  </si>
  <si>
    <t>Pipe, Log</t>
  </si>
  <si>
    <t>VCO, BP</t>
  </si>
  <si>
    <t>SDSC, Incremental</t>
  </si>
  <si>
    <t xml:space="preserve">The architecture of this 12 b ADC is based on a three-stage conversion, using cascaded folding and interpolating techniques. Compared to other multi-stage ADC architectures, folding and interpolating ADCs are based on non-linear analog pre-processing. This architecture is an attractive solution for high-resolution ADCs, as extremely linear circuit topologies are not required. To increase the resolution of folding and interpolating ADCs above the published 8 b examples, without raising the number of parallel input stages or the number of comparators in the fine-comparator, a cascaded folding and interpolating architecture is introduced. The ADC achieves 64 dB signal-to-noise ratio (SNR) and 75 dB spurious-free dynamic range (SFDR), while quantizing a 15 MHz full-scale input signal at 50 MSample/s. The 7.0 mm² ADC is fabricated in a 13 GHz, 1 μm BiCMOS process and dissipates 300 mW from a single 5.0 V supply. The device is mounted in a standard 44-pin plastic package </t>
  </si>
  <si>
    <t xml:space="preserve">This 10 b AD-converter at a sample rate of 5O MSample/s, embedded in 50mm² of digital circuitry, shows 8.7 effective bits. A straight flash-architecture would need 1023 accurate fast comparators. With a 2 V input range, a comparator offset voltage of no more than 1 mV can be tolerated. Taking into account that the 1 mV is a 3-6 sigma value, leads to a large chip. If, however, the signals to the comparator are amplified before the critical decision, simple small comparators would suffice. To cope with the dynamic offset caused by the clocking and latch action of the comparator itself, the architecture must tolerate comparator offsets of up to 60-80 mV. Hence, a gain of at least 30 is necessary. A single amplifier however, could not handle this, as the input range of 2 V would be amplified to 60 V. The approach here is to use a distributed amplifier </t>
  </si>
  <si>
    <t>This 8b pipelined analog-to-digital converter (ADC) incorporates double sampling into the residue signal path of a 1.5b-per-stage architecture to effectively double the throughput of the ADC for a given analog power consumption. Residue amplifiers and sub-ADC comparators are shared between two time-interleaved channels and the sampling capacitors in the second stage are scaled in order to reduce power consumption. The ADC presented here achieves 75 MSamples/s while consuming 70 mW. The converter measures 5.5 mm² and is fabricated in a 3.3 V 0.5 μm digital CMOS process with four levels of metal and no special mask layers for passive components</t>
  </si>
  <si>
    <t xml:space="preserve">A 6b 400 MSample/s folding and interpolating CMOS ADC uses a low-impedance current-mode approach. Current division interpolation in the folders allows fast low-voltage operation. This interpolation together with a short aperture comparator, gives good performance for high-frequency inputs, without using a sample-and-hold. The ADC uses a single clock and its complement. The 0.6 mm² CMOS converter, fabricated in a 0.5 μm BiCMOS process dissipates 200 mW from a 3.2 V supply </t>
  </si>
  <si>
    <t>System-on-chip for video, QAM and VSB applications requires analog-to-digital converters (ADC) in state-of-the-art CMOS technology. The untrimmed ADC is realized in standard single poly 0.35 μm CMOS technology with 3.3 V supply voltage, dissipates 195 mW and measures 0.8 mm², including track-and-hold and clock-generation circuits. This ADC achieves 9.3 ENOB with an effective resolution bandwidth of 14 MHz at 16 MSample/s sample frequency. The ADC is based on a two-step architecture, which combines a high sampling rate with a limited number of comparators. This ADC operates at 3.3 V supply voltage by using a floating ladder structure, full differential dual residue signal processing with improved switching and offset-compensated residue amplifiers. Latency is kept at a minimum of 2 cycles</t>
  </si>
  <si>
    <t xml:space="preserve">This ADC is to be embedded in video-signal-processing ICs. Because this integration is mixed-signal, focus during architectural and circuit design is on low power, low area consumption and low substrate noise sensitivity and generation. The 10 b ADC is based on a cascaded folding and interpolating architecture. Folding and interpolating factors are optimized for low power and low area. The circuit fully exploits the available 5 V supply by means of stacked folding topologies and dimensioning is based on balancing trade-off parameters for the various devices and stages. The untrimmed ADC achieves Nyquist performance at 40 MSample/s: the input frequency, where half an effective bit is lost compared to low input frequency performance, is 20 MHz. The low input frequency performance is 9.2 effective bits. The 0.8 mm² ADC is in 7 GHz, 0.6 μm BiCMOS and dissipates 65 mW from a single 5 V supply </t>
  </si>
  <si>
    <t xml:space="preserve">High-speed A/D converters (ADCs) are essential for improving the transfer rate of hard disk drives. This CMOS 6 b 500 MSample/s full-flash ADC for a read channel has 5.5 effective number of bits (ENOB) for a 125 MHz input signal (which is one quarter of the sampling rate). The ADC occupies 2.4 mm² and power consumption is 400 mW for a 3.3 V supply. 0.4 μm CMOS technology is used </t>
  </si>
  <si>
    <t xml:space="preserve">A 7b 450MSample/s CMOS ADC in 0.18µm technology is used for the embedded digital read channel system in DVD SOC. A dynamic comparator and an interpolation circuit composed of gate-width-weighted transistors consumes 50mW and occupies 0.3mm² </t>
  </si>
  <si>
    <t>A successive-approximation ADC with non-binary code achieves 55dB SNR at sampling frequencies up to 20MHz. The converter, with on-chip driver for analog input and reference input, measures 0.08mm² in a standard 0.13µm CMOS process and consumes 12mW from a</t>
  </si>
  <si>
    <t xml:space="preserve">A 2nd order multi-level ΣΔ A/D converter for low-power multi-standard wireless receivers, in a single-poly 0.13 μm digital CMOS process, has 79/50 dB dynamic range for GSM/WCDMA. The 0.2 mm² chip consumes 2.4/2.9 mW at 1.5 V </t>
  </si>
  <si>
    <t xml:space="preserve">A 0.7V MOSFET-only switched-opamp ΣΔ modulator for speech applications achieves 67dB SNDR, and 75dB dynamic range. The circuit, occupying 0.08mm² in 0.18μm CMOS, does not use voltage boosting or low-VT devices. All capacitors are compensated MOS devices </t>
  </si>
  <si>
    <t xml:space="preserve">A 0.6µm double-poly CMOS 12b ADC uses a number of different techniques to obtain low power. The ADC achieves 68dB SNR at 21 MSample/s, consuming 30mW at 2.7V. Die area is 2.56mm² </t>
  </si>
  <si>
    <t xml:space="preserve">A 13b 50MSample/s pipeline ADC with digital self-calibration and IF-sampling frontend, using a 0.35µm BiCMOS process, achieves 76.5dB SFDR at 194MHz input. The chip occupies 6mm² and dissipates 715mW from a 2.9V supply </t>
  </si>
  <si>
    <t>The IC consists of a 5th-order single-loop tri-level ΣΔ modulator and a multistage digital filter. Measured dynamic range is 86dB over 1 MHz bandwidth. With 79dB peak SNDR, the chip consumes 33mW and occupies 1.5mm²</t>
  </si>
  <si>
    <t>A 10µV-offset 8kHz bandwidth 4th-order chopped ΣΔ A/D converter for battery management</t>
  </si>
  <si>
    <t xml:space="preserve">A chopped 4th-order continuous-time 1 bit ΣΔ A/D converter with 10 µV offset and 8 kHz bandwidth has been designed for battery current measurement. Chopping at 16 kHz, the circuit has a 0.1 V input range, a 68 dB SNR, and a 1 MHz output bit rate. Area is 0.45x0.4mm² in 0.35μm CMOS. Current consumption is 30μA at 2.5-4V. </t>
  </si>
  <si>
    <t>A fifth-order single-loop seventeen level ΣΔ modulator with an input feed-forward gain stage and second-order mismatch shaping logic achieves 114 dB dynamic range and -105 dB THD over the 20 kHz audio band. This stereo ADC occupies 5.62 mm² active area in a 0.35 μm 2P 3M CMOS process and dissipates only 55 mW power in the analog circuits.</t>
  </si>
  <si>
    <t>A dual-mode ΣΔ modulator is designed to meet the specifications of a WCDMA/GPRS receiver and is composed of a single-bit second-order modulator followed by a multi-bit stage that adapts performance to broadband signals. The modulator achieves 82dB and 70dB of dynamic range over bandwidths of 100kHz and 1.92MHz, respectively, and dissipates 4.3mW from a 1.2V supply. The circuit is implemented in 0.13μm CMOS technology and occupies an active area of 0.2mm².</t>
  </si>
  <si>
    <t xml:space="preserve">Complex continuous-time fifth-order ΣΔ modulator with 1b quantizer and switched-capacitor feedback DAC for a GSM/CDMA2000/UMTS receiver achieves a dynamic range of 92/83/74dB in 200/1228/3840kHz. Power consumption of one modulator is 3.8/4.1/4.5mW at 1.8V. Processed in 0.18μm CMOS, the 0.55mm² IC includes a PLL, two oscillators and a bandgap reference. </t>
  </si>
  <si>
    <t>A 10 b 80 MHz pipelined ADC with an active area of 1.85 mm² is realized in a 0.18 μm dual gate oxidation CMOS process and achieves 72.8 dBc SFDR, 57.92 dB SNR, and 9.29 ENOB for a 100 MHz input at full sampling rate. The ADC shares an amplifier between two successive pipeline stages in order to achieve a power consumption of 69 mW at 3 V.</t>
  </si>
  <si>
    <t xml:space="preserve">A 10 b 150 MHz multi-bit-per-stage single-channel CMOS pipelined ADC, incorporating temperature- and supply-insensitive CMOS references and improved gate-bootstrapping techniques for a wideband SHA, achieves a SNDR of 52 dB and SFDR of 65 dB at 150 MS/s. The ADC, fabricated in 0.18 μm CMOS, occupies an active die area of 2.2 mm² and consumes 123 mW at 1.8 V. </t>
  </si>
  <si>
    <t>The multi-bit first stage of a 12 b 75 MS/s pipelined ADC uses an open-loop gain stage to achieve more than 60% residue amplifier power savings over a conventional implementation. Statistical background calibration removes linear and nonlinear residue errors in the digital domain. The prototype IC achieves 68.2 dB SNR, -76 dB THD, occupies 7.9 mm² in 0.35 μm CMOS and consumes 290 mW at 3 V.</t>
  </si>
  <si>
    <t xml:space="preserve">Dielectric relaxation in PECVD SiN capacitors of a 45 GHz 0.4 μm SiGe BiCMOS process degrades performance even at low frequencies. In the design of pipelined 14 b 70 MS/s ADC, the effects of dielectric relaxation are identified via behavioral/circuit simulations and ad-hoc tests. After LPCVD oxide capacitors are introduced, a 5.3×5.3 mm² test chip delivers 72 dB SNR, 81 dBc SFDR, and 11.5 ENOB at 70 MS/s with a 1 MHz input. The IC dissipates 1 W from 3.3 V. </t>
  </si>
  <si>
    <t xml:space="preserve">A 2-2 cascaded ΣΔ modulator with continuous-time loop filters and 4b quantizers is presented. The dynamic range is 67dB in a 10MHz bandwidth at a 160MS/s with a full-scale input range of 200mVrms. Inherent anti-aliasing filtering is over 50dB. The 0.18μm CMOS chip measures 1.7mm² and draws 68mA from a 1.8V supply. </t>
  </si>
  <si>
    <t xml:space="preserve">Sampled at 200 MHz, a 5th-order 4 b-quantizer single-loop ΣΔ modulator achieves a 25 MS/s conversion rate with 84 dB DR and 82 dB SNR, a performance suitable for VDSL. Implemented in 0.18 μm CMOS, the 0.95 mm² chip has a power consumption of 200 mW from a 1.8 V supply. </t>
  </si>
  <si>
    <t xml:space="preserve">A second-order continuous-time ΔΣ modulator for a WCDMA RX is implemented with inverter-based OTAs, enabling operation at a voltage of 0.9 V. The OTAs are balanced by using CMFB. The modulator consumes only 1.5 mW and occupies 0.12 mm² in a 0.13 μm CMOS process. SNDR is 50.9 dB over a bandwidth of 1.92 MHz. </t>
  </si>
  <si>
    <t xml:space="preserve">A third-order single-loop SC ΣΔ modulator is realized in a standard 90 nm digital CMOS technology. The modulator achieves 88 dB dynamic range for a 20 kHz signal bandwidth with an OSR of 100. Power consumption is 140 μW from a 1 V supply, and the chip core size is 0.18 mm². </t>
  </si>
  <si>
    <t>A continuous-time ΣΔ ADC with merged channel filter and programmable-gain functionality is presented. Interferers above full-scale can be applied without jeopardizing reception of weak desired signals. The merged design occupies 0.14 mm² in 0.18 μm CMOS, consumes 2 mW, and achieves 89 dB of dynamic range (DR) in a 1 MHz bandwidth.</t>
  </si>
  <si>
    <t xml:space="preserve">An 8b CMOS folding ADC with resistive averaging and interpolation exhibits 7.5 ENOB and a maximum sample frequency of 600MS/s while dissipating only 200mW. The ADC utilizes preset switches at the outputs of the pre-amplifiers. Chip area is 0.2mm², and supply voltage is 3.3/1.8V in 0.35/0.18μm CMOS. </t>
  </si>
  <si>
    <t>A 21mW 8b 125MS/s ADC occupying 0.09mm² in 0.13µm CMOS</t>
  </si>
  <si>
    <t xml:space="preserve">An 8b subranging ADC uses interpolation, averaging, offset compensation and pipelining techniques to accomplish 7.6b ENOB at 125MS/s. The 0.13μm CMOS ADC occupies 0.09mm² and consumes 21 mW. </t>
  </si>
  <si>
    <t xml:space="preserve">A 15 b 20 MS/s CMOS pipelined ADC is fabricated in a 0.18 μm dual-gate CMOS technology and achieves 94 dB SFDR and 74 dB SNDR for a 8 MHz input. Digital calibration can proceed continuously in the background to maintain the ADC resolution. The chip occupies an area of 3.3×3.4 mm² and dissipates 235 mW with 1.8 V and 3.3 V dual supplies. </t>
  </si>
  <si>
    <t xml:space="preserve">A 1.8 V, 14 b pipelined ADC using passive capacitor error-averaging and nested CMOS gain boosting achieves 99 dB SFDR for signal frequencies up to 5.1 MHz without trimming or calibration. With a 1 MHz analog input, DNL is 0.31 LSB, INL is 0.58 LSB, and SNDR is 73.6 dB. The chip occupies 15 mm² in 0.18 μm CMOS and dissipates 112 mW. </t>
  </si>
  <si>
    <t xml:space="preserve">A 12 b 80 MS/s pipelined ADC is calibrated for constant and signal-dependent gain errors as well as for slew-rate errors. With foreground calibration, peak SNDR is 72.6 dB, and peak SFDR is 85.4 dB. Using an on-chip microprocessor for calibration, the total power dissipation is 755 mW from 2.5 V, and the active area is 19.6 mm² in a 0.25 μm CMOS process. </t>
  </si>
  <si>
    <t>A 10 b 80 MHz pipeline ADC consumes 22 mA at 1.5 V and occupies a die area of 0.3 mm² in a 0.13 μm CMOS technology. The ADC is based on a conventional 1.5 b pipeline architecture combined with dynamic-range-doubling and dynamic-reference-selection algorithms.</t>
  </si>
  <si>
    <t xml:space="preserve">Capacitor mismatch in a 1.5 b/stage pipelined ADC is self-trimmed with a zero-forcing calibration loop based on ΔΣ polarity detection. Signal-subtracted analog PN error correlation shortens background calibration time by a factor of 10. The 4.2×3.8 mm² chip in 0.18 μm CMOS exhibits 1 LSB INL at 14 b, 84 dB SFDR at 30 MS/s, and consumes 350 mW at 3 V. </t>
  </si>
  <si>
    <t xml:space="preserve">A ΔΣ ADC with a CT 1st-stage is presented. A hybrid tuning circuit adjusts the RC time constant to compensate for process, supply, and sampling rate variations. The ISI of the feedback DAC is eliminated by an RTZ scheme applied to the error current of the CT integrator. The ADC achieves 106dB SNR, -97dB THD+N, occupies 0.82mm² in a 0.35μm CMOS process and dissipates 18mW. </t>
  </si>
  <si>
    <t xml:space="preserve">A second-order mixed CT SC ΔΣ modulator uses multi-bit feedback to reduce clock-jitter sensitivity. The chip is implemented in 0.18μm CMOS using 3.3V I/O devices and achieves 102dB SNR in a 20kHz bandwidth by using chopper stabilization to reduce flicker noise. The ADC core draws 11.3mA from a 3.3V supply and occupies 0.65mm². </t>
  </si>
  <si>
    <t xml:space="preserve">A 10b pipelined ADC has been realized in a digital 90 nm CMOS technology using techniques such as switched opamps and switched-input buffers. Measurements show that this ADC samples at 12 MS/s achieving a peak SNDR of 52.6 dB using a 1.2 V supply. It consumes 3.3 mW and occupies 0.3 mm² core area. </t>
  </si>
  <si>
    <t>A 10 b 125 MS/s pipelined ADC uses a new front-end circuit and consumes 40 mW from a 1.8 V supply. The ADC is implemented in a 0.18 μm CMOS process and has an active area of 1.1×0.6 mm². Measured INL (integral nonlinearity) and DNL (differential nonlinearity) are within ±0.7 LSB, and ±0.5 LSB, respectively. Peak SNDR is 53.7 dB with a 2 MHz input.</t>
  </si>
  <si>
    <t>An 8b 200MS/s 2.8b-per-stage pipelined ADC is realized in a 0.18μm CMOS process. By using partially switched operational amplifiers, the ADC consumes 30mW from a 1.8V supply and occupies 0.15mm². The ADC achieves 47.3dB SNDR, 55.8dB SFDR, and 7.6 ENOB for a 90MHz input at 200MS/s.</t>
  </si>
  <si>
    <t xml:space="preserve">The implementation of a 3rd-order 50MS/s CT ΔΣ modulator with 5 levels of quantization, for a CDMA2k receiver, is presented. Its 9nVrms/√Hz input referred noise produces 80dB of DR in a 600kHz BW for signals as low as 70mVrms. It draws 4mA from a single 1.5V supply, uses a 90nm CMOS process and occupies 0.25mm². </t>
  </si>
  <si>
    <t>A 14b 20mW 640MHz CMOS CT ΔΣ ADC with 20MHz Signal Bandwidth and 12b ENOB</t>
  </si>
  <si>
    <t>A 375mW Quadrature Bandpass ΔΣ ADC with 90dB DR and 8.5MHz BW at 44MHz</t>
  </si>
  <si>
    <t xml:space="preserve">A CT quadrature bandpass ADC is designed for a multi-standard television receiver. When clocked at 264MHz, the ADC achieves 90dB of total DR over an 8.5MHz BW centered at 44MHz. The 4th-order 4b ADC uses a modified feedforward topology and includes 12dB of AGC. The 2.5mm² chip consumes 375mW in a 0.18mum CMOS process </t>
  </si>
  <si>
    <t>An 118dB DR CT IF-to-Baseband ΣΔ Modulator for AM/FM/IBOC Radio Receivers</t>
  </si>
  <si>
    <t>A 14mW Multi-bit ΔΣ Modulator with 82dB SNR and 86dB DR for ADSL2+</t>
  </si>
  <si>
    <t>A 5.4mW 2-Channel Time-Interleaved Multi-bit ΔΣ Modulator with 80dB SNR and 85dB DR for ADSL</t>
  </si>
  <si>
    <t>A 2nd-order DeltaSigma modulator that obtains low power consumption by 2-channel time-interleaving is described. The main channel requires 2 opamps whereas the second channel does not use any active elements. This structure is robust to channel mismatches and uses a simple clocking scheme. The circuit is integrated in a 0.18mum CMOS process and occupies an active area of 1.1mm²</t>
  </si>
  <si>
    <t>A 2nd-order DeltaSigma ADC implemented in 0.18mum CMOS occupies 0.06mm² and dissipates 0.2mW from a 0.9V supply. It achieves 80dB SNDR and 83dB DR over a 10kHz BW employing a single-phase technique to reach such performance. An amplifier-sharing scheme is proposed to improve power and area efficiency</t>
  </si>
  <si>
    <t>An 80/100MS/s 76.3/70.1dB SNDR ΔΣ ADC for Digital TV Receivers</t>
  </si>
  <si>
    <t xml:space="preserve">A 4th-order SC DeltaSigma modulator with a 4b quantizer is designed for a low-power direct-conversion receiver SoC for Japanese ISDB-T and European DVB-T. It achieves a 76.3/70.1dB SNDR over a 3.2/4MHz bandwidth with a clock frequency of 80/100MHz. The 1.7mm² chip, fabricated in a 0.18mum CMOS process draws 13.2/19.1mA from a 1.8V supply. It has a FOM of 0.7/1.64pJ/conversion </t>
  </si>
  <si>
    <t xml:space="preserve">A 10b pipelined ADC with programmable speed and power achieves a power efficiency of 0.5pJ/conversion-step for sampling frequencies between 25 and 100MHz. Measurements show an ENOB of 9.3b, ERBW exceeding 100MHz, and THD&lt;-65dB with a supply voltage of 1.2V. Chip area is 0.3mm² in a 90nm digital CMOS process </t>
  </si>
  <si>
    <t xml:space="preserve">Power-saving techniques such as opamp current reuse and capacitive level shift reduce the power consumption of a 10b pipelined ADC to 220muW/MHz. A 50MS/S prototype in 0.18mum CMOS consumes 18mW (11mW for analog) at 1.8V and occupies 1.1times1.3mm². The measured ENOB of the ADC is 9.2b (8.8b) for a 1MHz (20MHz) input </t>
  </si>
  <si>
    <t>A 15mW 0.2mm² 10b 50MS/s ADC with Wide Input Range</t>
  </si>
  <si>
    <t>A 10b 50MS/s pipelined ADC, implemented in a 0.13mum CMOS process, consumes of 15mW and occupies an active die area of 0.2mm² . In the prototype ADC, a high-to-low analog level-shifting SHA is proposed to deal with a wide input range of 2VPP differential. A PVT-insensitive bias generator is employed for low voltage operation. The measured DNL and INL are plusmn0.17LSB and plusmn0.16LSB, respectively</t>
  </si>
  <si>
    <t>Using statistical matching properties of capacitor arrays, a pipelined ADC self-configures the MDAC capacitor array for best matching from many trial combinations. A 0.18mum CMOS prototype achieves 13b linearity and over 80dB SFDR at 43MS/s. The chip consumes 268mW from a 1.8V supply and occupies 3.6mm²</t>
  </si>
  <si>
    <t>A 1.2V 6b 1GS/s ADC is fabricated in a 90nm CMOS process, occupies 0.13mm², and consumes 55mW. This ADC uses background offset-calibration to enable the use of minimum-size devices in pre-amplifiers and comparators. A solution that guarantees fast selection of the important reference voltages, and halves the number of switches in the resistor ladder, further improves high-frequency performance</t>
  </si>
  <si>
    <t xml:space="preserve">A 1.2V 6b ADC using asynchronous processing with dual time interleaving and non-binary successive approximation achieves 600MS/s while dissipating 5.3mW in a 0.13mum CMOS process. A capacitive ladder network is used to reduce the input capacitance without compromising matching accuracy. The ADC occupies an active area of 0.12mm² and has an input 3dB BW of over 4GHz </t>
  </si>
  <si>
    <t xml:space="preserve">A time-interleaved ADC architecture that eliminates the need to correct timing offsets and is scalable to high sampling rates is presented. This 1GS/S 11b ADC has 55dB peak SNDR, consumes 250mW power, and occupies 3.5mm² area </t>
  </si>
  <si>
    <t xml:space="preserve">A 90nm CMOS CT quadrature DeltaSigma modulator is designed for highly digitized wideband receivers. The ADC achieves 77dB DR and 20MHz BW around a 10.5MHz IF and is sampled at 340MHz. The cascaded modulator comprises programmable analog 2nd-order quadrature filters and a digital quadrature noise-cancellation filter. The 0.5mm² chip draws 56mW from a 1.2V supply </t>
  </si>
  <si>
    <t xml:space="preserve">A 2-2 cascaded multi-standard DeltaSigma modulator achieves a OR of 88/79/67dB in EDGE/UMTS/WLAN mode, respectively. With a high linearity of -92dB THD and 34dBm IIP3 for EDGE, this ADC is suitable for wireless applications. Implemented in 0.13 mum CMOS and occupying 0.4mm², the modulator covers 0.1-to-10MHz signal bandwidth with scalable power consumption between 2.9 and 20.5mW from a 1.2V supply. </t>
  </si>
  <si>
    <t xml:space="preserve">A 2-channel time-interleaved 40MS/s SAR ADC with redundancy is presented. The 0.13mum 1.5V CMOS design runs at 480MHz iteration clock and features 89dB THD and 81dB SNDR. Including the PLL, the second-order anti-alias filter, and reference buffer, the chip consumes 66mW and occupies 0.55mm². </t>
  </si>
  <si>
    <t>A low-voltage design is developed for amplifiers in the pipelined ADC, regulating overdrive voltage to be constant over PVT variations. A prototype 10b 80MS/S pipelined ADC is fabricated in a 90nm CMOS process. The ADC consumes 6.5mW from a 0.8V supply and occupies 1.18 times 0.54mm²</t>
  </si>
  <si>
    <t>A 4.7mW 0.32mm² 10b 30MS/s Pipelined ADC Without a Front-End S/H in 90nm CMOS</t>
  </si>
  <si>
    <t xml:space="preserve">A 4.7mW 10b 30MS/s pipelined ADC is implemented without a front-end S/H for low power consumption and small area. The prototype ADC, fabricated in a 90nm CMOS process, shows an SNDR of 58.4dB and an SFDR of 75.2dB with a 2MHz sinusoidal input sampled at 30MS/S. The 0.32 mm² chip dissipates 4.7mW at a 1V supply and has a FOM of 0.23pJ/conversion-step. </t>
  </si>
  <si>
    <t>A 10b 205MS/s 1.0mm² 90nm CMOS Pipeline ADC for Flat Panel Display Applications</t>
  </si>
  <si>
    <t xml:space="preserve">A 10b 205MS/S 1mm² ADC for flat-panel display applications is implemented in a 90nm CMOS process. The ADC with an LDO regulator achieves a 53dB PSRR for a 100MHz noise tone and a 55.2dB SNDR for a 30MHz 1Vpp single-ended input at 205MS/S. The core ADC power consumption is 40mW from a 1V non-regulated supply. </t>
  </si>
  <si>
    <t xml:space="preserve">A 10b 205MS/S IF sampling pipelined ADC is fabricated in 1.2/3.3V 0.13mum CMOS. Power consumption and die area are improved by using single-stage opamps throughout the pipeline chain; digital calibration compensates for the reduced stage gain. Foreground calibration is used to shorten the start-up time and background calibration is used afterwards. The ADC has ENOB of 9.0, ERBW of 330MHz, dissipates 92.5mW, and occupies 0.52mm². </t>
  </si>
  <si>
    <t xml:space="preserve">An 11 b 800MS/S time-interleaved ADC is implemented in a 90nm CMOS process for a 10GBase-T application. A single open-loop T/H circuit using a cascode source follower achieves high resolution and conversion rate. The offset and gain mismatches are corrected by the digital background calibration. The measured DNL and INL are &lt;0.5LSB and &lt;1.6LSB, respectively. The measured SNDRs are 58 and 54dB for 15 and 400MHz inputs, respectively. The 1.4mm² ADC consumes 350mW from a 1.3V supply (1.5V for T/H). </t>
  </si>
  <si>
    <t xml:space="preserve">A low-power 1.2 V pipelined ADC is implemented in a 65 nm CMOS process to achieve 10b resolution at 100 MS/s based on the use of a dedicated thin-oxide high-performance analog (HPA) MOS transistor. The pipeline ADC is composed of eight 1.5b pipelined stages followed by a 2b flash converter as the last stage. In order to optimize the power consumption, the capacitances and the bias current of each stage have been scaled down along the pipeline chain. Measurement results of this ADC revealed a SNDR of 59 dB with a power dissipation of 4.5 mW. The core occupies 0.07 mm², and 0.1 mm² with the reference. </t>
  </si>
  <si>
    <t xml:space="preserve">The ADC is fabricated in 90 nm digital CMOS process. The chip consumes 34 mW at 300MS/s (fin=fs/2) from 1.2 V analog/digital and 2.5 V T/H-switches supply. At 100 MS/s (fin= fs/2), it consumes 6.7 mW from 0.75 V analog/digital and 1.5 V T/H-switches supplies. FOMs are 780 fJ/conversion-step at 300 MS/s (fin=fs/2), 680fJ/conversion-step at 300MS/s (fin=2MHz), 350 fJ/conversion- step at 100 MS/s (fin=fs/2) and 290 fJ/conversion-step at 100 MS/s (fin=2MHz).The active area is 0.29 mm². </t>
  </si>
  <si>
    <t>A 9b 14μW 0.06mm² PPM ADC in 90nm Digital CMOS</t>
  </si>
  <si>
    <t>A 1.2V 2MHz BW 0.084mm² CT ΔΣ ADC with -97.7dBc THD and 80dB DR Using Low-Latency DEM</t>
  </si>
  <si>
    <t>A mostly digital variable-rate continuous-time ΔΣ modulator is presented with power dissipation, output sample-rate, bandwidth, and peak SNDR ranges of 8 to 17mW, 0.5 to 1.15GHz, 3.9 to 18MHz, and 67 to 78dB, respectively. The IC is implemented in a 65nm CMOS process with an active area of 0.07mm².</t>
  </si>
  <si>
    <t>A 10b pipelined ADC employs opamp and time-sharing techniques to reduce the power consumption and silicon area. The presented ADC needs only one opamp to complete the 10b conversion. The chip is fabricated in a 90nm digital CMOS process and occupies 0.058mm². It operates at 100MS/s and achieves an SNDR of 55.0dB while the power consumption is 4.5mW from a 1.0V supply.</t>
  </si>
  <si>
    <t>This paper describes an 18b 12.5MHz ADC that uses a pipeline of 2 successive-approximation ADCs. Both ADCs, one before and one after a closed loop residue amplifier, determine 2 bits plus one redundant bit per bit trial. The converter core consumes 105mW and achieves a dynamic range of 93dB. The chip is implemented in a 0.25μm/0.5μm CMOS process and occupies 6mm².</t>
  </si>
  <si>
    <t>A 12b 22.5/45MS/s 3.0mW 0.059mm² CMOS SAR ADC Achieving Over 90dB SFDR</t>
  </si>
  <si>
    <t>A perturbation-based background digital calibration enables the capacitance scaling to the kT/C limit in a 12b SAR ADC. Combined with a dynamic threshold comparison technique, the 0.13μm CMOS prototype measures a 71.1dB peak SNDR, a 94.6dB peak SFDR, and a peak FoM of 31.4fJ/conversion-step while dissipating 3.0mW from a 1.2V supply and occupying 0.059mm².</t>
  </si>
  <si>
    <t>A 0.06mm² 8.9b ENOB 40MS/s Pipelined SAR ADC in 65nm CMOS</t>
  </si>
  <si>
    <t>An 8.9-ENOB 40MS/s two-stage pipelined SAR ADC for a WLAN receiver is designed and fabricated in a 65nm CMOS technology. The 1st stage is realized by a 1.5b/cycle SAR to mitigate the comparator offset issue. The 2nd stage employs a radix-1.8 SAR to avoid the parasitic capacitance issue. The presented architecture occupies 0.06mm² of area despite using a large unit capacitance of 60fF.</t>
  </si>
  <si>
    <t>An 800MS/s 4×-interleaved 12b pipeline ADC, occupying 0.88mm² in 40nm CMOS, achieves an SNDR of 59dB. Power consumption of 105mW is achieved using low open-loop-gain amplifiers in a dual-residue topology, resulting in a FOM of 0.18pJ/conversion. A fast background offset calibration algorithm removes the offsets of the MDAC stages.</t>
  </si>
  <si>
    <t>A 0.024mm² 8b 400MS/s SaR adc with 2b/cycle and Resistive dac in 65nm cMoS</t>
  </si>
  <si>
    <t>An 8b 400MS/s SAR ADC with 2b-per-cycle architecture is fabricated in a 65nm CMOS process. The ADC uses a single resistive DAC and occupies 0.024mm². At maximum conversion rate with a 1.9MHz input signal, the prototype consumes 4mW exhibiting an SNDR of 44.5dB with an SFDR of 54.0dB. The FOM is 73fJ/conversion-step at 400MS/s from a 1.2V supply and 42fJ/conversion-step at 250MS/s from a 1V supply.</t>
  </si>
  <si>
    <t>A 4GHz CT ΣΔADC is presented with a loop filter topology that absorbs the pole caused by the input capacitance of its 4b quantizer and compensates for the excess delay caused by the quantizer’s latency. Implemented in 45nm CMOS, the ADC achieves 70dB DR and -74dBFS THD in a 125MHz BW, while dissipating 256mW and occupying only 0.9mm².</t>
  </si>
  <si>
    <t>A 3rd-order single-loop CT ΔΣ modulator with a 4b quantizer is sampled at 500MHz with an OSR of 10. It achieves 63.5dB SNDR and -81dB SFDR in a 25MHz bandwidth without DEM. The DAC nonlinearity is digitally estimated and corrected. All feedback amplifiers are compensated for finite GBW influence. The modulator occupies 0.15mm² in 90nm CMOS and achieves an FOM of 125fJ/conversion-step.</t>
  </si>
  <si>
    <t>An LC Bandpass ΔΣ ADC with 70dB SNDR over 20MHz Bandwidth Using CMOS DACs</t>
  </si>
  <si>
    <t>A 6th order LC bandpass ΔΣ ADC with 3.2GHz clock and 20mW power consumption in a 40nm CMOS process achieves 70dB SNDR over a 20MHz bandwidth tunable from 700 to 800MHz center. Thermal noise, particularly in the 1st stage DAC, was found to be a key limitation on performance, and a capacitively coupled CMOS RTZ voltage mode DAC was found to be considerably superior to current switching DACs.</t>
  </si>
  <si>
    <t>A 12mW Low Power Continuous-time Bandpass Δ;Σ; Modulator with 58dB SNDR and 24MHz Bandwidth at 200MHz IF</t>
  </si>
  <si>
    <t>A 800MS/s low power 4th-order continuous-time bandpass ΣΔ modulator with 24MHz bandwidth at 200MHz IF is presented. A novel power efficient resonator with a single amplifier is used as a loopfilter, and a new 4th-order architecture is introduced for system simplicity and low power. This modulator shows 58dB SNDR, 60dB DR and 65dB IMD, and a total power consumption of 12mW. The total die area in 65nm CMOS is 0.2mm&lt;sup&gt;2&lt;/sup&gt;.</t>
  </si>
  <si>
    <t>A DC to 1 GHz tunable RF ΔΣ ADC achieving DR = 74 dB, BW = 150 MHz at f0 = 450 MHz using P = 550 mW</t>
  </si>
  <si>
    <t>A 6th-order DC to 1GHz tunable CT low-pass/bandpass ΔΣ ADC in 65 nm CMOS targeting RF and IF digitizing applications is presented. It achieves the BW = 150MHz at f0 = 450MHz with DR = 74 dB, fCK = 4 GHz in 550 mW. This performance is enabled by a reconfigurable LC and active-RC modulator structure, 5th-order and 7th-order feedforward op amps, self-cut-off comparator, and dual supply DAC.</t>
  </si>
  <si>
    <t>In this paper, we propose a VCO based Delta Sigma ADC that overcomes the impact of VCO non-linearity by minimizing the input signal processed by the VCO. The ADC was implemented in 90nm CMOS process and occupies an active area of 0.36mm². It achieves 78dB SNDR and 88.5dB SFDR in 10MHz bandwidth and a sampling rate of 600MHz while consuming 16mW power.</t>
  </si>
  <si>
    <t>A 72dB DR, ΔΣ CT Modulator using digitally estimated, auxiliary DAC linearization achieving 88fJ/conv in a 25MHz BW</t>
  </si>
  <si>
    <t>A multi-bit, 3rd order CT ΔΣ modulator with 25MHz BW and fS=500MHz is presented. It employs a feedback DAC linearization using an auxiliary DAC and a crosscorrelation based DNL estimation. The modulator achieves 11b ENOB and 72dB DR, and its robustness is improved with a phase-variation aware design. The modulator consumes 0.225mm&lt;sup&gt;2&lt;/sup&gt; in 90nm CMOS and achieves an FOM=88fJ/conv.</t>
  </si>
  <si>
    <t>A 15mW, 3.6GSps CT-Σ;&amp;#931; ADC with 36MHz Bandwidth and 83dB DR in 90nm CMOS</t>
  </si>
  <si>
    <t>An 8-tap FIR DAC is used to reduce power dissipation and jitter sensitivity of a single-bit CTDSM sampling at 3.6Gsps. A low power analog path compensates for the delay of the FIR DAC. At the circuit level, AC-coupled feedforward compensated opamps and assisted opamp integrators enable 83dB DR in 36MHz BW in a 90nm CMOS process. The area occupied by the ADC is 0.12mm².</t>
  </si>
  <si>
    <t>A 28fJ/Conv-Step CT ΔΣ Modulator with 78dB DR and 18MHz BW in 28nm CMOS Using a Highly Digital Multibit Quantizer</t>
  </si>
  <si>
    <t>A CT ΔΣ modulator achieves 27.7fJ/conv-step using a highly digital multibit quantizer with embedded feedback to compensate for finite opamp bandwidth along with excess loop delay. Techniques of input-tracking power-on control and backend interpolation reduce the quantizer power to below 0.3mW at 640MS/s. The 4th-order prototype in 28nm CMOS consumes 3.9mW and exhibits 73.6dB peak SNDR and 78.1dB DR over 18MHz BW. The Schreier FoM of the modulator is 174.7dB.</t>
  </si>
  <si>
    <t>A 1V 14b Self-Timed Zero-Crossing-Based Incremental ΔΣ ADC</t>
  </si>
  <si>
    <t>A 2nd-order ΔΣ ADC in 0.16µm CMOS operates without a clock. Its SC integrators use cascoded current sources and correlated level-shifting to linearly transfer charge, and inverter-based zero-crossing detectors to proceed from one clock phase to the next. The ADC achieves 14-bit resolution and linearity in a conversion time below 1ms while consuming … from a 1V supply.</t>
  </si>
  <si>
    <t>A 40-nm CMOS 10-GS/s, 6-bit Flash ADC has been designed for a DSP-based receiver which meets the requirements for all NRZ 10G Ethernet standards. The micro-architecture enables dynamic reconfiguration of the comparator order - reducing the required comparator offset adjustment range during ADC calibration. The ADC occupies 0.27mm² and consumes 240mW.</t>
  </si>
  <si>
    <t>A 3.6GS/s 11-bit Time-Interleaved SAR ADC with a THD that is better than -55dB at 2.5GHz is presented. The high-frequency linearity is enabled by the use of a bootstrapped MUX between the four frontend T/Hs and the 64 SAR sub-ADCs. Chopping the MUX facilitates on-chip background calibration that keeps gain and offset spurs below -80dBFS independent of PVT conditions. The 7.4mm² 65nm CMOS ADC consumes 795mW from a dual 1.2V/2.5V supply, including calibration, references and biasing.</t>
  </si>
  <si>
    <t>An 8b 1.2GS/s single-channel SAR converter is implemented in 32nm CMOS, achieving 39.3dB SNDR and a FOM of 34fJ/conversion-step. High-speed operation is achieved by converting each sample with two alternating comparators clocked asynchronously and a redundant capacitive DAC with constant common mode. Background comparator offset compensation is implemented. The ADC consumes 3.1mW from a 1V supply and occupies 0.0015mm².</t>
  </si>
  <si>
    <t>An algorithm called LSB-first successive approximation is presented which enables the energy/conversion of a SAR ADC to scale logarithmically with the activity of the input signal, reducing power when sampling signals with low average activity. The 10-bit ADC is implemented in a 0.18 µm CMOS process. With a 0.5V supply, the ADC achieves a best-case FOM of 2.9 fJ when given a DC input, and a worst-case FOM of 17 fJ when given a fullscale Nyquist-rate sinusoid input.</t>
  </si>
  <si>
    <t>A 6b 10GS/s 32mW time interleaved SAR ADC is presented. It has a Master Track-and-Hold (T&amp;H) that enables 20GHz input sampling with 4.6 ENOB without the need of any skew calibration. The Master T&amp;H charge is redistributed successiveley to each individual SAR to avoid active buffering. The CMOS 28nm Ultra Thin Body and BOX Fully Depleted SOI technology is used, taking advantage of free NMOS forward body bias to reach 10GS/s switching and regenerative speed. FOM is 81fJ/conversion step and core ADC size is 0.009mm².</t>
  </si>
  <si>
    <t>A 5mW CT-ΔΣ ADC with embedded 2nd order active filter and VGA achieving 82dB peak instantaneous DR, and 92dB DR in 2MHz BW</t>
  </si>
  <si>
    <t>A 85dB DR, 74.6dB SNDR, 50MHz BW CT MASH ΔΣ Modulator in 28nm CMOS</t>
  </si>
  <si>
    <t>A 4.5mW CT Self-Coupled ΔΣ Modulator with 2.2MHz BW and 90.4dB SNDR Using Residual ELD Compensation</t>
  </si>
  <si>
    <t>A 6.4MS/s 13b ADC with redundancy facilitated error-detection and correction scheme in 40nm CMOS is presented. Redundancy deals with DAC settling and facilitates calibration. A two-mode comparator and 0.3fF capacitors reduce power and area. The background calibration corrects dynamic comparator offset and DAC mismatch, achieving 20dB spur reduction with little area and power overhead. The chip consumes 46µW from a 1V supply, and achieves 64.1dB SNDR and a FoM of 5.5 fJ/conv.step at Nyquist.</t>
  </si>
  <si>
    <t>A dual-mode 800MS/s receiver for 10GBase-T Ethernet applications, occupying 0.23mm² in 28nm CMOS, achieves an SNDR of 59.2dB. The incorporated 13b 2× time-interleaved SHA-less pipeline/subranging ADC uses multiple calibrations to reduce power consumption. _x000D_The complete receiver dissipates 76.4mW in 13b mode, which is lowered to 40.6mW in the 10b mode used for short cable lengths.</t>
  </si>
  <si>
    <t>In Paper 3.2, Broadcom presents a 32Gb/s 8b ADC-based PAM-4 receiver in 28nm CMOS. The ADC achieves an ENOB of 6.4 and 5.85 at DC and Nyquist, respectively. The entire receiver, occupying 0.89mm², features a continuous-time linear equalizer with a 7dB peaking gain, and compensates for channel loss of more than 50dB at 16GHz while consuming 320mW.</t>
  </si>
  <si>
    <t>A 1.65mW 0.16mm² Dynamic Zoom-ADC with 107.5dB DR in 20kHz BW</t>
  </si>
  <si>
    <t>In Paper 27.3, University of Michigan presents a charge-injection DAC based SAR ADC to improve the DAC linearity, compactness, and speed. Fabricated in 40nm CMOS, this 6b 1GS/s ADC consumes 1.26mW from 1V power supply and occupies an area of only 0.00058mm².</t>
  </si>
  <si>
    <t>In Paper 27.6, Broadcom presents a pipelined converter using capacitor and amplifier sharing. Implemented in 16nm FinFET, the 13b 4GS/s ADC occupies 0.34mm² and consumes 300mW. It achieves 75dB peak SFDR, 68dB SFDR at Nyquist, -66dBFS noise level and 56dB SNDR at Nyquist.</t>
  </si>
  <si>
    <t>A 0.076mm² 12b 26.5mW 600MS/s 4×-Interleaved Subranging SAR-ΔΣ ADC with On-Chip Buffer in 28nm CMOS</t>
  </si>
  <si>
    <t>In Paper 27.8, Marvell enables significant power and area reduction by combining SAR and incremental Delta-Sigma ADCs. The 12b 28nm 600MS/s 4× time-interleaved ADC with an on-chip buffer achieves an SNDR of 60.7dB at low input frequency and 58.0dB at high frequency, while consuming 26.5mW and occupying 0.076mm².</t>
  </si>
  <si>
    <t xml:space="preserve">In Paper 28.5, IBM presents a pipelined-SAR ADC that employs separate comparators per decision with background offset compensation and common-mode regulation of the 2nd stage. This 1.5GS/s ADC consumes 6.92mW and achieves over 50dB SNDR at Nyquist with an area of 0.0016mm² implemented in 14nm CMOS. </t>
  </si>
  <si>
    <t>A 0.01mm² 25μW 2MS/s 74dB-SNDR Continuous-Time Pipelined-SAR ADC with 120fF Input Capacitor</t>
  </si>
  <si>
    <t>A 240×192Pixel 10fps 70klux 225m-Range Automotive LiDAR SoC Using a 40ch 0.0036mm² Voltage/Time Dual-Data-Converter-Based AFE</t>
  </si>
  <si>
    <t>A 13b 0.005mm² 40MS/s SAR ADC with kT/C Noise Cancellation</t>
  </si>
  <si>
    <t>A 0.00378mm² Scalable Neural Recording Front-End for Fully Immersible Neural Probes Based on a Two-Step Incremental Delta-Sigma Converter with Extended Counting and Hardware Reuse</t>
  </si>
  <si>
    <t>In Paper 28.7, the University of Freiburg - IMTEK reveals a neural recording front-end for immersible probe designs based on a continuous-time gm-C incremental ΔΣ ADC design. The modular system enables a flexible number of recording sites and circuit sharing to achieve very low per-channel area (&lt;0.0005mm² total with electrode offset compensation) and power of &lt;15μW per channel in 180nm CMOS.</t>
  </si>
  <si>
    <t>A 4GHz CT ΔΣ ADC with 70dB dR and -74dBFS THD in 125MHz BW</t>
  </si>
  <si>
    <t>An 8mW 50MS/s cT ΔΣ Modulator with 81dB SFdR and digital Background dac inearization</t>
  </si>
  <si>
    <t>A Third-order DT ΔΣ Modulator using noise-Shaped Bidirectional Single-Slope Quantizer</t>
  </si>
  <si>
    <r>
      <t>A 10GS/s 8b 25fJ/c-s 2850um</t>
    </r>
    <r>
      <rPr>
        <vertAlign val="superscript"/>
        <sz val="10"/>
        <rFont val="Arial"/>
        <family val="2"/>
      </rPr>
      <t>2</t>
    </r>
    <r>
      <rPr>
        <sz val="10"/>
        <rFont val="Arial"/>
        <family val="2"/>
      </rPr>
      <t xml:space="preserve"> Two-Step Time-domain ADC Using Delay-Tracking Pipelined-SAR TDC with 500fs Time Step in 14nm CMOS Technology</t>
    </r>
  </si>
  <si>
    <t>A fully-integrated signal acquisition IC for emerging ultra-low-power applications is presented. It includes an amplifier with 32dB gain, 370Hz BW and 26μVrms input noise, a 10bit 1kS/s ADC, a clock generator and voltage and current biasing. An ECG recording is successfully performed with the system. Overall, the IC consumes only 3nW at 0.6V supply, occupies 0.20mm² in 65nm CMOS and has a singlewire data interface. The amplifier achieves a NEF of 2.1 and the ADC has a FoM of 1.5fJ/conv.-step.</t>
  </si>
  <si>
    <t>fcenter [Hz]</t>
  </si>
  <si>
    <t/>
  </si>
  <si>
    <t>On-line calibration and digital correction of multi-bit sigma-delta modulators</t>
  </si>
  <si>
    <t>This paper presents a new method for the on-line calibration of the elements of the digital-to-analog converter (DAC) used in the feedback loop of multi-bit sigma-delta (ΣΔ) modulators. The proposed method, with an extremely limited amount of additional circuitry, allows the mismatches among the elements of the DAC to be accurately measured and corrected in the digital domain, thus improving the linearity performance of the modulator. A switched-capacitor (SC) 4-bit ΣΔ modulator has been implemented to validate the proposed solution. The experimental results confirm that this method allows us to achieve an improvement in the spurious-free dynamic range as large as 26 dB.</t>
  </si>
  <si>
    <t xml:space="preserve">Fornasari, A.   Borghetti, F.   Malcovati, P.   Maloberti, F.   </t>
  </si>
  <si>
    <t xml:space="preserve">An 8 b 500 MS/s one-bit-per-stage cascade A/D converter (ADC) has been developed. We achieved 500 MHz one-clock conversion of all the cascade stages with a novel error suppression technique. The measured SNDR is 47 dB (7.6 effective bits) at a 100 kHz input, keeping more than 45 dB (7.2 effective bits) up to the Nyquist frequency. The power dissipation and the active area of the ADC core, including a 1.5 GHz bandwidth sample-and-hold amplifier, are 950 mW from a +2 V/-3.3 V supply and 5.5 mm², respectively </t>
  </si>
  <si>
    <t xml:space="preserve">An 8-bit 125 MS/s CMOS folding ADC using an equalizing technique is presented, which reduces the settling time of the analog folding processor to obtain a higher sampling rate. The prototype chip, fabricated in a 0.35 μm triple metal digital CMOS process, occupies an area of 0.8 mm² and consumes 110 mW achieving 6.4 effective bits for a Nyquist input signal </t>
  </si>
  <si>
    <t xml:space="preserve">The design of a low power 6bit, 400Msps, 1.8V CMOS ADC is presented. This ADC is based on interpolated parallel architecture in which the transistor sizes are optimized to achieve the required linearity and simultaneously minimize the power consumption. When operated at 400Msps with 1.8/2.4V power supply the ADC dissipates 70mW. The ADC is fabricated in a 0.18µm CMOS process. </t>
  </si>
  <si>
    <t>A 1.2 V 10-b 100-MSamples/s A/D converter in 0.12µm CMOS</t>
  </si>
  <si>
    <t xml:space="preserve">A CMOS analog-to-digital converter (ADC) utilizing folding, averaging and distributed interpolation is described. Fabricated in a digital 0.12 µm CMOS process, the ADC occupies 0.32 mm² while dissipating 140 mW from a single 1.2 V supply. The experimental results show that the converter achieves 55dB SNR at sampling frequencies up to 100MHz. </t>
  </si>
  <si>
    <t>A low-voltage two-stage algorithmic ADC incorporating the Opamp-Reset Switching Technique (ORST) is presented. The low-voltage digital CMOS process compatible operation is achieved without the clock boosting/bootstrapping or switched-opamp. The ADC employs a highly linear input sampling circuit at the front-end, and the digital output is calibrated using a radix-based scheme. The prototype was fabricated in a 0.18-µm CMOS technology and the active die area is 1.2 mm⨉1.2 mm. The calibrated ADC demonstrates 75 dB SFDR at 0.9 V and 80 dB SFDR at 1.2 V. The total power consumption of the ADC is 9 mW at the clock frequency of 7 MHz (1MSPS).</t>
  </si>
  <si>
    <t>A 1.8 V, 1 MS/s, 85 dB SNR 2+2 mash ΣΔ modulator with ±0.9 V reference voltage</t>
  </si>
  <si>
    <t>A 1.8 V, 1 MS/s, 85 dB SNR 2+2 mash ΣΔ modulator with ±0.9 V reference voltage is realized by using the swing reduction structure. This structure limits the output swing of all the integrators within half the reference voltage. Thus, low voltage and high speed operation is possible with even high reference voltage without degrading the performance of the modulator. The circuit is fabricated in CMOS 0.35 µm process with chip size of 2.5⨉2.5 mm².</t>
  </si>
  <si>
    <t xml:space="preserve">A low-power fourth order continuous-time complex ΣΔ ADC has been designed and fabricated for low-IF (LIF) GSM and EDGE receivers in a 0.25 µm CMOS technology. This ADC has a bandwidth of 270 kHz centered around-100 kHz. The dynamic range (DNR) is 82 dB at a sampling rate of 13 MHz even though the digital decimation filter and other blocks are active on the chip. The power consumption is 4.6 mW at 2 V supply. To our knowledge this ADC has the best performance, which has been reported so far with a complex ΣΔ ADC for LIF mode GSM and EDGE receivers. </t>
  </si>
  <si>
    <t>A calibration-free 3V 16b 500kS/s 6mW 0.5mm² ADC with 0.13 µm CMOS</t>
  </si>
  <si>
    <t xml:space="preserve">A calibration-free 3V 6mW 16-bit 500kS/s cyclic ADC with an active die area of 0.5mm² is implemented in a 0.13 µm CMOS. The proposed converter adopts a 2.5-bit/stage cyclic architecture and capacitor layout scheme to achieve improved matching accuracy, the DNL and INL of ±0.90 LSB and ±6.1 LSB, respectively. </t>
  </si>
  <si>
    <t>A third-order ΣΔ modulator in 0.18 µm CMOS with calibrated mixed-mode integrators</t>
  </si>
  <si>
    <t xml:space="preserve">A third-order EA modulator employing mixed-mode integrators has been designed and implemented in 0.18um CMOS process. Because the use of mixed-mode integrators allows a 12dB improvement in the dynamic range over conventional third-order architectures, the modulator can be driven with lower sampling frequency to achieve the same dynamic range. The modulator covers the dynamic range requirements of GSM and WCDMA applications with sampling frequencies of only 3.2MHz and 40MHz, respectively. The circuit occupies 0.7mm² silicon area. </t>
  </si>
  <si>
    <t>A 12 bit Continuous-Time ΣΔ modulator with 400MHz clock and low jitter sensitivity in 0.13 µm CMOS</t>
  </si>
  <si>
    <t>A 3.3-V 240-MS/s CMOS bandpass ΣΔ modulator using a fast-settling double-sampling SC filter</t>
  </si>
  <si>
    <t xml:space="preserve">A bandpass ΣΔ modulator is demonstrated to operate at a very high sampling rate of 240 MS/s by employing a proposed double-sampling switched-capacitor biquadratic filter architecture, which processes with a fast-settling feature. Implemented in a standard 0.35-µm CMOS process, the modulator achieves a peak SNDR of 72 dB, 55 dB and 52 dB at a bandwidth of 200 kHz, 1 MHz and 1.25 MHz for GSM, Bluetooth and CDMA2000 applications respectively while dissipating 37 mW and occupying a chip area of 1.2 mm². </t>
  </si>
  <si>
    <t>A 4GS/s 6b flash ADC in 0.13 µm CMOS</t>
  </si>
  <si>
    <t xml:space="preserve">A 4GS/s 6b flash ADC with 8b output is presented realized in a 0.13 µm standard CMOS technology. The outputs of 255 small-area comparators with comparatively large input offsets are averaged by a fault tolerant thermometer-to-binary converter. The ADC uses an on-chip low jitter VCO for clock provision and consumes 990mW at a single supply voltage of 1.5V. </t>
  </si>
  <si>
    <t>A 600 MSPS 8-bit folding ADC in 0.18 µm CMOS</t>
  </si>
  <si>
    <t xml:space="preserve">An 8-bit folding A/D converter (ADC) achieves signal-to-noise plus distortion ratio (SNDR) of 40 dB at 600 MSample/s (MSPS) for input signals up to 200 MHz in standard 0.18-µm CMOS. Distributed T/Hs at outputs of the first-stage pre-amplifiers are employed instead of a dedicated front-end T/H. Lateral capacitors are inserted between adjacent T/H outputs to average the random mismatches in charge injection and clock skew among the distributed T/Hs. The ADC consumes 0.5-mm² effective chip area and dissipates 207mW from a 1.8V supply. </t>
  </si>
  <si>
    <t xml:space="preserve">A 1.5V 10-b 50MS/s 2-channel pipeline ADC is described. Amplifiers are efficiently shared between channels using low-voltage techniques to reduce the power supply. The selected resolution per stage avoids the need of scaling the stages, simplifying the implementation of a low-power design. Measurements from the prototypes fabricated in a 0.18 µm CMOS technology exhibit 10b DNL, 9.5b INL and 9.2 effective bits at Nyquist-rate. The chip occupies 1.3 mm² and dissipates only 29 mW at 1.5V. </t>
  </si>
  <si>
    <t xml:space="preserve">An ultra low-voltage CMOS two-stage algorithm ADC incorporating background digital calibration is presented. The adopted low-voltage circuit technique achieves high-accuracy high-speed clocking without the use of clock boosting or bootstrapping. A resistor-based input sampling branch demonstrates high linearity and inherent low-voltage operation. The proposed background calibration accounts for capacitor mismatches and finite opamp gain error in the MDAC stages via a novel digital correlation scheme involving a two-channel ADC architecture. The prototype ADC, fabricated in a 0.18 µm CMOS process, achieves 81 dB SFDR at 0.9V and 2MSPS (12MHz clock) after calibration. The ADC operates up to 5MSPS (30MHz clock) with 4dB degradation. The total power consumption is 12mW, and the active die area is 1.4 mm². </t>
  </si>
  <si>
    <t>A low-power, energy-efficient analog front-end circuit is proposed and implemented for a digital hearing aid chip. It adopts the combined-gain-control (CGC) technique for an accurate preamplification and the adaptive-SNR (ASNR) technique for an improvement of dynamic range with low power consumption. The proposed analog front-end achieves 87-dB peak SNR and dissipates 60-µW from a single 0.9-V supply. The core area is 0.5-mm² in a 0.25-µm standard CMOS technology.</t>
  </si>
  <si>
    <t>A 1-V, 1-MS/s, 88-dB sigma-delta modulator in 0.13-µm digital CMOS technology</t>
  </si>
  <si>
    <t xml:space="preserve">A low-voltage switched-capacitor fourth-order Σ-Δ modulator using full feed-forward is introduced. It has two advantages: the unity signal transfer function and reduced signal swings inside the Σ-Δ loop. These features greatly relax the DC gain and output swing requirements for OTAs in the deep submicron CMOS Σ-Δ modulator. With careful signal scaling, signal swings inside the loop can be suppressed to less than 50% of the reference voltage, which is highly desirable by low-voltage designs. Implemented by a 0.13-µm pure digital CMOS technology, the Σ-Δ modulator achieves 1-MS/s conversion speed and 88-dB DR with 7.4-mW power dissipation under 1.0-V power supply voltage. </t>
  </si>
  <si>
    <t xml:space="preserve">A 4-bit 6GS/s A/D converter is designed for a serial-link receiver and features an embedded adjustable one-tap DFE. Feedback-delay is relaxed through applying DFE to a 10-way interleaved pipelined architecture. Code-overlapping is used to remove residual ISI. Measured performance at 6GS/s shows 22.5dB of low-frequency input SNDR. DFE tap-coefficient is adjustable from 0 to 0.25 with 6-bits of programmable weight. The 1.8⨉1.6mm² chip is fabricated in 0.18µm CMOS technology and consumes 780mW at 1.8V power-supply. </t>
  </si>
  <si>
    <t>A reconfigurable pipelined ADC in 0.18 µm CMOS</t>
  </si>
  <si>
    <t xml:space="preserve">A reconfigurable pipelined A/D converter has been implemented in a 0.18 µm RF-CMOS process. The ADC has eight configurations with a top performance of 10 bits resolution at 80 MSPS consuming 94mW. The reconfigurability is achieved by combining the cyclic and pipelined ADC architectures giving it a low level of complexity. In the conventional pipeline mode, the measured SFDR is 69 dBFS and the SNDR is 56.5 dBc for a 1.54 MHz single sinusoid tone input. </t>
  </si>
  <si>
    <t xml:space="preserve">A 14bit digitally self-calibrated pipelined ADC featuring the adaptive bias optimization is fabricated in a 0.18µm dual-gate CMOS and consumes 19.2, 33.7, 50.5 and 72.8mW respectively when operating at 10, 20, 30 and 40MS/s. In all the operating speeds with temperature variation up to 80°C, DNL is kept between ±0.60LSB. When operating at 20MS/s, it achieves 73.2dB SNR and 70.4dB SNDR. </t>
  </si>
  <si>
    <t>A 12-Bit 32 µW Ratio-Independent Algorithmic ADC</t>
  </si>
  <si>
    <t xml:space="preserve">This paper describes a ratio-independent algorithmic ADC architecture that requires a single differential amplifier and a comparator. The prototype 12-bit, 41.67 kS/s ADC with an active die area of 0.055 mm² is implemented in a 0.13mum CMOS. The power dissipation is minimized using a dynamically biased operational amplifier. With a 32 muW power dissipation, the ADC achieves 80 dB SFDR and 60 dB SNDR, resulting in a power FOM of 0.9 pJ/conversion </t>
  </si>
  <si>
    <t>A 10MS/s 11-b 0.19mm² Algorithmic ADC with Improved Clocking</t>
  </si>
  <si>
    <t xml:space="preserve">A 10Ms/s 11-b algorithmic ADC with an active area of 0.19mm² is presented. Using an improved clocking scheme, this design overcomes the speed limit of algorithmic ADCs. The proposed ADC employs amplifier sharing, DC offset cancellation, and input memory effect suppression to reduce area and power, and achieve high linearity. The ADC implemented in a 0.13mum thick gate-oxide CMOS process achieves 69dB SFDR, 58dB SNR, and 56dB SNDR, while consuming 3.5mA from 3V supply </t>
  </si>
  <si>
    <t xml:space="preserve">A 6-bit 800-MS/s Pipelined A/D converter (ADC) with voltage-mode open-loop amplifiers achieves SNDR and SFDR of 33.7 dB and 47.5 dB, respectively. Fabricated in a 0.18mum CMOS technology, the ADC consumes 105 mW from a 1.8-V power supply while the active area is only 0.5-mm² </t>
  </si>
  <si>
    <t>An 11-Bit 330MHz 8X OSR Σ-spl Delta/ Modulator for Next-Generation WLAN</t>
  </si>
  <si>
    <t xml:space="preserve">A 2-2 cascaded Sigma-Delta modulator with 4-bit internal quantizers digitizes WLAN signals with 40MSPS conversion rate. Implemented in 90nm CMOS using nominal-Vt devices and metal comb capacitors, it occupies 1.3mm² core area, achieves 67dB SNR, 63dB peak SNDR and 67dB peak SFDR at 330MHz, and dissipates 78mW from a 1.4V supply </t>
  </si>
  <si>
    <t>A switched-capacitor logarithmic pipeline ADC scheme that does not require squaring or any other complex analog functions is described. This approach is ideal where high dynamic range, but not high peak SNDR, is required. A signed, 8bit logarithmic pipeline ADC is implemented in 0.18um CMOS. The 22MS/s ADC achieves measured DR of 80dB and measured SNDR of 36dB, occupies 0.56mm², and consumes 2.54mW from 1.62V supply. The measured dynamic range figure of merit is 174dB.</t>
  </si>
  <si>
    <t>A 90nm CMOS 0.28mm² 1V 12b 40MS/s ADC with 0.39pJ/Conversion-Step</t>
  </si>
  <si>
    <t>A 1V 12b 40MS/s Pipelined ADC using a proposed two stage folded cascode opamp for low voltage and a proposed frequency compensation technique for fast settling achieves a FOM of 0.39pJ/conversion-step. The prototype ADC implemented in a 90nm digital CMOS process with an active die area of 0.28mm² consumes 16mW from a 1V power supply. It shows 62dB SNDR and 73dB SFDR for a 5 MHz input at a 40MHz sampling clock.</t>
  </si>
  <si>
    <t>A true low voltage 0.5V 8bit Pipelined A/D converter is realized in 90nm CMOS technology using regular VT devices. A cascaded sampling technique is used to combat the OFF leakage of the switches. The converter prototype occupies 0.85mm²; operating at 10Msps, it consumes 2.4mW and achieves an SNDR of 48.1dB with a 0.4Vppdiff full-scale input.</t>
  </si>
  <si>
    <t>In switched capacitor sigma-delta analog-to-digital converters (ADCs), an operational transconductance amplifier (OTA) is the main building block and consumes most of power. This paper proposes that the OTAs can be replaced with class-C inverters for low-power consumption without sacrificing the performance. A second order sigma-delta modulator using class-C inverter technique is fabricated with a 0.35-um CMOS process, occupies 0.00324 mm², dissipates 5.6-uW under 1.2V supply-voltage, and provides 63-dB/72-dB/76-dB SNDR/SNR/DR over 8-kHz signal bandwidth.</t>
  </si>
  <si>
    <t>An 8-bit 800MS/s time-interleaved pipeline ADC with SNDR of 47.8dB and 44.2dB for 1MHz and 400MHz inputs is presented. The techniques of Sub-ADC preamp sharing and reference voltage buffer current-reusing are proposed to minimize power consumption. The ADC implemented in 65nm digital CMOS process with an active area of 0.12mm² consumes 30mW from a 1.2V supply and achieves a FOM of 0.28pJ/conversion-step</t>
  </si>
  <si>
    <t>A low power 6-bit ADC that uses reference voltage and common-mode calibration to improve linearity and reduce power dissipation is presented. The ADC occupies 0.13mm² in 65nm CMOS. The ADC dissipates 4mW at 100MS/s and 12mW at 800MS/s from a 1.2V supply</t>
  </si>
  <si>
    <t>A 6-bit Nyquist A/D converter (ADC) that converts at 5 GHz is reported. Using a wideband track-and-hold amplifier, array averaging, reset switches on analog signal paths, and phase-adjusted clocking for cascaded comparators, a 6-bit flash ADC achieves better than 5 effective bits for input frequencies up to 2.5 GHz at 5 GSample/s. This ADC does not rely on time interleaving, digital calibration, and post data processing for its dynamic performance. This ADC consumes about 320mW from 1.3 V at 5 GSample/s. The chip occupies 0.3mm² active area, fabricated in 65nm CMOS</t>
  </si>
  <si>
    <t>A 14b 23MS/s 48mW Resetting Σ Δ ADC with 87dB SFDR 11.7b ENOB &amp; 0.5mm² Area</t>
  </si>
  <si>
    <t>A 14b 23MS/s ADC that pipelines a 2nd order resetting SD modulator with a 10b cyclic ADC and requires no front-end S/H is presented. The architecture uses a resetting ΣΔ modulator at the front-end for accuracy and a cyclic ADC at the back-end for residual error quantization. This calibration-free ADC achieves no missing codes, 87dB SFDR and 11.7b ENOB. Fabricated in 0.18μm CMOS with a core area of 0.5mm², it consumes 48mW from a 2V supply</t>
  </si>
  <si>
    <t>A fully-differential zero-crossing-based 10b 26MS/s pipelined ADC in a 65 nm CMOS process is presented. Switched-capacitor overshoot correction is compatible with the differential topology and allows faster operation. A CMFB is engaged in the coarse phase for constant common-mode. The 0.33mm² ADC achieves 54.3dB SNDR with a FOM of 161fJ/step</t>
  </si>
  <si>
    <t>A 12b 50MS/s pipelined ADC based on a fully differential class-AB switched op-amp achieves low power consumption with a high differential input range of 2.4Vp-p. The proposed input sampling network samples wideband signals exceeding the Nyquist frequency without a SHA. The prototype ADC in a 0.18μm CMOS shows a power dissipation of 18.4mW at 50MS/s and 1.8V with an active die area of 0.26mm²</t>
  </si>
  <si>
    <t>An area reducing design methodology is used to design three 0.04mm², 5th order, 1-bit, 􀀶􀀧 modulators. A 1.2V/65nm chip contains a feedback (FB) modulator sampled at 1GHz, and a 1.1V/45nm chip contains a FB and feed-forward (FF) modulator sampled at 1.5Ghz. Each modulator achieves an SNR of 60dB in 15MHz. Furthermore a method is presented, which perfectly compensates for excess phase in a 􀀶􀀧􀀃loop, without compromising loop stability and noise shaping.</t>
  </si>
  <si>
    <t>This paper reports a 10-bit 50MS/s SAR ADC with a set-and-down capacitor switching method. Compared to the conventional method, the average switching energy is reduced about 81%. At 50MS/s and 1.2V supply, the ADC consumes 0.92mW and achieves an SNDR of 52.78dB, resulting in an FOM of 52fJ/Conversion-step. Fabricated in a 0.13μm 1P8M CMOS technology, the ADC only occupies 0.075mm² active area.</t>
  </si>
  <si>
    <t>A threshold configuring SAR A/D converter is presented that programs its comparator threshold at runtime to approximate the input signal via binary search. Low power and small area are achieved via a fully dynamic configurable comparator and an asynchronous controller with no need for capacitor-based feedback D/A converter. A 6-bit prototype in 90-nm digital CMOS technology achieves 32-dB SNDR at 50 MS/s consuming 240 uW from 1-V analog and 0.7-V digital supplies, i.e. 150fJ/conversion-step, in a core area occupation of only 0.0055 mm², a 4× improvement on state-of-the-art designs.</t>
  </si>
  <si>
    <t>A 7.5-GS/s 4.5-bit analog-to-digital converter (ADC) in 65nm CMOS is presented. A two-stage track-and-hold (TAH) with clock duty cycle control reduces bandwidth requirements on the slow TAH output to enable high sampling rates with low power consumption. The 7.5-GS/s flash ADC consumes 52-mW and occupies 0.01-mm². Clock duty cycle control improves ENOB from 3.5 to 3.8 with an input sinusoid at the Nyquist frequency.</t>
  </si>
  <si>
    <t>A dual-channel 10b 80MS/s pipeline ADC with 0.16mm² area in 65nm CMOS</t>
  </si>
  <si>
    <t>A dual-channel 10b 80MS/s low-power and area-efficient pipeline ADC is presented. Area and power savings are realized by merging the track and hold amplifier (THA) and the 1st-stage multiplying digital-to-analog converter (MDAC), double-sampling the 2nd-stage MDAC and using a 1b sub-range in 4b sub-ADC. It achieves an ENOB of 8.65b with 20.1-MHz input. Including on-chip reference buffers, power and area consumption are 11.2mW and 0.08mm² per channel respectively.</t>
  </si>
  <si>
    <t>A 0.4mm² low-power fully-reconfigurable continuous-time (CT) feedforward delta sigma ADC for 4G radios is implemented in 90nm CMOS. By reconfiguring the topology architecture, quantizer bits, biasing current and component parameters, optimal power consumption can be achieved for every mode. The modulator achieves a DR of 85/78/76/72/58dB for GSM/BT/UMTS/DVB-H/WLAN with 2.8/2.6/3.6/4.9/8.5mW from 1V supply. The FOM is 0.68/0.5/0.28/0.27/0.41pJ/conv.</t>
  </si>
  <si>
    <t>A 12-GS/s 5-bit time-interleaved flash ADC is realized in 65-nm CMOS. The design utilizes a background timing skew calibration technique to improve dynamic performance, and comparator offset calibration to reduce power dissipation. The experimental prototype achieves an SNDR of 25.1 dB at Nyquist and 27.5 dB for low frequency inputs. The circuit occupies an active area of 0.44 mm² and consumes 81 mW from a 1.1-V supply.</t>
  </si>
  <si>
    <t>This paper describes a 12-bit zero-crossing based pipeline 100-MS/s ADC. The prototype ADC, fabricated in a 90-nm CMOS process, occupies 0.32 mm². The capacitor mismatch is calibrated by decision boundary gap estimate algorithm that runs in the background. It achieves an ENOB of 10.2 bits for a 49 MHz input signal and dissipates 6.2 mW from a 1.2V supply for a FOM of 53fJ/step.</t>
  </si>
  <si>
    <t>A 32nm, 1.05V, BIST Enabled, 10-40MHz, 11-9 Bit, 0.13mm² Digitized Integrator MASH ΔΣ ADC</t>
  </si>
  <si>
    <t>This paper explores the use of a digitally linearized, low-power Gm-C integrator in the first stage of a 5th order continuous time sigma-delta modulator. The proposed architecture features a jitter insensitive SC feedback and a noisy-but-linear auxiliary modulator that is employed to estimate the nonlinearities of the first integrator in the main signal path. A 65-nm CMOS experimental prototype achieves 79 dB dynamic range, 74.3 dB peak SNR and 73.3 dB peak SNDR for a signal bandwidth of 1.95 MHz and 124.8 MHz sampling rate. The IC dissipates 8.57 mW from a 2.5 V supply.</t>
  </si>
  <si>
    <t>A 12b 3GS/s Pipeline ADC with 500mW and 0.4 mm² in 40nm Digital CMOS</t>
  </si>
  <si>
    <t>A 12b 3GS/s 2-way interleaved pipeline ADC is presented. To achieve high speed, multiple internally generated power/ground rails are used with thin-oxide MOS devices. The ADC achieves a SNR of 61dB and a DNL of -0.4/+0.6LSB, consumes 500mW at 3GS/s and occupies 0.4 mm² area in 40nm CMOS process.</t>
  </si>
  <si>
    <t>An 11b Double-Sampling Pipelined ADC with memory effect calibration is presented. The full digital calibration simplifies the analog circuit, which extends the operation speed over 300MHz. The chip is fabricated in a 40nm CMOS and occupies 0.42mm² including the calibration logics. The ADC consumes 40mW from a 1.8V supply, and the FoM is 0.24pJ/conversion-step.</t>
  </si>
  <si>
    <t>We have developed a 7-b 1.3-GSa/s 1-bit/stage pipeline ADC with a folding characteristic that uses a polarity selecting technique. The ADC achieves an ENOB of 6.5-b and consumes only 22 mW from 1.2V supply. These results yield a figure of merit (FOM) of 190-fJ/conv.-step. It is implemented in 45-nm CMOS technology and occupies a core area of 0.023 mm².</t>
  </si>
  <si>
    <t>A subranging ADC was fabricated using a 55nm CMOS technology. To improve speed, subranging is executed in the digital domain by activating comparators. To save power, comparators are latches with automatic offset calibration. Operating at 1GHz sampling rate, the ADC consumes 16mW from 1.2V supplies. The measured DNL is 0.8LSB and INL is 1.2LSB. The measured SFDR and SNDR are 55dB and 43.5dB respectively. The ADC occupies active area of 0.2mm². Its FOM is 125fJ/conversion-step.</t>
  </si>
  <si>
    <t>A 6b 3GS/s fully dynamic flash ADC is fabricated in 40nm CMOS and occupies 0.021mm². Dynamic comparators with digitally controlled built-in offset are realized with imbalanced tails. Half of the comparators are substituted with simple SR latches. The ADC achieves SNDRs of 36.2dB and 33.1dB at DC and Nyquist, respectively, while consuming 11mW from a 1.1V supply</t>
  </si>
  <si>
    <t>A 1-0 MASH sigma-delta ADC demonstrates a digital calibration technique treating both amplifier distortion and capacitor mismatch. The output-referred error analysis accurately models a nonlinear modulator. The identification of multiple error parameters is accomplished by correlating various moments of the ADC output with a one-bit pseudorandom noise (PN). The prototype ADC employing 29dB gain amplifiers measures 85dB SFDR and 67dB SNDR for a-1dBFS (1.1Vpp) 5MHz sinusoidal input at 240MS/s. The core ADC consumes 37mW from a 1.25V supply and occupies 0.28mm² in a 65nm CMOS low-leakage digital process, in which the transistor threshold voltages are around 0.5V.</t>
  </si>
  <si>
    <t>This paper presents a 30MHz bandwidth continuous-time (CT) ΔΣ modulator with direct resistor feed-forward and fast excess loop delay (ELD) compensation method to enhance the loop stability. Moreover, the proposed design incorporates analog DAC background calibration and offset calibration for fully dynamic latch comparator. The modulator achieves 77.1dB DR and 75.1dB SNDR in 30MHz bandwidth, while occupying 0.071mm² in 55nm CMOS and achieving a FoM (Power/(2BW·2ENOB)) of 46.4fJ/conv.</t>
  </si>
  <si>
    <t>A new power-efficient, reconfigurable, 6th-order continuous-time bandpass delta-sigma modulator architecture is presented. A new duty-cycle-controlled DAC halves the number of DACs in the modulator, and also enables the center frequency to be reconfigurable. A prototype 800MS/s modulator achieves 69dB SNDR with a 25MHz bandwidth at a 200MHz IF. The center frequency can be varied from 180MHz to 220MHz. The 65nm CMOS prototype consumes 35mW and  ocupies a die area of 0.25mm².</t>
  </si>
  <si>
    <t>A VCO-based delta-sigma modulator is proposed for bio-potential signal acquisition. The VCO quantizer is placed in a loopwith 1-bit feedback to improve modulator linearity. Furthermore, frequency calibration employing gated VCO technique isproposed to improve the operation range. Fabricated in a 0.18μm CMOS, this chip consumes 379nW and occupies an active area of 0.06mm². Over a 2kHz signal bandwidth, the proposed delta-sigma modulator achieves a peak SNDR of 58.5dB, which results in an FoM of 137fJ/conv.-step.</t>
  </si>
  <si>
    <t>A 5.4GS/s 12b 2-way interleaved pipeline ADC is presented. To achieve high speed, a complementary switched-capacitor amplifier is proposed, along with ping-pong amplifier sharing and digital MDAC equalization. The ADC achieves 61dB SNR and 57dB THD up to 2.6GHz input frequency at 5.4GS/s, consumes 500mW and occupies 0.4mm² area in 28nm CMOS.</t>
  </si>
  <si>
    <t>A high-speed, low-power pipeline ADC is realized by replacing the front-end residue amplifiers with pulsed bucket brigade circuitry and compensating for the introduced errors using digital linearization. The ADC is implemented in 65-nm CMOS and occupies 0.26 mm². It operates at 200 MS/s, consumes 11.5 mW from a 1-V supply and achieves an SNDR of 65 dB at low input frequencies and 57.6 dB near Nyquist. The corresponding SNDR-based Schreier FOM is 164.5 dB and 157 dB, respectively</t>
  </si>
  <si>
    <t>An extremely low power and area efficient threshold configuring ADC (TC-ADC) is proposed. The threshold configuringcomparator (TCC) performs a binary search and only 1b-DAC is required. 5b conversion is carried out by TCC with source voltage shifting technique. Additional 2b resolution is achieved by the proposed threshold interpolation (TI) technique with 0nly15% power overhead. Prototype ADC in 40nm CMOS occupies an area of only 0.0038mm²  and when calibration circuit included,0.0058 mm². With a supply voltage of 0.7V, the ADC achieves 7.0 ENOB with 24MS/s. Peak FoM of 9.8fJ/conv. is obtained at0.5V supply, which is over 15x improvement compared with conventional TC-ADC.</t>
  </si>
  <si>
    <t>A 64-way time-interleaved successive approximation based ADC front-end efficiently incorporates a 2-tap embedded FFE and a 1-tap embedded DFE, while achieving 4.56-bits peak ENOB at a 10GS/s sampling rate. Fabricated in 1.1V 65nm CMOS, the ADC with embedded equalization achieves 0.48 pJ/conv.-step FOM, while consuming 79.1mW and occupying 0.33mm² coreADC area.</t>
  </si>
  <si>
    <t>A hybrid dynamic amplifier is proposed which combines the desirable features of a dynamic amplifier and a class AB amplifier. This technique allows us to achieve a power efficient high resolution pipeline ADC. A proof of concept pipelined ADC in a 0.18 μm CMOS process achieves 74.2 dB SNDR, 87 dB SFDR and 85 dB THD at 30 MS/s. The pipeline ADC consumes 6 mW from a 1.3 V supply and occupies 3.06 mm². The ADC achieves a FoM of 48 fJ/CS without any form of calibration.</t>
  </si>
  <si>
    <t>A continuous time 5-bit feed forward ΔΣ ADC architecture is presented, which measures 97.3 dB SNR, over 600 kHz bandwidth while consuming 31 mW/channel. This performance is achieved by using an ISI mitigation scheme and a 2nd-order DEM for 3-level DACs along with analog low power techniques. The 0.99mm²/channel chip was fabricated in 0.18um CMOS process, and achieves a FOM of 171.8 dB.</t>
  </si>
  <si>
    <t>Recent publications have demonstrated ADCs with ENOB &gt; 11, sampling frequencies &gt; 50MHz, with power &lt; 50mW, making the SAR ADC architecture an attractive alternative to the traditional pipeline. This paper presents a production quality 11.5 ENOB, 89dB SFDR, 100MS/s SAR ADC that, including the voltage reference and digital calibration circuitry, consumes 8mW and uses 0.1mm² in 28nm CMOS. It uses a unique dual-reference, dual unit-cap architecture with a regulated DAC switch, providing a 2Vppd input swing while utilizing a low-voltage transistor implementation for the core ADC.</t>
  </si>
  <si>
    <t>A 12b two-step pipelined SAR ADC reports a 66.7dB SNDR and an 86.9dB SFDR for a 5MHz sinusoidal input at 160MS/s. A digital background calibration based on opportunistic PN injection treats both DAC mismatch and residue-amplifier gain errors. The calibration enables a significant downsizing of the ADC input capacitance to yield a wideband, highly linear input network and an over-80dB SFDR while digitizing inputs from DC to 300MHz at full speed. The conversion FoM of this ADC is 20.7fJ/step at Nyquist. The prototype occupies an active area of 0.042mm² in a 40nm CMOS low-leakage digital process.</t>
  </si>
  <si>
    <t>A 25GS/s 8-way time-interleaved binary search ADC employs a novel soft-decision selection algorithm to improve metastability tolerance and relax T/H settling requirements. The T/H design is further relaxed with reduced loading from a new shared-input three comparator structure. Fabricated in GP 65nm CMOS, the ADC achieves 4.62-bits ENOB at Nyquist and 143 fJ/conv.-step FOM, while consuming 88mW and occupying 0.24mm² core ADC area.</t>
  </si>
  <si>
    <t>A 3-10fJ/Conv-Step 0.0032mm² Error-Shaping Alias-Free Asynchronous ADC</t>
  </si>
  <si>
    <t>We present a programmable, quantization error spectral shaping, alias-free asynchronous ADC suited for clockless, continuous-time DSP in receivers with modest SNDR requirements and a tight power budget. Implemented in 0.65V 28nm FDSOI, the 0.0032mm² ADC achieves 32dB-42dB SNDR over a 10MHz-50MHz BW while consuming 24μW, giving a 3-10fJ/conv-step FoM.</t>
  </si>
  <si>
    <t>This paper presents a 6b 46GS/s 72-way hierarchically time-interleaved asynchronous SAR ADC utilizing cascode samplers to achieve &gt;23GHz BW. A back-end meta-stability correction circuit enables sparkle-code error-free operation over 1e10 samples. The 28nm FDSOI ADC achieves 27dB SNDR (low frequency)/25.2dB (at 23.5GHz) while consuming 381mW from 1.05V/1.6V supplies and occupies 0.14mm².</t>
  </si>
  <si>
    <t>A 3rd order continuous-time delta-sigma modulator using a Gm-C based noise-shaped integrating quantizer (NSIQ) with a digital back-end integrator is presented in this paper. By incorporating the back-end digital integrator, the conventional tradeoff between resolution and speed in time-based quantization is alleviated. Therefore by using only three clock edges and a low-power Gm-C, effective 4-bit quantization is achieved which also provides first order noise-shaping. The zero-crossing comparator is replaced by a preamplifier and three latches. The proposed modulator was fabricated in a 0.13μm CMOS process with an active area of 0.08mm². It operates at 640 MHz and achieves a peak SNDR of 75.3 dB and a peak SFDR of 94.1 dB in a 10 MHz bandwidth while consuming 7.2 mW from a 1.2V power supply.</t>
  </si>
  <si>
    <t>A 39MHz bandwidth (BW) CTSDM ADC realized by aggregating two 19MHz BW CTSDM ADCs with a noise-injected technique is presented. The in-band noise is improved by 4.77dB by this technique. The ADC samples at 832MS/s, achieves 72dB DR in 39MHz BW and 78dB DR in 19MHz BW. This aggregated ADC is implemented in 16-nm FinFet technology with 0.23 mm² active area and 6.2 mW per ADC, and thereby achieves FoMDR of 167.1dB in 39MHz BW, and FoMDR of 173.4dB in 19MHz BW.</t>
  </si>
  <si>
    <t>The first (single-bit) feed-forward (FF) FIR DAC continuous-time (CT)-ΔΣ ADC is presented for cellular radio applications. It provides a robust loop delay compensation with no performance degradation in the presence of radio out-of-band blockers; a known drawback of FF CT-ΔΣ ADCs. At 20/30/40 MHz operation, the FOM is less than or equal to 36 fJ/conv. At 10 MHz operation, the FOM is 50 fJ/conv. The equivalent FOM for a 20-MHz-only design is 28 fJ/conv. It occupies 0.0194 mm² in 40 nm CMOS.</t>
  </si>
  <si>
    <t>A continuous-time (CT) delta-sigma modulator (ΔΣM), with 27.5 fJ/conv.-step energy efficiency, employing passive RC integrators is proposed. A simple differential pair is incorporated in the loop-filter between each passive RC integrator and, the extra required gain in the loop is obtained in the comparator. Due to the many design issues, such as the trade-off between RC variations and loop stability, the modulator is optimized using genetic algorithms (GAs). The 65 nm CMOS ΔΣM, occupying only 0.013 mm², dissipates 256 μW from a 0.7 V supply and achieves a peak SNDR of 69.1 dB with 2 MHz bandwidth (BW). The dynamic range (DR) reaches 76.2 dB, which corresponds to a FoMSchreier of 175.1 dB.</t>
  </si>
  <si>
    <t>A 13-ENOB, 5 MHz BW, 3.16 mW 3-bit continuous-time ΔΣ ADC sampling at 432 MHz is presented. For power efficiency, this design utilizes a hybrid feedback feed-forward loop topology with SAR quantizer, feed-forward compensated amplifiers, and push-pull DACs. Further power efficiency is gained by performing excess-loop-delay compensation (ELDC) using the SAR quantizer SC-DAC, which reduces power overhead from ELDC to a negligible level. A 94 dB SFDR is achieved through feedback-DAC calibration. The 0.066 mm² design is fabricated in 28 nm CMOS and achieves FoMs of 36.4 fJ/step and 175.9 dB.</t>
  </si>
  <si>
    <t>A 16-channel machine learning digitizing interface embeds Inner-Product calculation within a Delta-Sigma Modulator (IPDSM) array canceling quantization noise and noise shaping the multiplicand. The prototype, with 16 independent IPDSM channels occupies a core area of 0.95mm² in 65 nm CMOS. Each channel performs up to 100M multiplications/s. The system is demonstrated with a standard machine learning scheme for image recognition. It achieves the same classification accuracy for the MNIST set of hand-written digits as with the same algorithm on floating point DSP.</t>
  </si>
  <si>
    <t>This paper describes an 8.5-11.5 Gb/s transceiver with a dual path receiver and a voltage-mode transmitter. The RX can operate either in ADC mode for complex loss channels such as optical multimode fiber or in DFE mode for copper-based backplane links. The ADC path implements a 2X interleaved 6-bit rectifying flash ADC using a programmable gain amplifier (PGA) with controlled bandwidth and peaking, comparator pipelining, and super-source follower circuit techniques. The LRM optical sensitivity requirements are met with a &gt; 6 dB margin while achieving an ENOB of 4.59 bits at a 5 GHz input frequency. The TX/RX DFE path achieves copper channel loss compensation of 38 dB with BER &lt; 10-12 at 11.5 Gb/s consuming 46mW from a 0.9V supply. The TX/RX ADC path consumes 125 mW at 10.3125 Gb/s. The TX/RX occupies 0.56 mm² in a 28nm standard CMOS process.</t>
  </si>
  <si>
    <t>We present a power- and area-efficient 24GS/s, 6b, 16-way time-interleaved (TI) ADC array, featuring a voltage-time (v/t) hybrid two-step structure for high-speed and low-power operation, a crosstalk-free SAR DAC topology and a non-hierarchical sampling frontend obviating reference and input buffers, respectively, for power and area savings. Background timingskew calibration via dithering a reference ADC is also reported. Fabricated in 28nm CMOS, the prototype ADC array consumes 23mW at 24GS/s and measures an SNDR/SFDR of 35/54dB for a low-frequency input and 29/41dB for a Nyquist input, respectively. The core area of the ADC is 0.03mm².</t>
  </si>
  <si>
    <t>This paper presents a 4-way 1.6-GS/s time-interleaved (TI) SAR ADC with fast reference charge neutralization (CN) and background timing-skew calibration. The SAR sub-ADC uses a flip-flop-less digital control unit to achieve 400MS/s operation. The prototype in 16-nm CMOS occupies an active area of 0.023 mm². From a 0.95-V supply, the power consumption is 8.2 mW at 1.6 GS/s. The peak SNDR is 55 dB and HF FOM is 19 fJ/conversion-step.</t>
  </si>
  <si>
    <t xml:space="preserve">A 0.028mm² 19.8fJ/step 2nd-Order VCO-Based CT ΔΣ Modulator Using an Inherent Passive Integrator and Capacitive Feedback in 40nm CMOS </t>
  </si>
  <si>
    <t xml:space="preserve">This paper presents an OTA-less 2nd-order VCO-based CT ΔΣ modulator featuring a passive integrator that makes use of the VCO’s inherent parasitic effect. A low-power capacitive feedback technique is also presented for robust loop compensation. Fabricated in 40nm CMOS, the prototype occupies 0.028mm² of active area and consumes 524μW when sampling at 330MHz. The ΔΣM achieved peak Walden FoM of 19.8fJ/step with 68.6dB SNDR over 6MHz BW. </t>
  </si>
  <si>
    <t xml:space="preserve">This paper presents a 3rd order single-bit CT ΔΣ modulator with active-RC integrators using negative-R assistant at virtual ground, which mitigates opamp’s requirements including the thermal noise and linearity leading to a drastic power-saving. Fabricated in a 65nm CMOS process, the modulator occupies area of 0.27mm². It achieves 100.5dB SFDR and 93.1dB DR in 20kHz BW, while consuming only 55μW from a 1.2V supply. This results in Schreier FoM of 178.7dB and Walden FoM of 63.1fJ/step.  Introduction </t>
  </si>
  <si>
    <t>This paper introduces an architecture and design for high resolution, high linearity Nyquist rate SAR ADCs requiring only a single simple calibration at startup. The proposed architecture benefits from an intrinsically linear 1.5 bit DAC to resolve the fine bits of the SAR ADC after a coarse conversion phase with a monotonically switched capacitive DAC. The    DAC is also used for a single shot calibration of the coarse CDAC which therefore does not require good matching and can be sized solely upon noise requirements. A prototype was fabricated in 40 nm CMOS, with power supplies of 1.1V and 2.5 V. It occupies an active area of only 0.074mm². The prototype achieves a measured peak SFDR of 107 dB and a noise limited SNDR of 84.8 dB at 80 kS/s Nyquist rate operation. The core power consumption is 101μW at 80 kS/s. In oversampling mode, the ADC achieves an SNDR above 90 dB over a 5 kHz bandwidth.</t>
  </si>
  <si>
    <t>A 0.014mm² 10-Bit 2GS/s Time-Interleaved SAR ADC with Low-Complexity Background Timing Skew Calibration</t>
  </si>
  <si>
    <t xml:space="preserve">A 10-bit 2GS/s time-interleaved SAR ADC with low-complexity background timing skew calibration is presented. 10% of the area is utilized for the interleaving mismatch estimation and correction. The ADC achieves -64dB mismatch spur and 50.1dB SNDR at Nyquist rate, with 10.4mW power consumption and 0.014mm² area in 16nm. </t>
  </si>
  <si>
    <t xml:space="preserve">This paper presents a SAR ADC that is much smaller and faster than the recently reported precision (16-bit and beyond) SAR ADCs [1, 2, 3]. In addition, it features low input capacitance and an efficient on-chip foreground calibration algorithm to fix bit weight errors. Several other enabling techniques are also used, including signal independent reference switching using reservoir capacitors to improve speed and reduce area, LSB repeats and ADC residue measurement to improve efficiency. The prototype achieves 97.5dB SFDR while operating at 16MS/s and consumes 16.3mW. It was fabricated in 55nm CMOS and occupies 0.55mm². </t>
  </si>
  <si>
    <t xml:space="preserve">A non-interleaved 2GS/s, 8b flash ADC achieves an effective resolution bandwidth (ERBW) of 1.74 GHz using a remainder number system (RNS) architecture, which results in reduced number of comparators while preserving the flash speed of the converter. The prototype ADC, fabricated in a 65nm CMOS process with an area of 0.08 mm², achieves an SNDR of  0.7 dB for a Nyquist input. The measured DNL and INL are ±0.14 and ±0.61 LSBs, respectively. </t>
  </si>
  <si>
    <t>This paper presents a micro-power audio continuous-time delta-sigma modulator. Fabricated in a 65nm CMOS process, the modulator occupies 0.14mm² and achieves 98.2dB DR, 94.1dB SNDR and 107dB  SFDR in a 24kHz BW while consuming only 68μW from a 1.2V supply. This results in a Schreier FoM of 183.6 dB, the highest energy-efficiency for audio ADCs published to date.</t>
  </si>
  <si>
    <t>A 0.029mm² 17-fJ/Conv.-Step CT ΔΣ ADC With 2nd-Order Noise-Shaping SAR Quantizer</t>
  </si>
  <si>
    <t>This paper presents a compact and power-efficient 3rd-order CT ΔΣ ADC with a single OTA. A 4-b fully-passive 2ndorder noise-shaping SAR ADC is employed as the quantizer that inherently provides two  additional noise shaping orders. Fabricated in 40nm CMOS, the prototype ADC consumes 1.16mW with a 500MHz clock rate. It achieves a Walden FoM of 17-fJ/conv.-step and occupies an area of only 0.029 mm².</t>
  </si>
  <si>
    <t>This paper presents a two-step incremental ADC (IADC) with extended counting. The proposed IADC has only one active integrator in the two-step conversion cycle. To achieve high accuracy without trimming or calibration, a cyclic ADC with a 31-level quantizer is used in the second step. Fabricated in 0.18 μm CMOS process, the prototype ADC occupies 0.72 mm². With a 55 MHz clock, the measured dynamic range and SFDR are 100 dB and 110 dB, respectively, at a conversion rate of 1.25 MS/s. The power consumption is 27.7 mW from a 3 V power supply. This gives a Schreier FoM of 173.6 dB.</t>
  </si>
  <si>
    <t>This paper presents an incremental A/D converter with a two-phase linear-exponential accumulation loop. In the linear phase, the loop works as a first-order structure. The noise coupling path is then enabled in the exponential phase thus boosting the SQNR exponentially with a few number of clock cycles. The uniform-exponential weight function allows data weighted averaging (DWA) to work well suppressing the DAC mismatch error. Fabricated in 65nm CMOS under 1.2V supply, the ADC achieves an SNDR/DR of 100.8dB/101.8dB with 20kHz BW, 550μW &amp; 0.134mm², resulting in FoMW and FoMS
of 153fJ/176.4dB (SNDR), respectively.</t>
  </si>
  <si>
    <t>An asynchronous 48x interleaved SAR ADC optimized for high SNDR above 20 GHz input frequency operating at 20-40 GS/s is presented. The ADC features an 8-channel interleaver with clock demultiplexing for enhanced bandwidth, a power- and area-optimized 2-stage SAR ADC, and bandwidth adjustment in the input sampling path. At 32 GS/s and 199mW power consumption it achieves 47.3 dB SNDR near DC and 37.8 dB at 40 GHz input frequency with a core chip area of 0.16mm² in 14 nm FinFET CMOS technology.</t>
  </si>
  <si>
    <t>This work presents a time-multiplexing SAR ADC to support up to 5-lead ECG monitoring with &gt;100dB SNDR per readout channel. Its noise and linearity performance are enhanced by a combination of dual-reference architecture and mismatch error shaping (MES) technique without using amplifiers or calibration, resulting in a &gt;106dB SFDR and 109.4dB DR within 250Hz bandwidth (FoMS,DR=178.9dB). The ECG analog front-end (AFE), including 3 DC-coupled instrumentation amplifiers (IAs) and 1 ADC, occupies only 0.48mm² in 55nm CMOS. Each ECG channel achieves 1μVrms (0.5-250Hz) input-referred noise at a low IA gain of 6V/V with a 667mVpp-diff linear input range.</t>
  </si>
  <si>
    <t>This work proposes a dual-residue pipelined-SAR ADC that generates two residue signals from a single amplifier, which eliminates the need for gain-matching calibration. A capacitive interpolating SAR conversion technique is also proposed for the second stage for power efficiency. A prototype ADC fabricated in a 40nm CMOS occupies an active area of 0.026 mm² and achieves an SNDR of 62.1 dB at Nyquist and 67.1 dB SFDR under a 0.9 V supply.</t>
  </si>
  <si>
    <t>A 10b flexible SAR ADC is presented incorporating a self-quenched dynamic bias comparator and a self-triggered asynchronous delay line. The ADC is fabricated in 65nm CMOS, occupies 0.04mm² and has an ENOB &gt; 9bit and SFDR &gt;66dB for sampling rates from 0.2 to 8MS/s at supply voltages respectively from 0.7V to 1.3V with a Walden FoM from 0.35 to 2.5fJ/conv-step.</t>
  </si>
  <si>
    <t>This paper presents a continuous-time (CT) zoom ADC for use in audio applications. Compared to previous zoom ADCs, its input impedance is mainly resistive, making it much easier to drive while maintaining high energy efficiency. The prototype is fabricated in a 0.16 um CMOS process, occupies 0.27 mm² and achieves 108.5 dB DR, 108.1 dB SNR, 106.4 dB SNDR in a 20 kHz BW, while consuming 618 μW. This results in a state-of-the-art Schreier FoM of 183.6 dB.</t>
  </si>
  <si>
    <t>This 56Gb/s PAM-4 transceiver leverages the high logic density provided by the 7nm FinFET technology through rigorous
application of digital design styles. The usage of analog transceiver elements with less favorable scaling is minimized by an
All-Digital PLL, an SST transmitter and a receiver based on a 28GS/s 8b 32-way time-interleaved ADC and DSP engine.
Receiver analog signal processing is limited to a minimal, but highly linear programmable gain and peaking stage with 48dB
SDR. The ADC's ENOB measures 5.5b, enabled by the linearity of the front-end. To support long reach channels, extensive
filtering is provided by a digital, fully adaptive 20-tap FFE, 1-tap DFE equalizer and a Mueller-Muller CDR. The system achieves a raw 1e-7 BER with a -33dB insertion loss channel. With a 500mW receiver, a 90mW transmitter, and 0.31mm² area per lane, the transceiver combines power efficiency with significant area reduction.</t>
  </si>
  <si>
    <t>This paper presents a discrete-time (DT) zoom ADC for audio applications. A 2b quantizer in combination with a low power “fuzz” suppression technique, results in a significant improvement in linearity and energy-efficiency over previous designs. The ADC occupies 0.27mm²  in 0.16μm CMOS and consumes 440μW from a 1.8V supply. In a 20kHz BW, it achieves 109.8dB DR and 106.5dB SNDR, resulting in a state-of-the-art Schreier FoM of 186.4dB.</t>
  </si>
  <si>
    <t xml:space="preserve">Using digital standard cells and digital place-and-route (PnR) tools, we created a 20 GS/s, 8-bit analog-to-digital converter (ADC) for use in high-speed serial link applications with an ENOB of 5.4, a DNL of 0.55 LSB, and an INL of 2.39 LSB, which dissipated 175 mW in 0.102 mm²  in a 16nm technology. The design is entirely described by HDL so that it can be ported to other processes with minimal effort and shared as open source. </t>
  </si>
  <si>
    <t xml:space="preserve">Y. Wu, V. Cheung, H. Luong  </t>
  </si>
  <si>
    <t xml:space="preserve">D.-L. Shen, T.-C. Lee   </t>
  </si>
  <si>
    <t xml:space="preserve">J. Jarvinen, M. Saukoski, K. Halonen   </t>
  </si>
  <si>
    <t xml:space="preserve">B. Ginsburg, A. Chandrakasan </t>
  </si>
  <si>
    <t>SAR, Two-Step</t>
  </si>
  <si>
    <t>SAR, Single-Slope</t>
  </si>
  <si>
    <t>Subranging, Time-Based</t>
  </si>
  <si>
    <t>Time-Based, TI</t>
  </si>
  <si>
    <t>This work presents an 8b two-step SAR ADC for GS/s single-channel operations. A recursive-weight DAC topology is proposed in the 2nd stage with minimized capacitors and simple control logic. A partially-dual-plate sampling technique is exploited to relax the restraints of comparators and reduce the total amount of capacitors. Prototyped in a 40-nm CMOS process, this ADC occupies only 22×75 µm2. With a 580 MHz input sampled at 1.1 GS/s, it exhibits a SNDR of 45 dB and a SFDR of 66 dB under 4.0 mW power consumption, leading to a FOMw of 25 fJ/conv.-step. The measured effective resolution bandwidth is larger than 3 GHz.</t>
  </si>
  <si>
    <t>H. Chen, X. Zhot, Q. Yu, F. Zhang, Q. Li</t>
  </si>
  <si>
    <t>A wide bandwidth VCO-based continuous-time ΔΣ modulator that uses combined phase and frequency feedback to mitigate VCO non-linearity and ease DEM timing requirement is presented. Fabricated in 65nm CMOS process, the prototype modulator operates at 1.2GS/s and achieves 71.5dB SNDR in 50MHz bandwidth while consuming 54mW of power, which translates to an FoM of 176fJ/conv-step.</t>
  </si>
  <si>
    <t>A pipelined ADC employs charge-steering op amps to relax the trade-offs among speed, noise, and power consumption. Applying full-rate nonlinearity and gain error calibration, a prototype realized in 65-nm CMOS technology achieves an SNDR of 52.2 dB at an input frequency of 399.2MHz and an FoM of 53 fJ/conversion-step.</t>
  </si>
  <si>
    <r>
      <t>A 0.075 mm</t>
    </r>
    <r>
      <rPr>
        <vertAlign val="superscript"/>
        <sz val="10"/>
        <color indexed="8"/>
        <rFont val="Arial"/>
        <family val="2"/>
      </rPr>
      <t>2</t>
    </r>
    <r>
      <rPr>
        <sz val="10"/>
        <color indexed="8"/>
        <rFont val="Arial"/>
        <family val="2"/>
      </rPr>
      <t xml:space="preserve"> 65 nm CMOS VCO-based ΔΣ modulator ADC that operates from a single 0.9-1.2 V supply is presented. Its sample-rate, f</t>
    </r>
    <r>
      <rPr>
        <vertAlign val="subscript"/>
        <sz val="10"/>
        <color indexed="8"/>
        <rFont val="Arial"/>
        <family val="2"/>
      </rPr>
      <t>s</t>
    </r>
    <r>
      <rPr>
        <sz val="10"/>
        <color indexed="8"/>
        <rFont val="Arial"/>
        <family val="2"/>
      </rPr>
      <t>, is tunable from 1.3-2.4 GHz over which the SNDR spans 70-75 dB, the bandwidth spans 5-37.5 MHz, and the minimum SNDR + 10 log(bandwidth/power dissipation) figure of merit (FOM) is 160 dB.</t>
    </r>
  </si>
  <si>
    <t xml:space="preserve">B. Vaz, J. Goes, N. Paulino   </t>
  </si>
  <si>
    <t xml:space="preserve">J. Li, G.-C. Ahn, D.-Y. Chang, U.-K. Moon   </t>
  </si>
  <si>
    <t>S. Kim,  J.-Y. Lee, S.-J. Song, N. Cho, H.-J. Yoo  </t>
  </si>
  <si>
    <t>1.2-V, 16-bit Audio A/D Converter With Suppressed Latch Error Noise</t>
  </si>
  <si>
    <t>Single-Slope, TI</t>
  </si>
  <si>
    <t>Two-Step, Pipe</t>
  </si>
  <si>
    <t>SDCT, Ext. Counting</t>
  </si>
  <si>
    <t>Incremental, Ext. Counting</t>
  </si>
  <si>
    <t>Two-Step, Incremental, Ext. Counting</t>
  </si>
  <si>
    <t>Two-Step, binary search, TI</t>
  </si>
  <si>
    <t xml:space="preserve">K. Irie, N. Kusayanagi, T. Kawachi, T. Nishibu, Y. Matsumori  </t>
  </si>
  <si>
    <t>K. Poulton, K.L. Knudsen, J. Kerley, J. Kang, J. Tani, E. Cornish, M. VanGrouw</t>
  </si>
  <si>
    <t xml:space="preserve">A.M. Abo, P.R. Gray   </t>
  </si>
  <si>
    <t>PLL jitter subtracted</t>
  </si>
  <si>
    <t>Data for Nyquist sinusoid</t>
  </si>
  <si>
    <t>LF data only</t>
  </si>
  <si>
    <t>DOI</t>
  </si>
  <si>
    <t>10.1109/ISSCC42614.2022.9731571</t>
  </si>
  <si>
    <t>LINK</t>
  </si>
  <si>
    <t xml:space="preserve">A wide bandwidth Continuous-Time ΣΔ lowpass ADC with a 4-bit internal quantizer is presented. The converter is implemented in a pure digital 0.13 µm CMOS. It achieves 76dB Dynamic Range over 12MHz signal bandwidth tolerating up to 20ps RMS clock jitter. Operated at 400MHz the power consumption is 70mW from a 1.5V supply. The ADC has been designed to be tolerant to excess-loop delay and clock jitter. The 4th-order loop-filter is based on OpAmp-RC structure. </t>
  </si>
  <si>
    <t>10.1109/ISSCC.2000.839808</t>
  </si>
  <si>
    <t>10.1109/ISSCC.2004.1332791</t>
  </si>
  <si>
    <t>10.1109/ISSCC.2006.1696042</t>
  </si>
  <si>
    <t>10.1109/ISSCC.2006.1696043</t>
  </si>
  <si>
    <t>10.1109/ISSCC.2006.1696044</t>
  </si>
  <si>
    <t>10.1109/ISSCC.2006.1696046</t>
  </si>
  <si>
    <t>10.1109/ISSCC.2006.1696049</t>
  </si>
  <si>
    <t>10.1109/ISSCC.2006.1696118</t>
  </si>
  <si>
    <t>10.1109/ISSCC.2006.1696119</t>
  </si>
  <si>
    <t>10.1109/ISSCC.2006.1696120</t>
  </si>
  <si>
    <t>10.1109/ISSCC.2006.1696121</t>
  </si>
  <si>
    <t>10.1109/ISSCC.2006.1696122</t>
  </si>
  <si>
    <t>10.1109/ISSCC.2006.1696123</t>
  </si>
  <si>
    <t>10.1109/ISSCC.2006.1696124</t>
  </si>
  <si>
    <t>10.1109/ISSCC.2006.1696125</t>
  </si>
  <si>
    <t>10.1109/ISSCC.2006.1696294</t>
  </si>
  <si>
    <t>10.1109/ISSCC.2006.1696295</t>
  </si>
  <si>
    <t>10.1109/ISSCC.2006.1696296</t>
  </si>
  <si>
    <t>10.1109/ISSCC.2006.1696297</t>
  </si>
  <si>
    <t>10.1109/ISSCC.2006.1696299</t>
  </si>
  <si>
    <t>10.1109/ISSCC.2007.373382</t>
  </si>
  <si>
    <t>10.1109/ISSCC.2007.373383</t>
  </si>
  <si>
    <t>10.1109/ISSCC.2007.373384</t>
  </si>
  <si>
    <t>10.1109/ISSCC.2007.373386</t>
  </si>
  <si>
    <t>10.1109/ISSCC.2007.373387</t>
  </si>
  <si>
    <t>10.1109/ISSCC.2007.373489</t>
  </si>
  <si>
    <t>10.1109/ISSCC.2007.373490</t>
  </si>
  <si>
    <t>10.1109/ISSCC.2007.373493</t>
  </si>
  <si>
    <t>10.1109/ISSCC.2007.373494</t>
  </si>
  <si>
    <t>10.1109/ISSCC.2008.4523145</t>
  </si>
  <si>
    <t>10.1109/ISSCC.2008.4523146</t>
  </si>
  <si>
    <t>10.1109/ISSCC.2008.4523147</t>
  </si>
  <si>
    <t>10.1109/ISSCC.2008.4523148</t>
  </si>
  <si>
    <t>10.1109/ISSCC.2008.4523149</t>
  </si>
  <si>
    <t>10.1109/ISSCC.2008.4523150</t>
  </si>
  <si>
    <t>10.1109/ISSCC.2008.4523151</t>
  </si>
  <si>
    <t>10.1109/ISSCC.2008.4523152</t>
  </si>
  <si>
    <t>10.1109/ISSCC.2008.4523271</t>
  </si>
  <si>
    <t>10.1109/ISSCC.2008.4523272</t>
  </si>
  <si>
    <t>10.1109/ISSCC.2008.4523273</t>
  </si>
  <si>
    <t>10.1109/ISSCC.2008.4523274</t>
  </si>
  <si>
    <t>10.1109/ISSCC.2008.4523275</t>
  </si>
  <si>
    <t>10.1109/ISSCC.2008.4523276</t>
  </si>
  <si>
    <t>10.1109/ISSCC.2008.4523277</t>
  </si>
  <si>
    <t>10.1109/ISSCC.2008.4523296</t>
  </si>
  <si>
    <t>10.1109/ISSCC.2008.4523297</t>
  </si>
  <si>
    <t>10.1109/ISSCC.2008.4523298</t>
  </si>
  <si>
    <t>10.1109/ISSCC.2008.4523299</t>
  </si>
  <si>
    <t>10.1109/ISSCC.2008.4523302</t>
  </si>
  <si>
    <t>10.1109/ISSCC.2008.4523303</t>
  </si>
  <si>
    <t>10.1109/ISSCC.2009.4977315</t>
  </si>
  <si>
    <t>10.1109/ISSCC.2009.4977316</t>
  </si>
  <si>
    <t>10.1109/ISSCC.2009.4977317</t>
  </si>
  <si>
    <t>10.1109/ISSCC.2009.4977318</t>
  </si>
  <si>
    <t>10.1109/ISSCC.2009.4977319</t>
  </si>
  <si>
    <t>10.1109/ISSCC.2009.4977320</t>
  </si>
  <si>
    <t>10.1109/ISSCC.2009.4977358</t>
  </si>
  <si>
    <t>10.1109/ISSCC.2009.4977359</t>
  </si>
  <si>
    <t>10.1109/ISSCC.2009.4977360</t>
  </si>
  <si>
    <t>10.1109/ISSCC.2009.4977362</t>
  </si>
  <si>
    <t>10.1109/ISSCC.2009.4977364</t>
  </si>
  <si>
    <t>10.1109/ISSCC.2009.4977365</t>
  </si>
  <si>
    <t>10.1109/ISSCC.2009.4977462</t>
  </si>
  <si>
    <t>10.1109/ISSCC.2010.5433923</t>
  </si>
  <si>
    <t>10.1109/ISSCC.2010.5433928</t>
  </si>
  <si>
    <t>10.1109/ISSCC.2010.5433925</t>
  </si>
  <si>
    <t>10.1109/ISSCC.2010.5433930</t>
  </si>
  <si>
    <t>10.1109/ISSCC.2010.5433927</t>
  </si>
  <si>
    <t>10.1109/ISSCC.2010.5433894</t>
  </si>
  <si>
    <t>10.1109/ISSCC.2010.5433829</t>
  </si>
  <si>
    <t>10.1109/ISSCC.2010.5433830</t>
  </si>
  <si>
    <t>10.1109/ISSCC.2010.5433968</t>
  </si>
  <si>
    <t>10.1109/ISSCC.2010.5433965</t>
  </si>
  <si>
    <t>10.1109/ISSCC.2010.5433970</t>
  </si>
  <si>
    <t>10.1109/ISSCC.2010.5433967</t>
  </si>
  <si>
    <t>10.1109/ISSCC.2010.5433972</t>
  </si>
  <si>
    <t>10.1109/ISSCC.2011.5746272</t>
  </si>
  <si>
    <t>10.1109/ISSCC.2011.5746273</t>
  </si>
  <si>
    <t>10.1109/ISSCC.2011.5746274</t>
  </si>
  <si>
    <t>10.1109/ISSCC.2011.5746275</t>
  </si>
  <si>
    <t>10.1109/ISSCC.2011.5746276</t>
  </si>
  <si>
    <t>10.1109/ISSCC.2011.5746277</t>
  </si>
  <si>
    <t>10.1109/ISSCC.2011.5746402</t>
  </si>
  <si>
    <t>10.1109/ISSCC.2011.5746403</t>
  </si>
  <si>
    <t>10.1109/ISSCC.2011.5746404</t>
  </si>
  <si>
    <t>10.1109/ISSCC.2011.5746405</t>
  </si>
  <si>
    <t>10.1109/ISSCC.2012.6176901</t>
  </si>
  <si>
    <t>10.1109/ISSCC.2012.6176940</t>
  </si>
  <si>
    <t>10.1109/ISSCC.2012.6176955</t>
  </si>
  <si>
    <t>10.1109/ISSCC.2012.6176956</t>
  </si>
  <si>
    <t>10.1109/ISSCC.2012.6176957</t>
  </si>
  <si>
    <t>10.1109/ISSCC.2012.6176958</t>
  </si>
  <si>
    <t>10.1109/ISSCC.2012.6177033</t>
  </si>
  <si>
    <t>10.1109/ISSCC.2012.6177090</t>
  </si>
  <si>
    <t>10.1109/ISSCC.2012.6177091</t>
  </si>
  <si>
    <t>10.1109/ISSCC.2012.6177093</t>
  </si>
  <si>
    <t>10.1109/ISSCC.2012.6177094</t>
  </si>
  <si>
    <t>10.1109/ISSCC.2012.6177095</t>
  </si>
  <si>
    <t>10.1109/ISSCC.2012.6177096</t>
  </si>
  <si>
    <t>10.1109/ISSCC.2013.6487625</t>
  </si>
  <si>
    <t>10.1109/ISSCC.2013.6487730</t>
  </si>
  <si>
    <t>10.1109/ISSCC.2013.6487731</t>
  </si>
  <si>
    <t>10.1109/ISSCC.2013.6487736</t>
  </si>
  <si>
    <t>10.1109/ISSCC.2013.6487815</t>
  </si>
  <si>
    <t>10.1109/ISSCC.2013.6487816</t>
  </si>
  <si>
    <t>10.1109/ISSCC.2013.6487817</t>
  </si>
  <si>
    <t>10.1109/ISSCC.2013.6487818</t>
  </si>
  <si>
    <t>10.1109/ISSCC.2013.6487820</t>
  </si>
  <si>
    <t>10.1109/ISSCC.2014.6757396</t>
  </si>
  <si>
    <t>10.1109/ISSCC.2014.6757397</t>
  </si>
  <si>
    <t>10.1109/ISSCC.2014.6757398</t>
  </si>
  <si>
    <t>10.1109/ISSCC.2014.6757399</t>
  </si>
  <si>
    <t>10.1109/ISSCC.2014.6757400</t>
  </si>
  <si>
    <t>10.1109/ISSCC.2014.6757401</t>
  </si>
  <si>
    <t>10.1109/ISSCC.2014.6757477</t>
  </si>
  <si>
    <t>10.1109/ISSCC.2014.6757478</t>
  </si>
  <si>
    <t>10.1109/ISSCC.2014.6757479</t>
  </si>
  <si>
    <t>10.1109/ISSCC.2014.6757480</t>
  </si>
  <si>
    <t>10.1109/ISSCC.2014.6757481</t>
  </si>
  <si>
    <t>10.1109/ISSCC.2014.6757482</t>
  </si>
  <si>
    <t>10.1109/ISSCC.2014.6757521</t>
  </si>
  <si>
    <t>10.1109/ISSCC.2014.6757522</t>
  </si>
  <si>
    <t>10.1109/ISSCC.2015.7062926</t>
  </si>
  <si>
    <t>10.1109/ISSCC.2015.7062940</t>
  </si>
  <si>
    <t>10.1109/ISSCC.2015.7063034</t>
  </si>
  <si>
    <t>10.1109/ISSCC.2015.7063036</t>
  </si>
  <si>
    <t>10.1109/ISSCC.2015.7063037</t>
  </si>
  <si>
    <t>10.1109/ISSCC.2015.7063038</t>
  </si>
  <si>
    <t>10.1109/ISSCC.2015.7063086</t>
  </si>
  <si>
    <t>10.1109/ISSCC.2015.7063124</t>
  </si>
  <si>
    <t>10.1109/ISSCC.2015.7063125</t>
  </si>
  <si>
    <t>10.1109/ISSCC.2015.7063126</t>
  </si>
  <si>
    <t>10.1109/ISSCC.2015.7063127</t>
  </si>
  <si>
    <t>10.1109/ISSCC.2015.7063128</t>
  </si>
  <si>
    <t>10.1109/ISSCC.2015.7063129</t>
  </si>
  <si>
    <t>10.1109/ISSCC.2015.7063130</t>
  </si>
  <si>
    <t>10.1109/ISSCC.2016.7417905</t>
  </si>
  <si>
    <t>10.1109/ISSCC.2016.7418011</t>
  </si>
  <si>
    <t>10.1109/ISSCC.2016.7418012</t>
  </si>
  <si>
    <t>10.1109/ISSCC.2016.7418013</t>
  </si>
  <si>
    <t>10.1109/ISSCC.2016.7418014</t>
  </si>
  <si>
    <t>10.1109/ISSCC.2016.7418015</t>
  </si>
  <si>
    <t>10.1109/ISSCC.2016.7418017</t>
  </si>
  <si>
    <t>10.1109/ISSCC.2016.7418018</t>
  </si>
  <si>
    <t>10.1109/ISSCC.2016.7418108</t>
  </si>
  <si>
    <t>10.1109/ISSCC.2016.7418111</t>
  </si>
  <si>
    <t>10.1109/ISSCC.2016.7418118</t>
  </si>
  <si>
    <t>10.1109/ISSCC.2017.7870368</t>
  </si>
  <si>
    <t>10.1109/ISSCC.2017.7870369</t>
  </si>
  <si>
    <t>10.1109/ISSCC.2017.7870371</t>
  </si>
  <si>
    <t>10.1109/ISSCC.2017.7870372</t>
  </si>
  <si>
    <t>10.1109/ISSCC.2017.7870374</t>
  </si>
  <si>
    <t>10.1109/ISSCC.2017.7870411</t>
  </si>
  <si>
    <t>10.1109/ISSCC.2017.7870465</t>
  </si>
  <si>
    <t>10.1109/ISSCC.2017.7870466</t>
  </si>
  <si>
    <t>10.1109/ISSCC.2017.7870467</t>
  </si>
  <si>
    <t>10.1109/ISSCC.2017.7870469</t>
  </si>
  <si>
    <t>10.1109/ISSCC.2017.7870472</t>
  </si>
  <si>
    <t>10.1109/ISSCC.2018.8310199</t>
  </si>
  <si>
    <t>10.1109/ISSCC.2018.8310268</t>
  </si>
  <si>
    <t>10.1109/ISSCC.2018.8310269</t>
  </si>
  <si>
    <t>10.1109/ISSCC.2018.8310271</t>
  </si>
  <si>
    <t>10.1109/ISSCC.2018.8310272</t>
  </si>
  <si>
    <t>10.1109/ISSCC.2018.8310273</t>
  </si>
  <si>
    <t>10.1109/ISSCC.2018.8310295</t>
  </si>
  <si>
    <t>10.1109/ISSCC.2018.8310297</t>
  </si>
  <si>
    <t>10.1109/ISSCC.2018.8310332</t>
  </si>
  <si>
    <t>10.1109/ISSCC.2018.8310386</t>
  </si>
  <si>
    <t>10.1109/ISSCC.2018.8310388</t>
  </si>
  <si>
    <t>10.1109/ISSCC.2019.8662290</t>
  </si>
  <si>
    <t>10.1109/ISSCC.2019.8662524</t>
  </si>
  <si>
    <t>10.1109/ISSCC.2019.8662490</t>
  </si>
  <si>
    <t>10.1109/ISSCC.2019.8662406</t>
  </si>
  <si>
    <t>10.1109/ISSCC.2019.8662350</t>
  </si>
  <si>
    <t>10.1109/ISSCC.2019.8662319</t>
  </si>
  <si>
    <t>10.1109/ISSCC.2019.8662400</t>
  </si>
  <si>
    <t>10.1109/ISSCC.2019.8662428</t>
  </si>
  <si>
    <t>10.1109/ISSCC.2019.8662531</t>
  </si>
  <si>
    <t>10.1109/ISSCC.2019.8662412</t>
  </si>
  <si>
    <t>10.1109/ISSCC.2019.8662313</t>
  </si>
  <si>
    <t>10.1109/ISSCC.2019.8662317</t>
  </si>
  <si>
    <t>10.1109/ISSCC.2019.8662520</t>
  </si>
  <si>
    <t>10.1109/ISSCC19947.2020.9063148</t>
  </si>
  <si>
    <t>10.1109/ISSCC19947.2020.9062905</t>
  </si>
  <si>
    <t>10.1109/ISSCC19947.2020.9063058</t>
  </si>
  <si>
    <t>10.1109/ISSCC19947.2020.9063047</t>
  </si>
  <si>
    <t>10.1109/ISSCC19947.2020.9063026</t>
  </si>
  <si>
    <t>10.1109/ISSCC19947.2020.9062936</t>
  </si>
  <si>
    <t>10.1109/ISSCC19947.2020.9062986</t>
  </si>
  <si>
    <t>10.1109/ISSCC19947.2020.9062895</t>
  </si>
  <si>
    <t>10.1109/ISSCC19947.2020.9063055</t>
  </si>
  <si>
    <t>10.1109/ISSCC19947.2020.9062917</t>
  </si>
  <si>
    <t>10.1109/ISSCC42613.2021.9365746</t>
  </si>
  <si>
    <t>10.1109/ISSCC42613.2021.9365807</t>
  </si>
  <si>
    <t>10.1109/ISSCC42613.2021.9366002</t>
  </si>
  <si>
    <t>10.1109/ISSCC42613.2021.9366006</t>
  </si>
  <si>
    <t>10.1109/ISSCC42613.2021.9366023</t>
  </si>
  <si>
    <t>10.1109/ISSCC42613.2021.9366051</t>
  </si>
  <si>
    <t>10.1109/ISSCC42613.2021.9365927</t>
  </si>
  <si>
    <t>10.1109/ISSCC42613.2021.9366008</t>
  </si>
  <si>
    <t>10.1109/ISSCC42613.2021.9365863</t>
  </si>
  <si>
    <t>10.1109/ISSCC42613.2021.9365990</t>
  </si>
  <si>
    <t>10.1109/ISSCC42613.2021.9365753</t>
  </si>
  <si>
    <t>10.1109/ISSCC42613.2021.9365754</t>
  </si>
  <si>
    <t>10.1109/ISSCC42613.2021.9365833</t>
  </si>
  <si>
    <t>10.1109/ISSCC42613.2021.9365962</t>
  </si>
  <si>
    <t>10.1109/ISSCC42613.2021.9365950</t>
  </si>
  <si>
    <t>10.1109/ISSCC42613.2021.9365985</t>
  </si>
  <si>
    <t>10.1109/ISSCC42613.2021.9366015</t>
  </si>
  <si>
    <t>10.1109/ISSCC42613.2021.9365856</t>
  </si>
  <si>
    <t>10.1109/ISSCC42614.2022.9731794</t>
  </si>
  <si>
    <t>10.1109/ISSCC42614.2022.9731625</t>
  </si>
  <si>
    <t>10.1109/ISSCC42614.2022.9731546</t>
  </si>
  <si>
    <t>10.1109/ISSCC42614.2022.9731599</t>
  </si>
  <si>
    <t>10.1109/ISSCC42614.2022.9731702</t>
  </si>
  <si>
    <t>10.1109/ISSCC42614.2022.9731652</t>
  </si>
  <si>
    <t>10.1109/ISSCC42614.2022.9731631</t>
  </si>
  <si>
    <t>10.1109/ISSCC42614.2022.9731742</t>
  </si>
  <si>
    <t>10.1109/ISSCC42614.2022.9731549</t>
  </si>
  <si>
    <t>10.1109/ISSCC42614.2022.9731544</t>
  </si>
  <si>
    <t>10.1109/ISSCC42614.2022.9731606</t>
  </si>
  <si>
    <t>10.1109/ISSCC42614.2022.9731789</t>
  </si>
  <si>
    <t>10.1109/ISSCC42614.2022.9731602</t>
  </si>
  <si>
    <t>10.1109/ISSCC42614.2022.9731771</t>
  </si>
  <si>
    <t>10.1109/ISSCC42614.2022.9731597</t>
  </si>
  <si>
    <t>C. Hammerschmied, Q. Huang</t>
  </si>
  <si>
    <t>M. Flynn, B. Sheahan</t>
  </si>
  <si>
    <t>A.L. Coban, P.E. Allen</t>
  </si>
  <si>
    <t>10.1109/ISSCC.1997.585301</t>
  </si>
  <si>
    <t>10.1109/VLSIC.1997.623781</t>
  </si>
  <si>
    <t>10.1109/VLSIC.1997.623783</t>
  </si>
  <si>
    <t>10.1109/VLSIC.2006.1705359</t>
  </si>
  <si>
    <t>10.1109/VLSIC.2007.4342766</t>
  </si>
  <si>
    <t>10.1109/VLSIC.2007.4342767</t>
  </si>
  <si>
    <t>10.1109/VLSIC.2007.4342711</t>
  </si>
  <si>
    <t>10.1109/VLSIC.2007.4342712</t>
  </si>
  <si>
    <t>10.1109/VLSIC.2007.4342713</t>
  </si>
  <si>
    <t>10.1109/VLSIC.2007.4342715</t>
  </si>
  <si>
    <t>10.1109/VLSIC.2007.4342733</t>
  </si>
  <si>
    <t>10.1109/VLSIC.2007.4342734</t>
  </si>
  <si>
    <t>10.1109/VLSIC.2007.4342735</t>
  </si>
  <si>
    <t>10.1109/VLSIC.2007.4342736</t>
  </si>
  <si>
    <t>10.1109/VLSIC.2007.4342737</t>
  </si>
  <si>
    <t>10.1109/VLSIC.2008.4585957</t>
  </si>
  <si>
    <t>10.1109/JSSC.2009.2014701</t>
  </si>
  <si>
    <t>10.1109/VLSIC.2008.4585933</t>
  </si>
  <si>
    <t>10.1109/VLSIC.2008.4585934</t>
  </si>
  <si>
    <t>10.1109/VLSIC.2008.4585935</t>
  </si>
  <si>
    <t>10.1109/VLSIC.2008.4585998</t>
  </si>
  <si>
    <t>10.1109/VLSIC.2008.4586012</t>
  </si>
  <si>
    <t>10.1109/VLSIC.2008.4586015</t>
  </si>
  <si>
    <t>10.1109/VLSIC.2010.5560317</t>
  </si>
  <si>
    <t>10.1109/VLSIC.2010.5560314</t>
  </si>
  <si>
    <t>10.1109/VLSIC.2010.5560315</t>
  </si>
  <si>
    <t>10.1109/VLSIC.2010.5560312</t>
  </si>
  <si>
    <t>10.1109/VLSIC.2010.5560285</t>
  </si>
  <si>
    <t>10.1109/VLSIC.2010.5560243</t>
  </si>
  <si>
    <t>10.1109/VLSIC.2010.5560283</t>
  </si>
  <si>
    <t>10.1109/VLSIC.2010.5560246</t>
  </si>
  <si>
    <t>10.1109/VLSIC.2012.6243772</t>
  </si>
  <si>
    <t>10.1109/VLSIC.2012.6243773</t>
  </si>
  <si>
    <t>10.1109/VLSIC.2012.6243774</t>
  </si>
  <si>
    <t>10.1109/VLSIC.2012.6243775</t>
  </si>
  <si>
    <t>10.1109/VLSIC.2012.6243801</t>
  </si>
  <si>
    <t>10.1109/VLSIC.2012.6243802</t>
  </si>
  <si>
    <t>10.1109/VLSIC.2012.6243803</t>
  </si>
  <si>
    <t>10.1109/VLSIC.2012.6243804</t>
  </si>
  <si>
    <t>10.1109/VLSIC.2012.6243805</t>
  </si>
  <si>
    <t>10.1109/VLSIC.2012.6243839</t>
  </si>
  <si>
    <t>10.1109/VLSIC.2012.6243840</t>
  </si>
  <si>
    <t>10.1109/VLSIC.2012.6243841</t>
  </si>
  <si>
    <t>10.1109/VLSIC.2012.6243842</t>
  </si>
  <si>
    <t>10.1109/VLSIC.2014.6858371</t>
  </si>
  <si>
    <t>10.1109/VLSIC.2014.6858372</t>
  </si>
  <si>
    <t>10.1109/VLSIC.2014.6858373</t>
  </si>
  <si>
    <t>10.1109/VLSIC.2014.6858374</t>
  </si>
  <si>
    <t>10.1109/VLSIC.2014.6858397</t>
  </si>
  <si>
    <t>10.1109/VLSIC.2014.6858398</t>
  </si>
  <si>
    <t>10.1109/VLSIC.2014.6858451</t>
  </si>
  <si>
    <t>10.1109/VLSIC.2014.6858452</t>
  </si>
  <si>
    <t>10.1109/VLSIC.2014.6858453</t>
  </si>
  <si>
    <t>10.1109/VLSIC.2014.6858454</t>
  </si>
  <si>
    <t>10.1109/VLSIC.2015.7231327</t>
  </si>
  <si>
    <t>10.1109/VLSIC.2015.7231328</t>
  </si>
  <si>
    <t>10.1109/VLSIC.2015.7231329</t>
  </si>
  <si>
    <t>10.1109/VLSIC.2015.7231330</t>
  </si>
  <si>
    <t>10.1109/VLSIC.2015.7231248</t>
  </si>
  <si>
    <t>10.1109/VLSIC.2015.7231250</t>
  </si>
  <si>
    <t>10.1109/VLSIC.2015.7231277</t>
  </si>
  <si>
    <t>10.1109/VLSIC.2015.7231278</t>
  </si>
  <si>
    <t>10.1109/VLSIC.2015.7231279</t>
  </si>
  <si>
    <t>10.1109/VLSIC.2015.7231280</t>
  </si>
  <si>
    <t>10.1109/VLSIC.2015.7231281</t>
  </si>
  <si>
    <t>10.1109/VLSIC.2015.7231294</t>
  </si>
  <si>
    <t>10.1109/VLSIC.2015.7231295</t>
  </si>
  <si>
    <t>10.1109/VLSIC.2015.7231296</t>
  </si>
  <si>
    <t>10.1109/VLSIC.2016.7573463</t>
  </si>
  <si>
    <t>10.1109/VLSIC.2016.7573464</t>
  </si>
  <si>
    <t>10.1109/VLSIC.2016.7573465</t>
  </si>
  <si>
    <t>10.1109/VLSIC.2016.7573466</t>
  </si>
  <si>
    <t>10.1109/VLSIC.2016.7573474</t>
  </si>
  <si>
    <t>10.1109/VLSIC.2016.7573488</t>
  </si>
  <si>
    <t>10.1109/VLSIC.2016.7573509</t>
  </si>
  <si>
    <t>10.1109/VLSIC.2016.7573516</t>
  </si>
  <si>
    <t>10.1109/VLSIC.2016.7573517</t>
  </si>
  <si>
    <t>10.1109/VLSIC.2016.7573518</t>
  </si>
  <si>
    <t>10.1109/VLSIC.2016.7573519</t>
  </si>
  <si>
    <t>10.1109/VLSIC.2016.7573521</t>
  </si>
  <si>
    <t>10.1109/VLSIC.2016.7573535</t>
  </si>
  <si>
    <t>10.1109/VLSIC.2016.7573536</t>
  </si>
  <si>
    <t>10.23919/VLSIC.2017.8008537</t>
  </si>
  <si>
    <t>10.23919/VLSIC.2017.8008538</t>
  </si>
  <si>
    <t>10.23919/VLSIC.2017.8008539</t>
  </si>
  <si>
    <t>10.23919/VLSIC.2017.8008540</t>
  </si>
  <si>
    <t>10.23919/VLSIC.2017.8008559</t>
  </si>
  <si>
    <t>10.23919/VLSIC.2017.8008560</t>
  </si>
  <si>
    <t>10.23919/VLSIC.2017.8008561</t>
  </si>
  <si>
    <t>10.23919/VLSIC.2017.8008562</t>
  </si>
  <si>
    <t>10.23919/VLSIC.2017.8008491</t>
  </si>
  <si>
    <t>10.23919/VLSIC.2017.8008492</t>
  </si>
  <si>
    <t>10.23919/VLSIC.2017.8008494</t>
  </si>
  <si>
    <t>10.23919/VLSIC.2017.8008506</t>
  </si>
  <si>
    <t>10.23919/VLSIC.2017.8008507</t>
  </si>
  <si>
    <t>10.23919/VLSIC.2017.8008508</t>
  </si>
  <si>
    <t>10.23919/VLSIC.2017.8008509</t>
  </si>
  <si>
    <t>10.23919/VLSIC.2017.8008510</t>
  </si>
  <si>
    <t>10.1109/VLSIC.2018.8502325</t>
  </si>
  <si>
    <t>10.1109/VLSIC.2018.8502440</t>
  </si>
  <si>
    <t>10.1109/VLSIC.2018.8502316</t>
  </si>
  <si>
    <t>10.1109/VLSIC.2018.8502370</t>
  </si>
  <si>
    <t>10.1109/VLSIC.2018.8502306</t>
  </si>
  <si>
    <t>10.1109/VLSIC.2018.8502382</t>
  </si>
  <si>
    <t>10.1109/VLSIC.2018.8502298</t>
  </si>
  <si>
    <t>10.1109/VLSIC.2018.8502384</t>
  </si>
  <si>
    <t>10.1109/VLSIC.2018.8502264</t>
  </si>
  <si>
    <t>10.1109/VLSIC.2018.8502268</t>
  </si>
  <si>
    <t>10.23919/VLSIC.2019.8778032</t>
  </si>
  <si>
    <t>10.23919/VLSIC.2019.8777944</t>
  </si>
  <si>
    <t>10.23919/VLSIC.2019.8778005</t>
  </si>
  <si>
    <t>10.23919/VLSIC.2019.8778093</t>
  </si>
  <si>
    <t>10.23919/VLSIC.2019.8778077</t>
  </si>
  <si>
    <t>10.23919/VLSIC.2019.8778200</t>
  </si>
  <si>
    <t>10.23919/VLSIC.2019.8778021</t>
  </si>
  <si>
    <t>10.23919/VLSIC.2019.8778026</t>
  </si>
  <si>
    <t>10.23919/VLSIC.2019.8777949</t>
  </si>
  <si>
    <t>10.23919/VLSIC.2019.8778176</t>
  </si>
  <si>
    <t>10.23919/VLSIC.2019.8778051</t>
  </si>
  <si>
    <t>10.1109/VLSICircuits18222.2020.9162788</t>
  </si>
  <si>
    <t>10.1109/VLSICircuits18222.2020.9162786</t>
  </si>
  <si>
    <t>10.1109/VLSICircuits18222.2020.9162856</t>
  </si>
  <si>
    <t>10.1109/VLSICircuits18222.2020.9162798</t>
  </si>
  <si>
    <t>10.1109/VLSICircuits18222.2020.9162797</t>
  </si>
  <si>
    <t>10.1109/VLSICircuits18222.2020.9162805</t>
  </si>
  <si>
    <t>10.23919/VLSICircuits52068.2021.9492519</t>
  </si>
  <si>
    <t>10.23919/VLSICircuits52068.2021.9492344</t>
  </si>
  <si>
    <t>10.23919/VLSICircuits52068.2021.9492383</t>
  </si>
  <si>
    <t>10.23919/VLSICircuits52068.2021.9492354</t>
  </si>
  <si>
    <t>10.23919/VLSICircuits52068.2021.9492436</t>
  </si>
  <si>
    <t>10.23919/VLSICircuits52068.2021.9492512</t>
  </si>
  <si>
    <t>10.23919/VLSICircuits52068.2021.9492336</t>
  </si>
  <si>
    <t>Numbers w/ buffer</t>
  </si>
  <si>
    <t>Power w/o clock distribution, ENOB from slides, fin_hf is guess</t>
  </si>
  <si>
    <t>K. Bult, A. Buchwald, J. Laskowski</t>
  </si>
  <si>
    <t>P. Vorenkamp, R. Roovers</t>
  </si>
  <si>
    <t>10.1109/ISSCC.1997.585303</t>
  </si>
  <si>
    <t>R. Jewett, K. Poulton, K.-C. Hsieh, J. Doernberg</t>
  </si>
  <si>
    <t>10.1109/ISSCC.1997.585305</t>
  </si>
  <si>
    <t>10.1109/ISSCC.1997.585309</t>
  </si>
  <si>
    <t>S.-U. Kwak, B.-S. Song, K. Bacrania</t>
  </si>
  <si>
    <t>10.1109/ISSCC.1997.585335</t>
  </si>
  <si>
    <t>T.L Brooks, D.H. Robertson, D.F. Kelly, A. Del Muro, S.W. Harston</t>
  </si>
  <si>
    <t>10.1109/ISSCC.1997.585336</t>
  </si>
  <si>
    <t>10.1109/ISSCC.1997.585337</t>
  </si>
  <si>
    <t>10.1109/ISSCC.1997.585338</t>
  </si>
  <si>
    <t>10.1109/ISSCC.1997.585339</t>
  </si>
  <si>
    <t>10.1109/ISSCC.1997.585340</t>
  </si>
  <si>
    <t>10.1109/ISSCC.1997.585345</t>
  </si>
  <si>
    <t>10.1109/ISSCC.1998.672377</t>
  </si>
  <si>
    <t>10.1109/ISSCC.1998.672379</t>
  </si>
  <si>
    <t>10.1109/ISSCC.1998.672406</t>
  </si>
  <si>
    <t>10.1109/ISSCC.1998.672407</t>
  </si>
  <si>
    <t>10.1109/ISSCC.1998.672408</t>
  </si>
  <si>
    <t>10.1109/ISSCC.1998.672409</t>
  </si>
  <si>
    <t>10.1109/ISSCC.1998.672410</t>
  </si>
  <si>
    <t>10.1109/ISSCC.1998.672411</t>
  </si>
  <si>
    <t>10.1109/ISSCC.1998.672412</t>
  </si>
  <si>
    <t>10.1109/ISSCC.1999.759091</t>
  </si>
  <si>
    <t>10.1109/ISSCC.1999.759363</t>
  </si>
  <si>
    <t>10.1109/ISSCC.1999.759092</t>
  </si>
  <si>
    <t>10.1109/ISSCC.1999.759093</t>
  </si>
  <si>
    <t>10.1109/ISSCC.1999.759096</t>
  </si>
  <si>
    <t>10.1109/ISSCC.1999.759266</t>
  </si>
  <si>
    <t>10.1109/ISSCC.1999.759267</t>
  </si>
  <si>
    <t>10.1109/ISSCC.1999.759268</t>
  </si>
  <si>
    <t>10.1109/ISSCC.1999.759270</t>
  </si>
  <si>
    <t>10.1109/ISSCC.1999.759272</t>
  </si>
  <si>
    <t>10.1109/ISSCC.1999.759274</t>
  </si>
  <si>
    <t>10.1109/ISSCC.2000.839679</t>
  </si>
  <si>
    <t>10.1109/ISSCC.2000.839680</t>
  </si>
  <si>
    <t>10.1109/ISSCC.2000.839681</t>
  </si>
  <si>
    <t>10.1109/ISSCC.2000.839682</t>
  </si>
  <si>
    <t>10.1109/ISSCC.2000.839683</t>
  </si>
  <si>
    <t>10.1109/ISSCC.2000.839685</t>
  </si>
  <si>
    <t>10.1109/ISSCC.2000.839805</t>
  </si>
  <si>
    <t>10.1109/ISSCC.2000.839806</t>
  </si>
  <si>
    <t>10.1109/ISSCC.2000.839807</t>
  </si>
  <si>
    <t>10.1109/ISSCC.2001.912538</t>
  </si>
  <si>
    <t>10.1109/ISSCC.2001.912539</t>
  </si>
  <si>
    <t>10.1109/ISSCC.2001.912541</t>
  </si>
  <si>
    <t>10.1109/ISSCC.2001.912571</t>
  </si>
  <si>
    <t>Using array averaging and a wideband track-and-hold, a 6 b flash ADC achieves better than 5.5 effective bits for input frequencies to 600 MHz at 1 GSample/s, and 5 effective bits for 650 MHz input at 1.3 GSample/s. It consumes 500 mW from 3.3 V and occupies 0.8 mm² in 0.35 μm CMOS</t>
  </si>
  <si>
    <t xml:space="preserve">High-speed ADCs are key elements in the read channel of optical and magnetic data storage systems. The required resolution is about 6 b while the sampling rate (Fs) and effective resolution bandwidth (ERBW) requirements increase with each generation of storage system. Sample rates up to 800 MSample/s have been reported with ERBW=200 MHz. The ADC presented here achieves a maximum sample rate of 1.1 GSample/s and an EBBW of 450 MHz. This result is obtained with full flash interpolating/averaging architecture with distributed track-and-hold (T/H) in a standard 0.35 μm single-poly five-metal 3.3 V digital CMOS process. Chip area is 0.35 mm² and power consumption is 300 mW </t>
  </si>
  <si>
    <t xml:space="preserve">A 100 MHz ADC for low-power applications uses a 0.18 μm digital CMOS process. The design achieves 9.4 ENOB for a 50 MHz input at full sampling rate, and consumes a total of 180 mW with 2.5 mm² core in a single 1.8 V power supply </t>
  </si>
  <si>
    <t>10.1109/ISSCC.2001.912572</t>
  </si>
  <si>
    <t xml:space="preserve">Background digital offset extraction and analog compensation remove offset of the critical analog components. The calibrated two-step ADC achieves -70 dB THD in the Nyquist band with a 2.5 V supply. The ADC in 0.25 μm CMOS measures 1.0 mm² and dissipates 295 mW </t>
  </si>
  <si>
    <t xml:space="preserve">A 14 b multi-bit ADC with a switched-capacitor pipeline architecture achieves 0.6 LSB DNL and 2 LSB INL without calibration. Typical SNR is 73 dB, while SFDR is &gt;85 dB for input frequency up to Nyquist. The 7.8 mm² ADC in 0.35 μm double-poly triple-metal process operates with a 2.7 V to 3.6 V power supply, and consumes 340 mW at 3 V </t>
  </si>
  <si>
    <t>10.1109/ISSCC.2001.912574</t>
  </si>
  <si>
    <t>10.1109/ISSCC.2001.912573</t>
  </si>
  <si>
    <t>10.1109/ISSCC.2001.912575</t>
  </si>
  <si>
    <t>10.1109/ISSCC.2001.912576</t>
  </si>
  <si>
    <t xml:space="preserve">A DAC and feedback capacitor averaging (DFCA) technique used in a pipelined ADC achieves 84 dB SFDR and 74 dB SNR. Also external mismatch noise cancellation digitally improves the SNR. Excluding output drivers, the 0.6 μm double-poly BiCMOS ADC dissipates 860 mW from 3.3 V supply </t>
  </si>
  <si>
    <t>10.1109/ISSCC.2002.992988</t>
  </si>
  <si>
    <t>10.1109/ISSCC.2002.992989</t>
  </si>
  <si>
    <t>10.1109/ISSCC.2002.992990</t>
  </si>
  <si>
    <t>10.1109/ISSCC.2002.992991</t>
  </si>
  <si>
    <t>10.1109/ISSCC.2002.992180</t>
  </si>
  <si>
    <t>10.1109/ISSCC.2002.992993</t>
  </si>
  <si>
    <t>10.1109/ISSCC.2002.993012</t>
  </si>
  <si>
    <t>10.1109/ISSCC.2002.993013</t>
  </si>
  <si>
    <t xml:space="preserve">A mixer plus multi-bit bandpass ΣΔ ADC achieves 89 dB and 77 dB SNR in 35 kHz and 333 kHz bandwidths at 273 MHz IF while consuming 16 mA from a 3 V supply. The 6 th-order ADC combines continuous-time LC and active RC resonators with a discrete-time switched-capacitor resonator, and includes an AGC capability. The IC is fabricated in a 0.35 μm BiCMOS process </t>
  </si>
  <si>
    <t xml:space="preserve">The authors present a band-pass modulator operating at 80 MHz which combines frequency down-conversion with A/D conversion. The two SC resonators are implemented using a single opamp. A single-bit quantizer and feedback is used for GSM, but 4 b quantizer is used for WCDMA. Measured peak SNRs are 80 dB for 270 kHz B/W (GSM), and 48 dB for 3.84 MHz B/W (WCDMA) </t>
  </si>
  <si>
    <t xml:space="preserve">A fifth-order single-stage ΔΣ modulator achieves 14 b resolution with 8× OSR and 4 MHz conversion bandwidth in a 1.8 V 0.18 μm CMOS process. The DC gain of the internal op amps is 43 dB. It occupies 1.3×2.2 mm² and consumes 102 mW analog power and 47 mW digital power </t>
  </si>
  <si>
    <t xml:space="preserve">The authors present a 4th-order continuous-time ΣΔ modulator with 1.5 b quantizer and feedback DAC for a UMTS receiver. The modulator has 70 dB DNR in a 2 MHz band and -74 dB THD at full scale. An IC which includes two modulators, a PLL, and an oscillator dissipates 11.5 mW at 1.8 V. Active area is 0.41 mm² in a 0.18 μm, 1-poly 5-metal-layer CMOS technology </t>
  </si>
  <si>
    <t xml:space="preserve">The authors present a ΣΔ ADC with 105 dB distortion up to 1.5 MHz signal bandwidth, which uses a linear sampling network in a single-bit feedback 2-1-1 mash cascade modulator architecture. Operating at 64 MHz clock frequency, the measured SNR in a 1.1 MHz bandwidth is 88 dB. The area, including bypass capacitors, is 2.6 mm², in a 0.18 μm 1.8 V/3.3 V SP5M digital CMOS process. The power consumed is 230 mW, including references and decimation filter </t>
  </si>
  <si>
    <t>10.1109/ISSCC.2002.993015</t>
  </si>
  <si>
    <t>10.1109/ISSCC.2002.993014</t>
  </si>
  <si>
    <t>10.1109/ISSCC.2002.993016</t>
  </si>
  <si>
    <t>10.1109/ISSCC.2002.993017</t>
  </si>
  <si>
    <t>10.1109/ISSCC19947.2020.9063065</t>
  </si>
  <si>
    <t>10.1109/ISSCC19947.2020.9063074</t>
  </si>
  <si>
    <t>10.1109/ISSCC19947.2020.9063022</t>
  </si>
  <si>
    <t>10.1109/ISSCC19947.2020.9063156</t>
  </si>
  <si>
    <t>10.1109/ISSCC19947.2020.9063011</t>
  </si>
  <si>
    <t>10.1109/ISSCC19947.2020.9063159</t>
  </si>
  <si>
    <t>10.1109/ISSCC19947.2020.9062904</t>
  </si>
  <si>
    <t>10.1109/ISSCC19947.2020.9062990</t>
  </si>
  <si>
    <t>10.1109/VLSICircuits18222.2020.9162800</t>
  </si>
  <si>
    <t>10.1109/VLSICircuits18222.2020.9162846</t>
  </si>
  <si>
    <t>10.1109/VLSICircuits18222.2020.9163064</t>
  </si>
  <si>
    <t>10.1109/VLSIC.1998.688071</t>
  </si>
  <si>
    <t>10.1109/VLSIC.2015.7231249</t>
  </si>
  <si>
    <t>10.1109/VLSIC.2016.7573537</t>
  </si>
  <si>
    <t>10.23919/VLSIC.2017.8008493</t>
  </si>
  <si>
    <t>10.1109/VLSIC.2018.8502318</t>
  </si>
  <si>
    <t>10.1109/VLSIC.2018.8502424</t>
  </si>
  <si>
    <t>10.1109/VLSIC.2014.6858395</t>
  </si>
  <si>
    <t>10.1109/VLSIC.2014.6858396</t>
  </si>
  <si>
    <t>Area estimated</t>
  </si>
  <si>
    <t>Area includes cal.</t>
  </si>
  <si>
    <t>Insufficient data, not clear what fin, SNDR is</t>
  </si>
  <si>
    <t>A 100KS/s, 1.3uW, 8.7-ENOB successive approximation ADC is proposed with a time-domain comparator which uses a highly digital differential VCDL architecture. Without any reference voltage, the capacitor DAC performs a  rail-to-rail conversion range. The ADC, implemented in a standard 0.18um CMOS, shows a FoM of 31fJ/conversion-step with a single supply voltage of 0.6V.</t>
  </si>
  <si>
    <t>Recorded power does not include digital post-processor estimate</t>
  </si>
  <si>
    <t>A high resolution pipelined ADC that performs precision amplification using only ring amplifiers is presented. Severalenabling techniques are introduced, namely parallelization via the use of Composite Ring Amplifier Blocks and a newringamp topology designed for high-precision use. The 15b ADC achieves 75.9 dB SNDR and 91.4 dB SFDR at 1.2 V supply and 20 Msps conversion rate. Total power consumption is 2.96 mW, resulting in a Figure-of-Merit of 29 fJ/c-step.</t>
  </si>
  <si>
    <t>VSUP1 [V]</t>
  </si>
  <si>
    <t>VSUP2 [V]</t>
  </si>
  <si>
    <t>VSUP3 [V]</t>
  </si>
  <si>
    <t>10.1109/ISSCC.2019.8662299</t>
  </si>
  <si>
    <t>10.1109/ISSCC.2019.8662371</t>
  </si>
  <si>
    <t>10.1109/ISSCC.2019.8662529</t>
  </si>
  <si>
    <t>10.1109/ISSCC.2019.8662416</t>
  </si>
  <si>
    <t>10.1109/ISSCC.2004.1332690</t>
  </si>
  <si>
    <t>Data for single ended, pseudo differential gives 5.56 ENOB, 2.84uW</t>
  </si>
  <si>
    <t>A power-efficient 10/12bit 40kS/s SAR ADC in 65nm CMOS is presented. The chip area is 0.076mm2 and it achieves an ENOB up to 10.1bit at 0.6V supply. A self-oscillating comparator, a segmented capacitive DAC with 250aF unit elements and a Data-Driven Noise Reduction method enable power-efficiencies of 2.7 and 2.2fJ/conversion-step for 10bit and 12bit resolution, respectively.</t>
  </si>
  <si>
    <r>
      <rPr>
        <b/>
        <sz val="10"/>
        <rFont val="Arial"/>
        <family val="2"/>
      </rPr>
      <t>VSUP1, 2, 3</t>
    </r>
    <r>
      <rPr>
        <sz val="10"/>
        <rFont val="Arial"/>
        <family val="2"/>
      </rPr>
      <t xml:space="preserve"> are the supply voltages used. The listed VSUP1 is the highest voltage used and typically powers the circuitry that limits DR (e.g., feedback DAC, T/H, etc.). VSUP2 is typically used for noncritical analog or digital circuits. VSUP3 is rarely used, but can sometimes be a negative auxiliary potential.</t>
    </r>
  </si>
  <si>
    <t>20220719: Update ISSCC 2022 and VLSI 2022, some data corrections, added a column for delta-sigma BP center frequency. Also added columns for doi, paper link and supply voltages (still incomplete, just a start)</t>
  </si>
  <si>
    <t>Cannot compute FOM (no noise data)</t>
  </si>
  <si>
    <t>Power not reported, cannot compute FOM</t>
  </si>
  <si>
    <t>A 10mW 10-ENoB 1GS/s Ring-Amp-Based Pipelined TI-SAR ADC with Split MDAC and Switched Reference Decoupling Capacitor</t>
  </si>
  <si>
    <t>A 750mW 24GS/s 12-bit Time Interleaved ADC for Direct RF Sampling in Modern Wireless Systems</t>
  </si>
  <si>
    <t>Sandeep Santhosh Kumar, Masahiro Kudo, Vlad Cretu, Antoine Morineau, Atsushi Matsuda, Minori Yoshida, Masazumi Marutani, Aadil
Hussain Maniyar, Jay Kumar</t>
    <phoneticPr fontId="0" type="noConversion"/>
  </si>
  <si>
    <t>A 25MHz-BW 77.2dB-SNDR 2nd-Order Gain Error Shaping and NS Pipelined SAR ADC Based on Quantization-Prediction-Unrolled Scheme</t>
  </si>
  <si>
    <t>A Single-channel 70dB-SNDR 100MHz-BW 4th-Order Noise-Shaping Pipeline SAR ADC with Residue Amplifier Error Shaping</t>
  </si>
  <si>
    <t>A Rail-to-Rail 12MS/s 91.3dB SNDR 94.1dB DR Two-Step SAR ADC with Integrated Input Buffer Using Predictive Level-Shifting</t>
  </si>
  <si>
    <t>Manxin Li, Calvin Yoji Lee, Ahmed ElShater, Yuichi Miyahara, Kazuki Sobue, Koji Tomioka, Un-Ku Moon</t>
    <phoneticPr fontId="0" type="noConversion"/>
  </si>
  <si>
    <t>A 1.8-GHz 12-bit Pre-Sampling pipelined ADC with the reference buffer and OP power relaxations</t>
  </si>
  <si>
    <t>Sung-En Hsieh, Tzu-Chien Wu, Chun-Chih Hou</t>
    <phoneticPr fontId="0" type="noConversion"/>
  </si>
  <si>
    <t>A Single-Channel 12b 2GS/s PVT-Robust Pipelined ADC with Ringingless Ring Amplifier and Time-Domain Quantizer</t>
  </si>
  <si>
    <t>A 3-mW 2.7-GS/s 8b Subranging ADC with Multiple-Reference-Embedded Comparators</t>
  </si>
  <si>
    <t>Jia-Ching Wang, Tai-Haur Kuo</t>
    <phoneticPr fontId="0" type="noConversion"/>
  </si>
  <si>
    <t>A 150kHz-BW 15-ENOB Incremental Zoom ADC with Skipped Sampling and Single Buffer Embedded Noise-Shaping SAR Quantizer</t>
  </si>
  <si>
    <t>Zongnan Wang, Lu Jie, Zichen Kong, Mingtao Zhan, Yi Zhong, Yuan Wang, Xiyuan Tang</t>
    <phoneticPr fontId="0" type="noConversion"/>
  </si>
  <si>
    <t>A 7b 4.5GS/s 4× Interleaved SAR ADC with Fully On-Chip Background Timing Skew Calibration</t>
  </si>
  <si>
    <t>Yi-Hu Wang, Soon-Jyh Chang</t>
    <phoneticPr fontId="0" type="noConversion"/>
  </si>
  <si>
    <t>A 2×-Interleaved 9b 2.8GS/s 5b/cycle SAR ADC with Linearized Configurable V2T Buffer Achieving &gt;50dB SNDR at 3GHz Input</t>
    <phoneticPr fontId="7" type="noConversion"/>
  </si>
  <si>
    <t>A Single-Channel 2.6GS/s 10b Dynamic Pipelined ADC with Time-Assisted Residue Generation Scheme Achieving Intrinsic PVT Robustness</t>
  </si>
  <si>
    <t>Junyan Hao, Minglei Zhang, Yanbo Zhang, Shubin Liu, Zhangming Zhu, Yan Zhu, Chi-Hang Chan, R.P. Martins</t>
    <phoneticPr fontId="7" type="noConversion"/>
  </si>
  <si>
    <t>An 8b 1.0-to-1.25GS/s 0.7-to-0.8V Single-Stage Time-Based Gated-Ring-Oscillator ADC with 2X‑ Interpolating Sense-Amplifier-Latches</t>
  </si>
  <si>
    <t>Serdar Abdullah Yonar, Pier Andrea Francese, Matthias Brändli, Marcel Kossel, Mridula Prathapan, Thomas Morf, Andrea Ruffino,
Taekwang Jang</t>
    <phoneticPr fontId="0" type="noConversion"/>
  </si>
  <si>
    <t>A Single-Channel 10GS/s  8b &gt;36.4dB SNDR Time-Domain ADC Featuring Loop-Unrolled Asynchronous Successive Approximation in 28nm CMOS</t>
  </si>
  <si>
    <t>Qian Chen, Yuan Liang, Chirn Chye Boon, Qing Liu</t>
    <phoneticPr fontId="0" type="noConversion"/>
  </si>
  <si>
    <t>Mingtao Zhan, Lu Jie, Nan Sun</t>
  </si>
  <si>
    <t>10.1109/ISSCC42615.2023.10067475</t>
  </si>
  <si>
    <t>10.1109/ISSCC42615.2023.10067793</t>
  </si>
  <si>
    <t>10.1109/ISSCC42615.2023.10067438</t>
  </si>
  <si>
    <t>Yuefeng Cao, Minglei Zhang, Yan Zhu, Chi-Hang Chan, R. P. Martins</t>
  </si>
  <si>
    <t>10.1109/ISSCC42615.2023.10067687</t>
  </si>
  <si>
    <t>Hongshuai Zhang, Yan Zhu, Chi-Hang Chan, R. P. Martins</t>
  </si>
  <si>
    <t>10.1109/ISSCC42615.2023.10067703</t>
  </si>
  <si>
    <t>10.1109/ISSCC42615.2023.10067258</t>
  </si>
  <si>
    <t>In Paper 17.5, Tsinghua University introduces a 1GS/s ring-amp-based time-interleaved pipelined SAR ADC that achieves 10
ENOB. Total power of 10mW including the reference buffer results in a Schreier FoM of 169.2dB.</t>
  </si>
  <si>
    <t>In Paper 17.4, Socionext Europe GmBH presents a 24GS/s 12b time-interleaved ADC for direct RF sampling in a 7nm process. It achieves 7.2GHz bandwidth, 76dB SFDR and -147.5dBFS/Hz NSD in 750mW with an area of 0.9mm2.</t>
  </si>
  <si>
    <t>In Paper 10.5, the University of Macau introduces a gain-error shaping combined with NS-SAR in an oversampled pipelined ADC, which relaxes the constraints on the loading of the residue amplifier. This prototype achieves 77dB SNDR in 25MHz bandwidth with 2.03mW power consumption in 28nm CMOS.</t>
  </si>
  <si>
    <t>In Paper 10.7, University of Macau reveals a 100MHz 4th-order noise-shaping hybrid pipelined-SAR with residue amplifier error shaping robust across voltage and temperature variations. This work obtains 70dB SNDR and 90dB SFDR with 4.5mW power consumption in 28nm CMOS.</t>
  </si>
  <si>
    <t>In Paper 10.4, Oregon State University presents a predictive level-shifting technique to move the input signal to the linear range of the input buffer, therefore enhancing the front-end linearity and swing. The fabricated ADC operates at 12MS/s and achieves 94dB DR with 30.4mW in 180nm.</t>
  </si>
  <si>
    <t>In Paper 10.1, MediaTek presents a 2× time-interleaved 12b ADC leveraging a pre-sampling technique with robust PVT radix utilizing residue voltage stacking. This chip achieves 60dB SNDR in 800MHz BW in 7nm CMOS with 7.55mW power consumption.</t>
  </si>
  <si>
    <t>In Paper 10.3, University of Macau shows single-channel 2GS/s ADC with a critically damped ring-amplifier, which employs two additional diode-tied inverters in the chain to remove the undesired ringing and enhance settling performance. This ADC achieves an SNDR of 60dB in Nyquist bandwidth with 27mW power consumption in 28nm CMOS.</t>
  </si>
  <si>
    <t>Yanbo Zhang, Junyan Hao, Shubin Liu, Zhangming Zhu, Yan Zhu, Chi-hang Chan, R. P. Martins</t>
  </si>
  <si>
    <t>In Paper 10.2, University of Macau presents a PVT-robust single-channel 2.6GS/s ADC leveraging a robust time-domain quantization and early release of CDAC resulting in relaxed timing of the interstage amplification. Fabricated in 28nm CMOS, this ADC achieves 51.4dB SNDR with 13.9mW power consumption.</t>
  </si>
  <si>
    <t>10.1109/ISSCC42615.2023.10067822</t>
  </si>
  <si>
    <t>In Paper 10.6, Peking University describes a fully dynamic incremental zoom ADC with noise-shaping SAR quantizer, requiring only a single dynamic buffer to achieve Nth-order loop filter. The ADC achieves peak SNDR of 92.5dB in 150kHz bandwidth and power consumption of 160μW in 28nm.</t>
  </si>
  <si>
    <t>10.1109/ISSCC42615.2023.10067696</t>
  </si>
  <si>
    <t>In Paper 17.1, University of Macau describes a 2× interleaved 9b 2.8GS/s 5b/cycle SAR ADC. The ADC shows a 51.8dB SNDR and 72.4dB SFDR with a Nyquist input. The achieved Walden FoM is 20.3fJ/conv.-step and the Schreier FoM is 160.7dB.</t>
  </si>
  <si>
    <t>10.1109/ISSCC42615.2023.10067627</t>
  </si>
  <si>
    <t>In Paper 17.2, IBM Zurich Research Laboratory presents an 8b time-domain ADC designed in 5nm process that achieves 16.6fJ/conv.-step Walden FoM with 313μm2 area. The digitally intensive architecture runs at 1.25GS/s with 0.8V supply and at 1GS/s with 0.7V supply.</t>
  </si>
  <si>
    <t>10.1109/ISSCC42615.2023.10067745</t>
  </si>
  <si>
    <t>I thank Richard Schreier (ADI), Ken Poulton (Agilent), Yangjin Oh, Ray Nguyen, Matthew Guyton (MIT), Hajime Shibata (ADI), Yawei Guo (Cadence), Alp Oguz (EPFL), Matthias Keller (Univ. Freiburg), Marian Verhelst (KU Leuven), Pascal Witte (FH Hannover) and Yan Zhu (U Macau) for their contributions to this data set. Any comments/questions/corrections are appreciated!</t>
  </si>
  <si>
    <t>In Paper 17.6, National Cheng Kung University describes a 7b 4.5GS/s 4× interleaved SAR ADC with fully on-chip background timing skew calibration. The ADC achieves 6.31 ENOB in 6.56mW and a Walden FoM of 18.5fJ/conv.-step.</t>
  </si>
  <si>
    <t>10.1109/ISSCC42615.2023.10067573</t>
  </si>
  <si>
    <t>10.1109/ISSCC42615.2023.10067498</t>
  </si>
  <si>
    <t>In Paper 17.7, National Cheng Kung University presents a 2.7GS/s 8b sub-ranging ADC with multiple-reference-embedded comparators. It achieves 45.9dB SNDR in 3mW resulting in a 6.9fJ/conv.-step Walden FoM.</t>
  </si>
  <si>
    <t>10.1109/ISSCC42615.2023.10067397</t>
  </si>
  <si>
    <t>Hongzhi Zhao, Minglei Zhang, Yan Zhu, Chi-Hang Chan, R. P. Martins</t>
  </si>
  <si>
    <t>Pipe, Time-based</t>
  </si>
  <si>
    <t>10.1109/ISSCC.2018.8310274</t>
  </si>
  <si>
    <t>10.1109/ISSCC.2018.8310270</t>
  </si>
  <si>
    <t>10.1109/ISSCC.2017.7870468</t>
  </si>
  <si>
    <t>10.1109/ISSCC.2017.7870464</t>
  </si>
  <si>
    <t>10.1109/ISSCC.2017.7870463</t>
  </si>
  <si>
    <t>10.1109/ISSCC.2017.7870458</t>
  </si>
  <si>
    <t>10.1109/ISSCC.2016.7418110</t>
  </si>
  <si>
    <t>10.1109/ISSCC.2016.7418109</t>
  </si>
  <si>
    <t>10.1109/ISSCC.2016.7418107</t>
  </si>
  <si>
    <t>10.1109/ISSCC.2016.7418106</t>
  </si>
  <si>
    <t>10.1109/ISSCC.2016.7418105</t>
  </si>
  <si>
    <t>10.1109/ISSCC.2016.7418016</t>
  </si>
  <si>
    <t>10.1109/ISSCC.2015.7063032</t>
  </si>
  <si>
    <t>10.1109/ISSCC.2015.7063031</t>
  </si>
  <si>
    <t>10.1109/ISSCC.2014.6757520</t>
  </si>
  <si>
    <t>10.1109/ISSCC.2013.6487819</t>
  </si>
  <si>
    <t>A 0.45V 100-Channel Neural Recording IC with Sub-uW/Channel Consumption in 0.18um CMOS</t>
  </si>
  <si>
    <t>10.1109/ISSCC.2013.6487739</t>
  </si>
  <si>
    <t>10.1109/ISSCC.2013.6487735</t>
  </si>
  <si>
    <t>10.1109/ISSCC.2012.6176954</t>
  </si>
  <si>
    <t>10.1109/ISSCC.2011.5746401</t>
  </si>
  <si>
    <t>A 31.3fJ/Conversion-Step 70.4dB SNDR 30MS/s 1.2V Two-Step Pipelined ADC in 0.13um CMOS</t>
  </si>
  <si>
    <t>10.1109/ISSCC.2012.6177097</t>
  </si>
  <si>
    <t>10.1109/ISSCC.2013.6487729</t>
  </si>
  <si>
    <t>10.1109/ISSCC.2013.6487732</t>
  </si>
  <si>
    <t>A 6.3µW 20b incremental zoom-ADC with 6ppm INL and 1µV offset</t>
  </si>
  <si>
    <t>10.1109/ISSCC.2013.6487733</t>
  </si>
  <si>
    <t xml:space="preserve">A 20b Incremental analog-to-digital converter has been realized in a 0.16um CMOS process.  It employs a zoom ADC architecture, a novel inverter-based integrator and various dynamic error correction techniques to achieve 6ppm INL and 1uV offset, while dissipating only 6.3uW. It achieves a FOM of 0.112pJ/step, over 10x better than state-of-the-art ADCs with similar performance. </t>
  </si>
  <si>
    <t>10.1109/ISSCC.2009.4977363</t>
  </si>
  <si>
    <t>10.1109/ISSCC.2009.4977361</t>
  </si>
  <si>
    <t>10.1109/ISSCC.2007.373495</t>
  </si>
  <si>
    <t>10.1109/ISSCC.2007.373492</t>
  </si>
  <si>
    <t>10.1109/ISSCC.2007.373491</t>
  </si>
  <si>
    <t>10.1109/ISSCC.2007.373385</t>
  </si>
  <si>
    <t>10.1109/ISSCC.2006.1696298</t>
  </si>
  <si>
    <t>A 0.5V 74dB SNDR 25kHz CT ΔΣ Modulator with Return-to-Open DAC</t>
  </si>
  <si>
    <t>10.1109/ISSCC.2006.1696048</t>
  </si>
  <si>
    <t>A 0.9V Delta-Sigma Modulator with 80dB SNDR and 83dB DR Using a Single-Phase Technique</t>
  </si>
  <si>
    <t>10.1109/ISSCC.2006.1696047</t>
  </si>
  <si>
    <t>10.1109/ISSCC.2006.1696045</t>
  </si>
  <si>
    <t>10.1109/ISSCC.2004.1332602</t>
  </si>
  <si>
    <t>10.1109/ISSCC.2002.993054</t>
  </si>
  <si>
    <t>10.1109/ISSCC.2002.993055</t>
  </si>
  <si>
    <t>10.1109/ISSCC.2002.993056</t>
  </si>
  <si>
    <t>10.1109/ISSCC.2002.993057</t>
  </si>
  <si>
    <t>10.1109/ISSCC.2002.993058</t>
  </si>
  <si>
    <t>10.1109/ISSCC.2002.993059</t>
  </si>
  <si>
    <t>10.1109/ISSCC.2002.993095</t>
  </si>
  <si>
    <t>10.1109/ISSCC.2003.1234204</t>
  </si>
  <si>
    <t>10.1109/ISSCC.2003.1234205</t>
  </si>
  <si>
    <t>10.1109/ISSCC.2003.1234206</t>
  </si>
  <si>
    <t>10.1109/ISSCC.2003.1234207</t>
  </si>
  <si>
    <t>10.1109/ISSCC.2003.1234208</t>
  </si>
  <si>
    <t>10.1109/ISSCC.2003.1234209</t>
  </si>
  <si>
    <t>10.1109/ISSCC.2003.1234210</t>
  </si>
  <si>
    <t>10.1109/ISSCC.2003.1234315</t>
  </si>
  <si>
    <t>10.1109/ISSCC.2003.1234317</t>
  </si>
  <si>
    <t>10.1109/ISSCC.2003.1234318</t>
  </si>
  <si>
    <t>10.1109/ISSCC.2003.1234319</t>
  </si>
  <si>
    <t>10.1109/ISSCC.2003.1234320</t>
  </si>
  <si>
    <t>10.1109/ISSCC.2003.1234321</t>
  </si>
  <si>
    <t>10.1109/ISSCC.2003.1234364</t>
  </si>
  <si>
    <t>10.1109/ISSCC.2004.1332599</t>
  </si>
  <si>
    <t>10.1109/ISSCC.2004.1332600</t>
  </si>
  <si>
    <t>10.1109/ISSCC.2004.1332601</t>
  </si>
  <si>
    <t>10.1109/ISSCC.2004.1332603</t>
  </si>
  <si>
    <t>10.1109/ISSCC.2004.1332604</t>
  </si>
  <si>
    <t>10.1109/ISSCC.2004.1332605</t>
  </si>
  <si>
    <t>10.1109/ISSCC.2004.1332606</t>
  </si>
  <si>
    <t>10.1109/ISSCC.2004.1332689</t>
  </si>
  <si>
    <t>10.1109/ISSCC.2004.1332691</t>
  </si>
  <si>
    <t>10.1109/ISSCC.2004.1332692</t>
  </si>
  <si>
    <t>10.1109/ISSCC.2004.1332693</t>
  </si>
  <si>
    <t>10.1109/ISSCC.2004.1332694</t>
  </si>
  <si>
    <t>10.1109/ISSCC.2004.1332695</t>
  </si>
  <si>
    <t>10.1109/ISSCC.2004.1332789</t>
  </si>
  <si>
    <t>10.1109/ISSCC.2004.1332790</t>
  </si>
  <si>
    <t>10.1109/ISSCC.2004.1332792</t>
  </si>
  <si>
    <t>10.1109/ISSCC.2004.1332793</t>
  </si>
  <si>
    <t>10.1109/ISSCC.2004.1332794</t>
  </si>
  <si>
    <t>10.1109/ISSCC.2004.1332795</t>
  </si>
  <si>
    <t>10.1109/ISSCC.2005.1493921</t>
  </si>
  <si>
    <t>10.1109/ISSCC.2005.1493922</t>
  </si>
  <si>
    <t>10.1109/ISSCC.2005.1493923</t>
  </si>
  <si>
    <t>10.1109/ISSCC.2005.1493924</t>
  </si>
  <si>
    <t>10.1109/ISSCC.2005.1493925</t>
  </si>
  <si>
    <t>10.1109/ISSCC.2005.1493926</t>
  </si>
  <si>
    <t>10.1109/ISSCC.2005.1493927</t>
  </si>
  <si>
    <t>10.1109/ISSCC.2005.1493977</t>
  </si>
  <si>
    <t>10.1109/ISSCC.2005.1493978</t>
  </si>
  <si>
    <t>10.1109/ISSCC.2005.1493979</t>
  </si>
  <si>
    <t>10.1109/ISSCC.2005.1493980</t>
  </si>
  <si>
    <t>10.1109/ISSCC.2005.1494084</t>
  </si>
  <si>
    <t>10.1109/ISSCC.2005.1494085</t>
  </si>
  <si>
    <t>10.1109/ISSCC.2005.1494086</t>
  </si>
  <si>
    <t>10.1109/ISSCC.2005.1494087</t>
  </si>
  <si>
    <t>10.1109/ISSCC.2005.1494088</t>
  </si>
  <si>
    <t>10.1109/ISSCC.2005.1494089</t>
  </si>
  <si>
    <t>0.12 SiGe</t>
  </si>
  <si>
    <t>10.23919/VLSICircuits52068.2021.9492499</t>
  </si>
  <si>
    <t>10.1109/VLSITechnologyandCir46769.2022.9830401</t>
  </si>
  <si>
    <t>10.1109/VLSITechnologyandCir46769.2022.9830207</t>
  </si>
  <si>
    <t>10.1109/VLSITechnologyandCir46769.2022.9830166</t>
  </si>
  <si>
    <t>10.1109/VLSITechnologyandCir46769.2022.9830373</t>
  </si>
  <si>
    <t>10.1109/VLSITechnologyandCir46769.2022.9830300</t>
  </si>
  <si>
    <t>10.1109/VLSITechnologyandCir46769.2022.9830180</t>
  </si>
  <si>
    <t>10.1109/VLSITechnologyandCir46769.2022.9830239</t>
  </si>
  <si>
    <t>10.1109/VLSITechnologyandCir46769.2022.9830365</t>
  </si>
  <si>
    <t>10.1109/VLSITechnologyandCir46769.2022.9830235</t>
  </si>
  <si>
    <t>10.1109/VLSITechnologyandCir46769.2022.9830308</t>
  </si>
  <si>
    <t>10.1109/VLSITechnologyandCir46769.2022.9830329</t>
  </si>
  <si>
    <t>10.1109/VLSITechnologyandCir46769.2022.9830208</t>
  </si>
  <si>
    <t>10.1109/VLSITechnologyandCir46769.2022.9830416</t>
  </si>
  <si>
    <t>10.1109/VLSIC.1998.688073</t>
  </si>
  <si>
    <t>10.1109/VLSIC.1998.688074</t>
  </si>
  <si>
    <t>10.1109/VLSIC.1999.797241</t>
  </si>
  <si>
    <t>10.1109/VLSIC.1999.797242</t>
  </si>
  <si>
    <t>10.1109/VLSIC.1999.797243</t>
  </si>
  <si>
    <t>10.1109/VLSIC.2000.852873</t>
  </si>
  <si>
    <t>10.1109/VLSIC.2000.852892</t>
  </si>
  <si>
    <t>10.1109/VLSIC.2000.852893</t>
  </si>
  <si>
    <t>10.1109/VLSIC.2001.934241</t>
  </si>
  <si>
    <t>10.1109/VLSIC.2002.1015116</t>
  </si>
  <si>
    <t>10.1109/VLSIC.2002.1015117</t>
  </si>
  <si>
    <t>10.1109/VLSIC.2003.1221164</t>
  </si>
  <si>
    <t>10.1109/VLSIC.2003.1221165</t>
  </si>
  <si>
    <t>10.1109/VLSIC.2003.1221166</t>
  </si>
  <si>
    <t>10.1109/VLSIC.2004.1346509</t>
  </si>
  <si>
    <t>10.1109/VLSIC.2004.1346510</t>
  </si>
  <si>
    <t>10.1109/VLSIC.2004.1346511</t>
  </si>
  <si>
    <t>10.1109/VLSIC.2004.1346512</t>
  </si>
  <si>
    <t>10.1109/VLSIC.2004.1346637</t>
  </si>
  <si>
    <t>10.1109/VLSIC.2004.1346638</t>
  </si>
  <si>
    <t>10.1109/VLSIC.2004.1346639</t>
  </si>
  <si>
    <t>10.1109/VLSIC.2004.1346640</t>
  </si>
  <si>
    <t>10.1109/VLSIC.2004.1346641</t>
  </si>
  <si>
    <t>10.1109/VLSIC.2005.1469361</t>
  </si>
  <si>
    <t>10.1109/VLSIC.2005.1469362</t>
  </si>
  <si>
    <t>10.1109/VLSIC.2005.1469363</t>
  </si>
  <si>
    <t>10.1109/VLSIC.2005.1469396</t>
  </si>
  <si>
    <t>10.1109/VLSIC.2005.1469397</t>
  </si>
  <si>
    <t>10.1109/VLSIC.2005.1469398</t>
  </si>
  <si>
    <t>10.1109/VLSIC.2006.1705305</t>
  </si>
  <si>
    <t>10.1109/VLSIC.2006.1705306</t>
  </si>
  <si>
    <t>10.1109/VLSIC.2006.1705346</t>
  </si>
  <si>
    <t>10.1109/VLSIC.2006.1705347</t>
  </si>
  <si>
    <t>10.1109/VLSIC.2006.1705348</t>
  </si>
  <si>
    <t>10.1109/VLSIC.2006.1705349</t>
  </si>
  <si>
    <t>10.1109/VLSIC.2006.1705360</t>
  </si>
  <si>
    <t>10.1109/VLSIC.2006.1705362</t>
  </si>
  <si>
    <t>10.1109/VLSIC.2006.1705363</t>
  </si>
  <si>
    <t>10.1109/VLSIC.2007.4342768</t>
  </si>
  <si>
    <t>10.1109/VLSIC.2008.4585956</t>
  </si>
  <si>
    <t>10.1109/VLSIC.2008.4585997</t>
  </si>
  <si>
    <t>10.1109/VLSIC.2008.4585999</t>
  </si>
  <si>
    <t>10.1109/VLSIC.2008.4586014</t>
  </si>
  <si>
    <t>10.1109/VLSIC.2008.4586013</t>
  </si>
  <si>
    <t>https://ieeexplore.ieee.org/document/5205306</t>
  </si>
  <si>
    <t>https://ieeexplore.ieee.org/document/5205307</t>
  </si>
  <si>
    <t>https://ieeexplore.ieee.org/document/5205308</t>
  </si>
  <si>
    <t>Technology portable, 0.04mm2, Ghz-rate ΔΣ modulators in 65nm and 45nm CMOS</t>
  </si>
  <si>
    <t>https://ieeexplore.ieee.org/document/5205309</t>
  </si>
  <si>
    <t>https://ieeexplore.ieee.org/document/5205343</t>
  </si>
  <si>
    <t>https://ieeexplore.ieee.org/document/5205344</t>
  </si>
  <si>
    <t>https://ieeexplore.ieee.org/document/5205345</t>
  </si>
  <si>
    <t>https://ieeexplore.ieee.org/document/5205346</t>
  </si>
  <si>
    <t>https://ieeexplore.ieee.org/document/5205316</t>
  </si>
  <si>
    <t>https://ieeexplore.ieee.org/document/5205317</t>
  </si>
  <si>
    <t>https://ieeexplore.ieee.org/document/5205318</t>
  </si>
  <si>
    <t>https://ieeexplore.ieee.org/document/5986411</t>
  </si>
  <si>
    <t>https://ieeexplore.ieee.org/document/5986412</t>
  </si>
  <si>
    <t>https://ieeexplore.ieee.org/document/5986413</t>
  </si>
  <si>
    <t>https://ieeexplore.ieee.org/document/5986414</t>
  </si>
  <si>
    <t>https://ieeexplore.ieee.org/document/5986415</t>
  </si>
  <si>
    <t>https://ieeexplore.ieee.org/document/5986066</t>
  </si>
  <si>
    <t>https://ieeexplore.ieee.org/document/5986067</t>
  </si>
  <si>
    <t>https://ieeexplore.ieee.org/document/5986068</t>
  </si>
  <si>
    <t>https://ieeexplore.ieee.org/document/5986069</t>
  </si>
  <si>
    <t>https://ieeexplore.ieee.org/document/5986070</t>
  </si>
  <si>
    <t>https://ieeexplore.ieee.org/document/5986078</t>
  </si>
  <si>
    <t>https://ieeexplore.ieee.org/document/5986079</t>
  </si>
  <si>
    <t>https://ieeexplore.ieee.org/document/5986444</t>
  </si>
  <si>
    <t>https://ieeexplore.ieee.org/document/5986446</t>
  </si>
  <si>
    <t>https://ieeexplore.ieee.org/document/5986447</t>
  </si>
  <si>
    <t>https://ieeexplore.ieee.org/document/5986445</t>
  </si>
  <si>
    <t>https://ieeexplore.ieee.org/document/5986448</t>
  </si>
  <si>
    <t>https://ieeexplore.ieee.org/document/6578719</t>
  </si>
  <si>
    <t>https://ieeexplore.ieee.org/abstract/document/6578720</t>
  </si>
  <si>
    <t>https://ieeexplore.ieee.org/document/6578721</t>
  </si>
  <si>
    <t>https://ieeexplore.ieee.org/document/6578722</t>
  </si>
  <si>
    <t>https://ieeexplore.ieee.org/document/6578723</t>
  </si>
  <si>
    <t>https://ieeexplore.ieee.org/document/6578730</t>
  </si>
  <si>
    <t>https://ieeexplore.ieee.org/document/6578731</t>
  </si>
  <si>
    <t>https://ieeexplore.ieee.org/document/6578732</t>
  </si>
  <si>
    <t>https://ieeexplore.ieee.org/document/6578733</t>
  </si>
  <si>
    <t>https://ieeexplore.ieee.org/document/6578734</t>
  </si>
  <si>
    <t>https://ieeexplore.ieee.org/document/6578686</t>
  </si>
  <si>
    <t>https://ieeexplore.ieee.org/document/6578688</t>
  </si>
  <si>
    <t>https://ieeexplore.ieee.org/document/6578689</t>
  </si>
  <si>
    <t>https://ieeexplore.ieee.org/document/6578690</t>
  </si>
  <si>
    <t>https://ieeexplore.ieee.org/document/6578692</t>
  </si>
  <si>
    <t>Power excl. input buffer &amp; cal.; area estimated from layout</t>
  </si>
  <si>
    <t>In Paper 18.2, Intel features a D-band receiver with integrated low-noise quadrature PLL and energy-efficient high-speed time-interleaved ADC in 22nm FinFET. The complete receiver demonstrates a data-rate of 128Gb/s and energy efficiency of 1.95pJ/b.</t>
  </si>
  <si>
    <t>A 128Gb/s 1.95pJ/b D-Band Receiver with Integrated PLL and ADC in 22nm FinFET</t>
  </si>
  <si>
    <t>Abhishek Agrawal, Amy Whitcombe, Woorim Shin, Ritesh Bhat, Somnath Kundu, Peter Sagazio, Hariprasad Chandrakumar, Thomas Brown, Brent Carlton, Christopher Hull, Steven Callender, Stefano Pellerano</t>
  </si>
  <si>
    <t>10.1109/ISSCC42615.2023.10067439</t>
  </si>
  <si>
    <t>Time-based, TI</t>
  </si>
  <si>
    <t>A 1V-Supply 1.85VPP-Input-Range 1kHz-BW 181.9dB-FOMDR 179.4dB-FOMSNDR 2nd-Order Noise-Shaping SARADC with Enhanced Input Impedance in 0.18μm CMOS</t>
  </si>
  <si>
    <t>In Paper 32.4, Daegu Gyeongbuk Institute of Science and Technology introduces a 2nd-order noise-shaping SAR-ADC with enhanced input impedance, 1kHz BW, and 181.9dB FOMDR, suitable for ExG recording in wearable applications.</t>
  </si>
  <si>
    <t>Geunha Kim, Sehwan Lee, Taeryoung Seol, Seungyeob Baik, Yeonjae Shin, Gain Kim, Jong-Hyeok Yoon, Arup K. George, Junghyup Lee</t>
  </si>
  <si>
    <t>10.1109/ISSCC42615.2023.10067844</t>
  </si>
  <si>
    <t>Enhanced input impdedance</t>
  </si>
  <si>
    <t>In Paper 32.7, University of Toronto describes a 64-channel bidirectional peripheral nerve interface for minimally invasive fascicle-selective stimulation. The wireless chip features 173dB FOM noise-shaping SAR ADCs and 1.38pJ/b frequencymultiplying current-ripple transmitter, and is verified in vivo in a closed-loop machine-learning-enabled nerve activation scenario.</t>
  </si>
  <si>
    <t>Fascicle-Selective Bidirectional Peripheral Nerve Interface IC with 173dB FOM Noise-Shaping SAR ADCs and 1.38pJ/b Frequency-Multiplying Current-Ripple Radio Transmitter</t>
  </si>
  <si>
    <t>10.1109/ISSCC42615.2023.10067626</t>
  </si>
  <si>
    <t>Jianxiong Xu, José Sales Filho, Sudip Nag, Liam Long, Camilo Tejeiro, Eugene Hwang, Gerard O’Leary, Yu Huang, Mustafa Kanchwala, Mohammad Abdolrazzaghi, Chenxi Tang, Patty Liu, Yuan Sui, Xilin Liu, George Eleftheriades, José Zariffa, Roman Genov</t>
  </si>
  <si>
    <t>In Paper 17.8, Nanyang Technological University presents a single-channel 10GS/s 8b time-domain ADC. The prototype achieves 36.4dB SNDR, 58.9fJ/conv.-step Walden FoM and a 0.009mm2 active area.</t>
  </si>
  <si>
    <t>Power includes reference buffer</t>
  </si>
  <si>
    <t>Power excludes predictor and input buffer</t>
  </si>
  <si>
    <t>Data for 1.25 GS/s</t>
  </si>
  <si>
    <t>20230501: Update ISSCC 2023, completed doi data (supply voltage data still incomplete)</t>
  </si>
  <si>
    <t>C4-1</t>
  </si>
  <si>
    <t>C4-2</t>
  </si>
  <si>
    <t>C4-3</t>
  </si>
  <si>
    <t>C4-4</t>
  </si>
  <si>
    <t>A 6.4-GS/s 1-GHz BW Continuous-Time Pipelined ADC with Time-Interleaved Sub-ADC-DAC Achieving 61.7-dB SNDR in 16-nm FinFET</t>
  </si>
  <si>
    <t>In this work, we present a continuous-time (CT) pipeline ADC with time-interleaved sub-ADC-DAC path in its first stage. The proposed sub-ADC-DAC path helps in increasing the ADC bandwidth by improving the signal cancellation at the stage-1 summing node. We have also designed an inductorless delay line for the first stage to improve amplitude and phase matching which reduces the input signal leakage into the backend ADC. A prototype ADC was fabricated in 16nm FinFET process. The ADC achieves 61.7/60.8dB (low/high frequency) SNR over 1-GHz bandwidth. The active area is 0.77mm2 and the ADC consumes 240mW. The Schreier figure-of-merit (FOMS) is 157.9dB which is amongst the best for ADCs with digitization bandwidth greater than 500MHz.</t>
  </si>
  <si>
    <t>10.23919/VLSITechnologyandCir57934.2023.10185279</t>
  </si>
  <si>
    <t>A 0.024mm2 84.2dB-SNDR 1MHz-BW 3rd-Order VCO-Based CTDSM with NS-SAR Quantizer (NSQ VCO CTDSM)</t>
  </si>
  <si>
    <t>H.-W. Chen, S. Lee, M. Flynn</t>
  </si>
  <si>
    <t>R. Mittal, H. Shibata, S. Patil, E. Krommenhoek, P. Shrestha, G. Manganaro, A. P. Chandrakasan, H.-S. Lee</t>
  </si>
  <si>
    <t>This paper presents a VCO-Based Continuous-Time (CT) delta-sigma modulator (DSM) with a noise-shaping (NS) SAR quantizer for a 3 rd order NTF. An anti-aliasing filter (AAF) enables this new hybrid architecture. The 28nm CMOS prototype NSQ VCO CT∑Δ achieves 84.2dB SNDR and 86.8dB DR within a 1MHz bandwidth while consuming 1.62mW at 100MS/s. The core circuit occupies only 0.024mm2. No calibration or coefficient tuning is required.</t>
  </si>
  <si>
    <t>10.23919/VLSITechnologyandCir57934.2023.10185345</t>
  </si>
  <si>
    <t>A 6GHz Multi-Path Multi-Frequency Chopping CTΔΣ Modulator Achieving 122dBFS SFDR from 150kHz to 120MHz BW</t>
  </si>
  <si>
    <t>S. Javvaji, M. Bolatkale, S. Bajoria, R. Rutten, B. O. Essink, K. Beijens, K. Makinwa, L. Breems</t>
  </si>
  <si>
    <t>10.23919/VLSITechnologyandCir57934.2023.10185356</t>
  </si>
  <si>
    <t>Advances in CMOS technologies have led to the development of continuous-time ΔΣ modulators (CTDSMs) with GHz sampling rates that achieve better than-100dBc linearity and bandwidths above 100MHz. However, at low frequencies (below ~10MHz), their SNDR is limited by 1/f noise, which limits their use in radio receivers intended to cover both the AM and the FM bands. In this work, a multi-path multi-frequency chopping scheme is proposed to suppress 1/f noise, while maintaining interferer robustness, noise, spurious, and linearity performance. Implemented in a CTDSM sampling at 6GHz, it reduces its 1/f noise corner frequency by 22x and achieves −98.3dBc THD, 122dBFS SFDR in 120MHzBW.</t>
  </si>
  <si>
    <t>A 4.4 GS/s 220 MHz ΣΔ ADC with a Linearized Back-Gate Controlled GmC Filter</t>
  </si>
  <si>
    <t>J. Edler, M. Runge, S. Linnhoff and F. Gerfers</t>
  </si>
  <si>
    <t>10.23919/VLSITechnologyandCir57934.2023.10185281</t>
  </si>
  <si>
    <t>This paper presents a 4.4 GS/s220Mhz bandwidth continuous time sigma delta modulator with a linear GmC loop filter enabled by voltage tracking through multi-bit feedback and an active linearization scheme employing the back-gate node. An auxiliary amplifier drives the back-gate node of the main differential pair to linearize the overall Gm(Vin) curve. The fabricated prototype shows a 27dB reduction in third order intermodulation (IM3) products down to -78dBc and a SNDR of 62dB while consuming 22 mW, reaching excellent 49fJ/step power efficiency.</t>
  </si>
  <si>
    <t>A 2GS/s 11b 8x Interleaved ADC with 9.2 ENOB and 69.9dB SFDR in 28nm CMOS</t>
  </si>
  <si>
    <t>L. Ricci, L. Scaletti, G. Bé, M. Rocco, L. Bertulessi, S. Levantino, A. Lacaita, C. Samori, A. Bonfanti</t>
  </si>
  <si>
    <t>A 2GS/s 11b 8x-interleaved ADC is presented where flipped-voltage-follower-based reference buffers attenuate channel interactions and a set of on-chip background digital calibrations mitigate channel mismatches. A high-linearity input buffer is included which does not degrade ADC performances. Implemented in a 28nm CMOS technology, the ADC achieves 57.3dB SNDR and 69.9dB SFDR close to the Nyquist frequency. The interleaved ADC maintains (within 1.2 dB) the same SNDR level of the individual channel over the 1GHz input bandwidth.</t>
  </si>
  <si>
    <t>10.23919/VLSITechnologyandCir57934.2023.10185370</t>
  </si>
  <si>
    <t>C14-4</t>
  </si>
  <si>
    <t>A 79.5dB-SNDR Pipelined-SAR ADC with a Linearity-Shifting 32× Dynamic Amplifier and Mounted-Over-Die Bypass Capacitors</t>
  </si>
  <si>
    <t>M. Zhang, Y. Cao, Y. Zhu, C.-H. Chan, R. P. Martins</t>
  </si>
  <si>
    <t>This paper presents a 32× low-noise dynamic amplifier (DA) with a linearity-shifting technique, facilitating a 15b pipelined-SAR ADC with 80 dB SNR@DC. The linearity-shifted DA decouples the fundamental conflict between the noise and linearity in conventional DAs, rending a THD below -60dB at 0.8 Vpp,diff output swing. Moreover, the reference voltages are stabilized by the cost-effective mounted-over-die bypass capacitors. The 60MS/s ADC achieves 95.8dB and 87.3 dB SFDR with a DC and Nyquist input, respectively, and an input noise density of 10.2nV/rt-Hz</t>
  </si>
  <si>
    <t>10.23919/VLSITechnologyandCir57934.2023.10185416</t>
  </si>
  <si>
    <t>A 150-MS/s Fully Dynamic SAR-Assisted Pipeline ADC Using a Floating Ring Amplifier and Gain-Enhancing Miller Negative-C</t>
  </si>
  <si>
    <t>S. Song, T. Kang, S. Lee, M. P. Flynn</t>
  </si>
  <si>
    <t>A 150-MS/s fully dynamic SAR-assisted pipeline ADC employs a dynamic, bias-free, floating ring amplifier. A Miller negative capacitance scheme overcomes the limited gain of the residue amplifier. Miller negative capacitance requires no extra circuitry and only needs a small capacitance. The measured SNDR and SFDR of the 28-nm CMOS prototype ADC with a 1 V supply are 67.9 dB and 84.3 dB, respectively. The ADC consumes 1.72 mW resulting in a Walden and a Schreier SNDR FoM of 5.7 fJ/conversion-step and 173 dB, respectively.</t>
  </si>
  <si>
    <t>10.23919/VLSITechnologyandCir57934.2023.10185377</t>
  </si>
  <si>
    <t>A 0.75V 0.016mm2 12ENOB 7nm CMOS Cyclic ADC with 1.5bit Passive Amplification Stage and Dynamic Capacitance Scaling</t>
  </si>
  <si>
    <t>T. Oshima, K. Yamamoto, G. Ono</t>
  </si>
  <si>
    <t>A tiny but high-resolution cyclic ADC is presented with 7nm CMOS process. The 1.5bit/stage cyclic ADC performs fully differential sampling and passive residue amplification for small size and power. Proposed dynamic capacitance scaling overcomes limited power efficiency and input bandwidth of traditional cyclic ADCs. A time-assisted comparator makes ternary decision with minimal overhead. Measurement results of the 7nm CMOS prototype proved 4MS/s conversion rate and 74.0dB SNDR with 0.016mm 2 and 0.86mW under 0.75V supply. This ADC advances the state of the art in design of high-resolution FinFET ADCs and cyclic ADCs.</t>
  </si>
  <si>
    <t>10.23919/VLSITechnologyandCir57934.2023.10185426</t>
  </si>
  <si>
    <t>C18-1</t>
  </si>
  <si>
    <t>C18-2</t>
  </si>
  <si>
    <t>C18-3</t>
  </si>
  <si>
    <t>A 3-320 fJ/Conv.step Continuous Time Level Crossing ADC with Dynamic Self-Biasing Comparators Achieving 61.4 dB-SNDR</t>
  </si>
  <si>
    <t>M. Timmermans, M. Fattori, P. Harpe, Y.-H. Liu, E. Cantatore</t>
  </si>
  <si>
    <t>This paper presents a level crossing ADC (LC-ADC) for biomedical applications. The ADC uses dynamically biased comparators, which require minimal power when the input voltage is far away from a decision threshold. This results in &gt;10x better power efficiency compared to prior LC-ADCs when converting sparse signals. In a 16 kHz bandwidth, the LC-ADC achieves a 61.4 dB SNDR resulting in an efficiency of 3 fJ/conv.step for sparse input signals.</t>
  </si>
  <si>
    <t>10.23919/VLSITechnologyandCir57934.2023.10185322</t>
  </si>
  <si>
    <t>A 24-OSR to Simplify Anti-Aliasing Filter 2MHz-BW 83dB-DR 3rd-Order DT-DSM Using FIA-Based Integrator and Noise-Shaping SAR Combined Digital Noise-Coupling Quantizer</t>
  </si>
  <si>
    <t>M. Fukazawa, T. Matsui</t>
  </si>
  <si>
    <t>This paper proposes a dynamic circuits-based discrete-time (DT) delta-sigma modulator (DSM) with 2MHz bandwidth (BW) at an oversampling ratio (OSR) of 24 to simplify anti-alias filter (AAF), flexible operating frequency, and power scalability. The proposed DSM consists of floating inverter amplifier (FIA) based integrators and an asynchronous SAR quantizer that combines passive noise shaping (PNS) and digital noise coupling (DNC) to enhance total noise shaping effect equal to the 3rd-order DSM. This DT-DSM achieves 83.1dB dynamic range (DR) while consuming 1.04mW, resulting in 175.9dB DR-based Schreier FoM.</t>
  </si>
  <si>
    <t>10.23919/VLSITechnologyandCir57934.2023.10185310</t>
  </si>
  <si>
    <t>A 2.5mW 12MHz-BW 69dB SNDR Passive Bandpass ΔΣ ADC with Highpass Noise-Shaping SAR Quantizers</t>
  </si>
  <si>
    <t>S. Oh, S. Park, Y. Jung, J. Koo, D. Cho, S. Ha, M. Je</t>
  </si>
  <si>
    <t>10.23919/VLSITechnologyandCir57934.2023.10185342</t>
  </si>
  <si>
    <t>A 4th-order passive bandpass ΔΣ modulator (BPDSM) using a 2- path transformation structure is presented. The proposed BPDSM replaces a power-hungry resonator with a z-to-z 2 -transformed passive loop filter. The prototype bandpass ΔΣ ADC provides a wide intermediate frequency (IF) range of 1.25MHz to 60MHz. The measured SNDR is 69dB with a power consumption of 2.5mW at 12MHz bandwidth when its highest sampling rate is 240MS/s.</t>
  </si>
  <si>
    <t>Pipe, CT</t>
  </si>
  <si>
    <t>VSUP not stated</t>
  </si>
  <si>
    <t>VSUP not stated, SFDR excludes HD</t>
  </si>
  <si>
    <t>Power includes cal.</t>
  </si>
  <si>
    <t>Level Crossing</t>
  </si>
  <si>
    <t>Power for fin=16kHz</t>
  </si>
  <si>
    <t>SAR, SDSC, TI</t>
  </si>
  <si>
    <t>20231003: Update VLSI 2023, some data corrections</t>
  </si>
  <si>
    <t>20240530: Update ISSCC 2024</t>
  </si>
  <si>
    <t xml:space="preserve">In Paper 3.9, Samsung Electronics introduces a new bootstrapped sampler architecture capable of sampling input levels up to 1.2V inputs with a 0.7V supply, without reliability and leakage issues. The bootstrapped sample is then used to build the first reported 0.7V 12-bit SAR ADC in a 3nm GAA process. </t>
  </si>
  <si>
    <t>A 1.2V High-Voltage-Tolerant Bootstrapped Analog Sampler in 12-bit SAR ADC Using 3nm GAA’s 0.7V  Thin-Gate-Oxide Transistor</t>
  </si>
  <si>
    <t>Sangheon Lee; Jinwoo Park; Junsang Park; Sangkyu Lee; Jungho Lee; Youngjae Cho; Michael Choi; Jongshin Shin</t>
  </si>
  <si>
    <t>10.1109/ISSCC49657.2024.10454351</t>
  </si>
  <si>
    <t>A 2mW 70.7dB SNDR 200MS/s Pipelined-SAR ADC with Continuous-Time SAR-Assisted Detect-and-Skip and  Open-then-Close Correlated Level Shifting</t>
  </si>
  <si>
    <t xml:space="preserve">In Paper 9.1, Peking University discusses a 2mW, 200MS/s pipelined-SAR ADC that employs three techniques to improve speed and accuracy: continuous-time SAR detect-and-skip, correlated level shifting, and hybrid ringamp. The ADC in 22nm achieves 70.7dB SNDR and 178dB energy efficiency FoMs. </t>
  </si>
  <si>
    <t>A 2.08mW 64.4dB SNDR 400MS/s 12b Pipelined-SAR ADC using Mismatch and PVT Variation Tolerant  Dynamically Biased Ring Amplifier in 8nm</t>
  </si>
  <si>
    <t>In Paper 9.2, Samsung Electronics introduces an energy-efficient 12b 400MS/s pipelined-SAR ADC utilizing a process, voltage, temperature (PVT)-robust and mismatch-tolerant dynamically biased ring amplifier. The ADC implemented in 8nm FinFET achieves 64.4dB SNDR in 2.08mW, results in 3.8fJ/conv.-step FoMw and 174dB FoMs, respectively, without any bias or residue gain calibration.</t>
  </si>
  <si>
    <t>A 71dB SNDR 200MHz BW Interleaved Pipe-SAR ADC with a Shared Residue Integrating Amplifier Achieving 173dB  FoMs</t>
  </si>
  <si>
    <t>In Paper 9.3, Tsinghua University reveals a 200MHz-BW 1.6GS/s interleaved pipelined-SAR ADC design employing a shared residue integrating amplifier, which improves opamp efficiency with noise shaping. The ADC in 28nm CMOS achieved 71.2dB SNDR with 173dB FoMs in 13mW.</t>
  </si>
  <si>
    <t>A 182.3dB FoMs 50MS/s Pipelined-SAR ADC using Cascode Capacitively Degenerated Dynamic Amplifier and  MSB Pre-Conversion Technique</t>
  </si>
  <si>
    <t xml:space="preserve">In Paper 9.4, Peking University presents a 50MS/s pipelined-SAR ADC with a Cascode Capacitively Degenerated Dynamic Amplifier (CCD-DA) for improved linearity and gain. A PTAT current with CCD-DA bias ensures robust performance, while the MSB pre-conversion technique extends the amplifier’s output swing. The ADC in 22nm achieves 74dB SNDR in 0.36mW with 182dB FoMs. </t>
  </si>
  <si>
    <t>A 118.5dBA DR 3.3mW Audio ADC with a Class-B Resistor DAC, Non-Overlap DEM and Continuous-Time  Quantizer</t>
  </si>
  <si>
    <t>In Paper 9.5, Texas Instruments reveals a high-performance audio continuous-time ΔΣ ADC for far-field voice/audio recording applications utilizing a class-B resistor DAC and a non-overlap DEM and continuous-time quantizer. The ADC achieves 118.5dB A-weighted DR with 3.3mW power consumption in 130nm CMOS.</t>
  </si>
  <si>
    <t>A 6th-Order Quadrature CTDSM using Double-OTA and Quadrature NSSAR with 171.3dB FoMs in 14nm</t>
  </si>
  <si>
    <t xml:space="preserve">In Paper 9.6, Samsung Electronics presents a 6th-order 4MHz-BW quadrature continuous-time ΔΣ ADC for energyefficient wireless systems. It employs Single Amplifier Quadrature Biquad (SAQB) and Quadrature Noise Shaping SAR (QNSSAR) for power efficiency. The design operates at an 80MS/s and achieves 74.7dB SNDR and 171dB FoMs with 0.88mW in 14nm FinFET. </t>
  </si>
  <si>
    <t>A 94.3dB SNDR 184dB FoMs 4th-Order Noise-Shaping SAR ADC with Dynamic-Amplifier-Assisted Cascaded  Integrator</t>
  </si>
  <si>
    <t>In Paper 9.7, National Cheng Kung University discusses a 100kHz-BW 4th-order noise-shaping SAR ADC for IoT audio. The combination of dynamic amplifier-assisted cascaded integrator and passive charge sharing optimizes performance. The ADC in 28nm achieves 94.3dB SNDR in 107μW with 184dB FoMs.</t>
  </si>
  <si>
    <t>A 9.3nV/rtHz 20b 40MS/s 94.2dB DR Signal-Chain Friendly Precision SAR Converter</t>
  </si>
  <si>
    <t xml:space="preserve">In Paper 9.8, Analog Devices introduces a 40MS/s 20-bit pipelined-SAR ADC with dynamically interleaved first stage in a 40nm CMOS process, addressing input and reference driving issues. The ADC features 9.3nV/rtHz noise, optimized DAC linearization and reduced reference current. The ADC achieves 94.2dB DR in 50mW with 180dB FoMs. </t>
  </si>
  <si>
    <t>A 2.72fJ/conv 13b 2MS/s SAR ADC Using Dynamic Capacitive Comparator with Wide Input Common Mode</t>
  </si>
  <si>
    <t>A 600Gb/s DP-QAM64 Coherent Optical Transceiver Frontend with 4x105GS/s 8b ADC/DAC in 16nm CMOS</t>
  </si>
  <si>
    <t xml:space="preserve">In Paper 18.1, Broadcom presents a 600Gb/s DP-QAM-64 coherent optical transceiver frontend which incorporates 4-lane configuration of 105GS/s 8b ADCs and DACs in the receiver and transmitter respectively. Designed in 16nm CMOS technology, the ADC-based receiver achieves a -3dB bandwidth of 40GHz, SNDR/SFDR of 39.2dB/50.7dB at 20.9GHz input frequency. The integrated jitter of the transceiver’s PLL was measured at 51fs. </t>
  </si>
  <si>
    <t>Power includes other AFE blocks</t>
  </si>
  <si>
    <t>10.1109/ISSCC49657.2024.10454499</t>
  </si>
  <si>
    <t>Guansheng Li; Adesh Garg; Tim He; Ullas Singh; Jiawen Zhang; Lakshmi Rao; Chang Liu; Meisam Nazari; Yang Liu; Yong Liu; Heng Zhang; Tamer Ali; Hyo Gyuem Rhew; Jiayoon Ru; Delong Cui; Ali Nazemi; Bo Zhang; Afshin Momtaz; Jun Cao</t>
  </si>
  <si>
    <t>A 200GS/s 8b 20fJ/c-s Receiver with &gt;60GHz AFE Bandwidth for 800Gb/s Optical Coherent Communications in 5nm FinFET</t>
  </si>
  <si>
    <t>In Paper 18.4, Marvell demonstrates an 8b 200GS/s wireline receiver for coherent optical application, designed in 5nm FinFET process. Exploiting several bandwidth extension techniques such as negatively coupled T-coil and active inductor peaking-based buffers, as well as a high level of ADC parallelism, the receiver achieves a -3dB bandwidth of 60GHz, a sampling speed of 200GS/s, and a Walden FoM of 20fJ/c-s at 0.3GHz input frequency.</t>
  </si>
  <si>
    <t>A 12GS/s 12b 4× Time-Interleaved Pipelined ADC with Comprehensive Calibration of TI Errors and Linearized  Input Buffer</t>
  </si>
  <si>
    <t>In Paper 22.1, the University of Macau presents a 12GS/s 12b 4× time-interleaved pipelined ADC in 28nm CMOS. Global dither injection is used for extensive error calibration and a power-efficient linearized input buffer is proposed. The ADC achieves 54.1dB SNDR at Nyquist with a power consumption of 179.8mW.</t>
  </si>
  <si>
    <t>A 700MHz-BW –164dBFS/Hz-Small-Signal-NSD 703mW Continuous-Time Pipelined ADC with On-Chip Digital  Reconstruction Achieving &lt;-85dBFS HD3 using Digital Cancellation of DAC Errors</t>
  </si>
  <si>
    <t>In Paper 22.2, Analog devices shows a 6.4GS/s 700MHz-BW continuous-time pipelined ADC with on-chip background-calibrated digital reconstruction, tunable LC lattice delay, and on-chip digital cancellation of static and dynamic sub-DAC mismatch errors. It achieves a small-signal NSD of -164dBFS/Hz, an HD3 below -85dBFS, and a 71dB SNDR, while dissipating 703mW in 16nm FinFET technology.</t>
  </si>
  <si>
    <t>A 76mW 40GS/s 7b Time-Interleaved Hybrid Voltage/Time-Domain ADC with Common-Mode Input Tracking</t>
  </si>
  <si>
    <t xml:space="preserve">In Paper 22.3, Intel presents a 40GS/s 7b 48× time-interleaved hybrid voltage/time-domain ADC in 22nm FinFET, using a voltage-to-time converter with common mode input tracking and a merged time-to-digital and time-tovoltage converter. The prototype consumes 76mW and achieves 32.3dB SNDR at Nyquist, leading to a FoM of 57fJ/conversion-step. </t>
  </si>
  <si>
    <t>A 4.8GS/s 7-ENoB Time-Interleaved SAR ADC with Dither-Based Background Timing-Skew Calibration and  Bit-Distribution-Based Background Ping-Pong Comparator Offset Calibration</t>
  </si>
  <si>
    <t>In Paper 22.4, Tsinghua University introduces a 4.8GS/s 8b 4× time-interleaved SAR ADC with dither-based background timing-skew calibration and background comparator offset calibration. The design, implemented in 28nm CMOS, consumes 10.4mW and reaches 44.3dB SNDR at Nyquist, resulting in a FoM of 16.2fJ/conversionstep including the input buffer.</t>
  </si>
  <si>
    <t>A 42GS/s 7b 16nm Massively Time-Interleaved Slope-ADC</t>
  </si>
  <si>
    <t xml:space="preserve">In Paper 22.5, imec presents a massively 768× Time-Interleaved 7b Slope ADC in a 16nm FinFET process. Thanks to an asynchronously running common slope signal, a hierarchical sampling structure, and a compact array implementation, it reaches a 42GS/s aggregate sampling rate with 28.9dB SNDR at Nyquist. </t>
  </si>
  <si>
    <t>Single-slope, TI</t>
  </si>
  <si>
    <t>In Paper 9.9, Gwangju Institute of Science and Technology presents a 2MS/s 13-bit SAR ADC with CMOS Split Pre-amplifier Comparator (CSPC), which enhances efficiency in varying common-mode voltage scenarios. The design utilizes a grounded-finger CDAC that reduces unit capacitors by 87.4% while maintaining 12-bit linearity. The ADC in 65nm achieves 71dB SNDR in 15.1μW.</t>
  </si>
  <si>
    <t>10.1109/ISSCC49657.2024.10454385</t>
  </si>
  <si>
    <t>R. L. Nguyen; A. Mellati; A. Fernandez; A. Iyer; A. Fan; B. Reyes; C. Abidin; C. Nani; D. Albano; F. Ahmad; F. Solis; G. Minoia; G. Hatcher; M. Bachu; M. Garampazzi; M. Hassanpourghadi; N. Fan; P. Prabha; S. Fan; S. Ho; T. Dusatko; T. Wu; W. Elsharkasy; Z. Sun; S. Jantzi; L. Tse</t>
  </si>
  <si>
    <t>Power is for complete receiver without PLL</t>
  </si>
  <si>
    <t>Yuefeng Cao; Minglei Zhang; Yan Zhu; R. P. Martins; Chi-Hang Chan</t>
  </si>
  <si>
    <t>10.1109/ISSCC49657.2024.10454350</t>
  </si>
  <si>
    <t>Sharvil Patil; Asha Ganesan; Hajime Shibata; Victor Kozlov; Gerry Taylor; Qingnan Yu; Zhao Li; Zeynep Lulec; Konstantinos Vasilakopoulos; Prawal Shrestha; Donald Paterson; Raviteja Theertham; Aseer Chowdhury</t>
  </si>
  <si>
    <t>10.1109/ISSCC49657.2024.10454477</t>
  </si>
  <si>
    <t>Amy Whitcombe; Somnath Kundu; Hariprasad Chandrakumar; Abhishek Agrawal; Thomas Brown; Steven Callender; Brent Carlton; Stefano Pellerano</t>
  </si>
  <si>
    <t>10.1109/ISSCC49657.2024.10454355</t>
  </si>
  <si>
    <t>Using ADC core power</t>
  </si>
  <si>
    <t>Yunsong Tao; Mingyang Gu; Baoyong Chi; Yi Zhong; Lu Jie; Nan Sun</t>
  </si>
  <si>
    <t>10.1109/ISSCC49657.2024.10454299</t>
  </si>
  <si>
    <t>Ewout Martens; Adam Cooman; Pratap Renukaswamy; Shun Nagata; Sehoon Park; Jorge Lagos; Nereo Markulic; Jan Craninckx</t>
  </si>
  <si>
    <t>10.1109/ISSCC49657.2024.10454361</t>
  </si>
  <si>
    <t>Excludes external slope generation</t>
  </si>
  <si>
    <t>Siyuan Ye; Linxiao Shen; Jihang Gao; Jie Li; Zhuoyi Chen; Xinhang Xu; Jiajia Cui; Hao Zhang; Xing Zhang; Le Ye; Ru Huang</t>
  </si>
  <si>
    <t>10.1109/ISSCC49657.2024.10454412</t>
  </si>
  <si>
    <t>Yong Lim; Jaehoon Lee; Jongmi Lee; Kwangmin Lim; Seunghyun Oh; Jongwoo Lee; Sung-Ung Kwak</t>
  </si>
  <si>
    <t>10.1109/ISSCC49657.2024.10454422</t>
  </si>
  <si>
    <t>Xiyu He; Mingyang Gu; Hanjun Jiang; Yi Zhong; Nan Sun; Lu Jie</t>
  </si>
  <si>
    <t>10.1109/ISSCC49657.2024.10454431</t>
  </si>
  <si>
    <t>Zhuoyi Chen; Linxiao Shen; Siyuan Ye; Jihang Gao; Jie Li; Jiajia Cui; Xinhang Xu; Yaohui Luan; Hao Zhang; Le Ye; Ru Huang</t>
  </si>
  <si>
    <t>10.1109/ISSCC49657.2024.10454297</t>
  </si>
  <si>
    <t>Anand Subramanian; Tanmay Halder; Laxmi Vivek Tripurari; Anand Kannan</t>
  </si>
  <si>
    <t>10.1109/ISSCC49657.2024.10454526</t>
  </si>
  <si>
    <t>Jongmi Lee; Seong-Eun Cho; Jaehoon Lee; Yong Lim; Seunghyun Oh; Jongwoo Lee; Sung-Ung Kwak</t>
  </si>
  <si>
    <t>10.1109/ISSCC49657.2024.10454568</t>
  </si>
  <si>
    <t>Kai-Cheng Cheng; Soon-Jyh Chang; Chung-Chieh Chen; Shuo-Hong Hung</t>
  </si>
  <si>
    <t>10.1109/ISSCC49657.2024.10454362</t>
  </si>
  <si>
    <t>Rares Bodnar; Henry Kennedy; Christopher P Hurrell; Asif Ahmad; Mark Vickery; Luke Smithers; William Buckley; Monsoon Dutt; Pasquale Delizia; Derek Hummerston; Pawel Czapor</t>
  </si>
  <si>
    <t>10.1109/ISSCC49657.2024.10454329</t>
  </si>
  <si>
    <t>Sewon Lee; Hyein Kang; Minjae Lee</t>
  </si>
  <si>
    <t>10.1109/ISSCC49657.2024.10454566</t>
  </si>
  <si>
    <t>Boris Murmann, University of Hawaii, bmurmann@hawaii.edu</t>
  </si>
  <si>
    <t>B. Murmann, "ADC Performance Survey 1997-2024," [Online]. Available: https://github.com/bmurmann/ADC-survey.</t>
  </si>
  <si>
    <t>20240808: Update VLSI 2024</t>
  </si>
  <si>
    <t>C8.1</t>
  </si>
  <si>
    <t>C8.2</t>
  </si>
  <si>
    <t>C8.3</t>
  </si>
  <si>
    <t>C8.4</t>
  </si>
  <si>
    <t>C8.5</t>
  </si>
  <si>
    <t>C18.1</t>
  </si>
  <si>
    <t>C18.2</t>
  </si>
  <si>
    <t>C18.4</t>
  </si>
  <si>
    <t>C18.5</t>
  </si>
  <si>
    <t>C24.2</t>
  </si>
  <si>
    <t>A 97dB-PSRR 178.4dB-FOMDR Calibration-Free VCO-ΔΣ ADC Using a PVT-Insensitive Frequency-Locked Differential Regulation Scheme for Multi-Channel ExG Acquisition</t>
  </si>
  <si>
    <t>This paper proposes a 97dB-PSRR, 178.4dB-FOMDR calibration-free 16-channel VCO-ΔΣ ADC system using a PVT-insensitive frequency-locked differential regulation (FLDR) scheme suitable for wireless ExG Acquisition. Thanks to the FLDR, the SNDR degradation in all 16 channels is less than 1dB over 1.4-2V supply and 20-60°C temperature ranges. Implemented in a 0.18μm standard CMOS process, the proposed system consumes 172μW from a 1.4V supply and occupies 2.7mm2 active area, while a single channel consumes 4.2μW and 0.12mm2, respectively.</t>
  </si>
  <si>
    <t>Sehwan Lee, Taeryoung Seol, Geunha Kim, Minyoung Song, Gain Kim, Jong-Hyeok Yoon, Arup K. George, Junghyup Lee</t>
  </si>
  <si>
    <t>Single channel numbers</t>
  </si>
  <si>
    <t>A 470μW, 102.6dB-DR, 20kHz BW calibration-free ΔΣ Modulator with SFDR in excess of 110dBc using an Intrinsically Linear 13-Level DAC</t>
  </si>
  <si>
    <t>Matteo Dalla Longa, Francesco Conzatti, Omar Ismail, John G. Kauffman, Maurits Ortmanns</t>
  </si>
  <si>
    <t>This paper presents the first true multibit Discrete Time ΔΣ Modulator (DTΔΣM) to achieve a SFDR in excess of 110dBc without the need for Dynamic Element Matching (DEM) or calibration. The high linearity is obtained using a 13-level intrinsically linear DAC in the feedback loop. Over Process-Voltage-Temperature (PVT) variations, the SFDR is consistently between 105 and 115dBc for all measured devices. The prototype achieves a DR of 102.6dB and an SNDR of 100.7dB in a 20kHz BW, consuming 470μW from a 1.8V supply, resulting in a Schreier FoM of 178.9dB.</t>
  </si>
  <si>
    <t>S. Li, S. Javvaji, V. Pecanins-Martínez, E. Aydin, R. van Veldhoven, K.A.A. Makinwa</t>
  </si>
  <si>
    <t>A Beyond-the-rail Audio CTDSM with a Passive Input Stage and 99.2dB SNDR</t>
  </si>
  <si>
    <t>This paper presents a 3rd order continuous-time delta-sigma modulator (CTDSM) for audio applications. Its loop filter efficiently realizes complex conjugate NTF zeros by combining a passive RC filter and a Gm-C based resonator. The latter is built around a capacitively-coupled chopper OTA, which enables a beyond-the-rail input range. Implemented in 65nm CMOS, the proposed CTDSM achieves 99.2dB SNDR and 100dB DR in a 24kHz BW while consuming only 80.7μW. This results in a state-of-the-art Schreier FoMSNDR of 184dB.</t>
  </si>
  <si>
    <t>A 0.38mW 200kHz-BW 92.1dB-DR Single-Opamp 4th-order Continuous-Time Delta-Sigma Modulator with 3rd-order Noise Coupling</t>
  </si>
  <si>
    <t>This work proposes a digital-intensive 4th-order continuous-time delta-sigma modulator (CTDSM) realizing 3rd-order noise-shaping through digital noise coupling (DNC), while the remaining 1st-order noise-shaping is done by an analog loop filter (LF). Fabricated in 28-nm CMOS, the proposed architecture achieves 89.0-dB SNDR, 92.1-dB DR, and 103.9-dB SFDR in a 200-kHz bandwidth (BW), while consuming only 0.38mW at 12.8MS/s. This results in a state-of-the-art Schreier Figure of Merit (FoMS) of 179.3dB and Walden FoMW of 41.2fJ/conv.-step.</t>
  </si>
  <si>
    <t>Kent Edrian Lozada, Ye-Dam Kim, Ho-Jin Kim, Youngjae Cho, Michael Choi, and Seung-Tak Ryu</t>
  </si>
  <si>
    <t>A 10.8GS/s, 84MHz-BW RF Bandpass ΣΔ ADC with a 89dB-SFDR and a 62dB-SNDR for LTE/5G Receivers</t>
  </si>
  <si>
    <t>The LTE/5G multi-standard RF BP ΣΔ ADC reported in this paper achieves an SFDR of 89dB and an SNDR of 62dB on a 84MHz-BW centered at F0=2.7GHz. The ADC, sampled at Fs=10.8GHz, has an RF Noise Figure of 29dB, and an Input Intercept Point of +8dBm. When OFDM modulated signals are applied to the ADC, the measured EVM is 1.25% for a 10MHz/64-QAM/LTE, 1.6% for a 20MHz/64-QAM/LTE, and 2.0% for a 40MHz/64-QAM/5G signal.</t>
  </si>
  <si>
    <t>A. Sayed, M. Vasilevski, M. T. Abdelmomen, S. Turk, A. Ghoniem, C. Perez, C. Voillequin, H. Stratigopoulos, M.-M. Louërat, E. Wantiez and H. Aboushady</t>
  </si>
  <si>
    <t>C24.3</t>
  </si>
  <si>
    <t>C24.4</t>
  </si>
  <si>
    <t>C24.5</t>
  </si>
  <si>
    <t>A 100kHz-BW 99dB-DR Continuous-Time Tracking-Zoom Incremental ADC with Residue-Gain Switching and Digital NC-FF</t>
  </si>
  <si>
    <t>This paper proposes a continuous-time (CT) tracking-zoom (TZ) incremental ADC (I-ADC) that reuses a quantizer for both the coarse SAR and fine DSM stages. The TZ I-ADC addresses the input bandwidth (BW) limitation issue with simple DAC code update. A residue-gain (RG) switching technique is proposed to mitigate the inconsistent signal transfer function (STF) in the fine CT incremental DSM (I-DSM). A digital noise-coupling-feedforward (DNC-FF) architecture is proposed to reduce the out-of-band gain (OBG). Fabricated in a 180nm CMOS process, the prototype consumes 2.52mW under a 1.8V supply, achieving 99-dB DR, 93.8-dB SNDR, and 102.5-dB SFDR.</t>
  </si>
  <si>
    <t>Ye-Dam Kim, Jae-Hyun Chung, Kent Edrian Lozada, Chang-Un Park, Kun-Woo Park, Kwan-Hoon Song, Young-Hun Moon, Min-Jae Seo, and Seung-Tak Ryu</t>
  </si>
  <si>
    <t>A Low-OSR 5th-Order Noise Shaping SAR ADC Using EF-EF-CIFF Structure with PVT-Robust Differential V-T-V Converter</t>
  </si>
  <si>
    <t>This paper presents a low-OSR 5th-order noise-shaping (NS) SAR (NS-SAR) ADC featuring a differential-Voltage-Time-Voltage (dVTV) converter. It introduces an innovative EF-EF-CIFF structure that achieves 5th-order NS with only two amplifications using the proposed dVTV converter. The PVT-robust dVTV converter enables the optimization of the Noise Transfer Function (NTF) without the need for static-power consumption, gain calibration, and trimming banks, thereby reducing circuit complexity and power consumption. The ADC has been prototyped and verified in 40nm CMOS technology with an active area of 0.059mm2. Operating at a supply voltage of 1.1V and a sampling rate of 5MS/s, it achieves an SNDR of 81.8dB over a 625kHz bandwidth. The resulting Schreier Figure of Merit (FoMs) and Walden FoM (FoMw) are 181.8dB and 7.2fJ/conversion-step, respectively.</t>
  </si>
  <si>
    <t>Pao-Shu Liu, Yu-Hsiang Huang, Chih-Cheng Hsieh</t>
  </si>
  <si>
    <t>A 71.5-dB SNDR 475-MS/s Ringamp-Based Pipelined SAR ADC with On-Chip Bit-Weight Calibration</t>
  </si>
  <si>
    <t>Tabulated power excludes gain calibration</t>
  </si>
  <si>
    <t>A Single-Channel, 1-GS/s, 10.91-ENOB, 81-dB SFDR, 9.2-fJ/conv.-step, Ringamp-Based Pipelined ADC with Background Calibration in 16nm CMOS</t>
  </si>
  <si>
    <t>This paper presents a 13-bit 475-MS/s single-channel pipelined SAR ADC, which utilizes a ring amplifier (ringamp) for residue amplification through an improved bias scheme and common-mode feedback (CMFB). Moreover, the ADC exploits an on-chip bit-weight calibration with signal dependent pseudo-random noise (PN) injection and a window detector to correct the interstage gain error and DAC mismatch, requiring only 4096 PN-injected samples to calibrate the gain error in the background. As a result, this work achieves a peak SNDR of 71.5dB and consumes 9.93mW from a 1V supply. This corresponds to a state-of-the-art FoMS of 175.3dB and FoMW of 6.8fJ/conv-step.</t>
  </si>
  <si>
    <t>Chao Chen, Zhu Yuan, Peng Cao, Jiawei Xu, Zhiliang Hong</t>
  </si>
  <si>
    <t>We present a single-channel ADC that exploits muti-bit pipelined stages based on ring amplification to simultaneously achieve high linearity, bandwidth, and power efficiency. A very-wide tuning range comparator is introduced in the stage quantizers, which not only enables multi-bit quantization but is also leveraged for the injection of dither to calibrate DAC mismatch and inter-stage gain in the background. Implemented in a 16nm FinFET process, it achieves 10.91 ENOB and 81 dB SFDR at 1 GS/s, consuming 17.8 mW from a 0.9 V supply, resulting in a Walden FoM of 9.2 fJ/conv.-step.</t>
  </si>
  <si>
    <t>J. Lagos, P. Renukaswamy, N. Markulic, E. Martens, J. Craninckx</t>
  </si>
  <si>
    <t>A 16GS/s 10b Time-domain ADC using Pipelined-SAR TDC with Delay Variability Compensation and Background Calibration Achieving 153.8dB FoM in 4nm CMOS</t>
  </si>
  <si>
    <t>The paper presents a direct-RF sampling time-domain ADC achieving 16GS/s 10-bit conversion using merely 4x timeinterleaving in 4nm. A redundancy-based TDC delay variability compensation scheme, a background delay offset calibration scheme, and a bottom-plate sampling VTC structure are proposed to achieve high SNR and linearity. The ADC achieves a 55.93dB SFDR and a 44.48dB SNDR at Nyquist with 94.2mW power consumption and 8000um2 active area, leading to a state-of-the-art 153.8dB Schreier FoM.</t>
  </si>
  <si>
    <t>Time-Based, Pipe, SAR, TI</t>
  </si>
  <si>
    <t>A 5nm 60GS/s 7b 64-way Time Interleaved Partial loop unrolled SAR ADC achieving 34dB SNDR up to 32GHz</t>
  </si>
  <si>
    <t>We present a 60GS/s 7b 64-way Time Interleaved (TI) ADC with Analog Front End that features a non binary Partial Loop Unrolled (LU) SAR SubADC architecture which enables optimum comparator noise and power trade off. Comparator offsets among comparators of each SubADC are calibrated in background without analog hardware overhead by detecting patterns in the SAR output decisions. Fabricated in 5nm technology, the prototype AFE and ADC delivers 34.3dB SNDR till 32GHz and draws 109.3mW from 0.9V supply.</t>
  </si>
  <si>
    <t>C. Nani, E. Monaco, N. Ghittori, A. Bosi, D. Albano, C. Asero, N. Codega, A. Di Pasquo, I. Fabiano, M. Garampazzi, F. Giunco, D. Burgos, G. Minoia, P. Rossi, M. Sosio, L. Vignoli, E. Temporiti, S. Scouten, S. Jantzi</t>
  </si>
  <si>
    <t>Juzheng Liu, Ayman Shabra, Stacy Ho, Gabriele Manganaro, Mike Shuo-Wei Chen</t>
  </si>
  <si>
    <t>AFE included in power</t>
  </si>
  <si>
    <t>A 12-bit 10GS/s Time-Interleaved SAR ADC with Even/Odd Channel-Correlated Absolute Error-Based Over-Nyquist Timing-Skew Calibration in 5nm FinFET</t>
  </si>
  <si>
    <t>Junsang Park, Jinwoo Park, Jaemin Hong, Sunjae Park, Dongsuk Lee, Sungno Lee, Hyochul Shin, Kyunghoon Lee, Byeongwoo Koo, Youngjae Cho, Michael Choi, and Jongshin Shin</t>
  </si>
  <si>
    <t>This paper presents an over-Nyquist 12-bit 10GS/s time interleaved (TI) ADC with a background timing-skew calibration. An absolute error-based auto-correlation algorithm enables calibration of time skew for both the first and second Nyquist inputs, while an even and odd channel based auto-correlation algorithm requires only three calibration steps. A prototype 10GS/s ADC in 5nm FinFET achieves a SNDR of 50.2dB and 46.2dB at input frequencies of 5GHz and 9GHz, respectively. The ADC consumes 386mW resulting in a FoMWalden and FoMSchreier of 146.0fJ/c-s. and 151.3dB, respectively.</t>
  </si>
  <si>
    <t>A 10GS/s Hierarchical Time-Interleaved ADC for RF-sampling applications</t>
  </si>
  <si>
    <t>RF-sampling ADCs [1-4] above 10GS/s enable modern instrumentation and wireless infrastructure applications. The key design challenge is to simultaneously guarantee high ENOB and high wide-band linearity, at moderate power. High ENOB requires large sampling capacitors for low kT/C noise, but they load the front-end buffer resulting in dynamic distortion at RF. Additionally, substantial power must be used for low-jitter clock distribution. The presented time-interleaved ADC addresses these challenges with innovation in (1) front-end and inter-level signal/clock distribution of a hierarchical converter, and (2) wideband-linear signal buffering, delivering higher ENOB than comparable systems [1-3], without the need for power consuming digital nonlinear distortion correction engines [1,3]. At only 350mW, the presented 10GS/s ADC delivers 9/8.2 ENOB at low/Nyquist frequencies with SFDR&gt;60dB across 5-GHz BW.</t>
  </si>
  <si>
    <t>Nereo Markulić, Johan Nguyen, Jorge Lagos Benites, Ewout Martens and Jan Craninckx</t>
  </si>
  <si>
    <t>ADC Performance Survey 1997-2025</t>
  </si>
  <si>
    <t>A Fully Dynamic Noise-Shaping SAR ADC Achieving 120dB SNDR and 189dB FoMS in 1kHz BW</t>
  </si>
  <si>
    <t xml:space="preserve">In Paper 18.1, UESTC presents a fully dynamic NS-SAR ADC achieving 120.6dB SNDR and 132.5dB SFDR in 1kHz BW, resulting in 189.2dB FoMS. The performance is enabled by predict and skip, hybrid mismatch shaping, systemlevel chopping, and FIA. </t>
  </si>
  <si>
    <t>A 12.2μW 99.6dB-SNDR 184.8dB-FOMS DT Zoom PPD ΔΣM with Gain-Embedded Bootstrapped Sampler</t>
  </si>
  <si>
    <t xml:space="preserve">In Paper 18.2, Peking University introduces a Gain-Embedded Bootstrapped Sampler input stage adopted in zoom pseudo-pseudo-differential ADC. This ADC achieves 99.6dB SNDR over 4kHz bandwidth and a FoMS of 184.8dB. </t>
  </si>
  <si>
    <t xml:space="preserve">A 93.3dB SNDR, 180.4dB FoMS Calibration-Free Noise-Shaping Pipelined-SAR ADC with Cross-Stage Gain-Mismatch-Error-Shaping Technique and Negative-R-Assisted Residue Integrator </t>
  </si>
  <si>
    <t>In Paper 18.3, Peking University proposes a calibration-free pipelined-SAR ADC with cross-stage gain-mismatch error shaping. Inherently preserving residue voltage for noise-shaping, the prototype achieves 180.4dB FoMS</t>
  </si>
  <si>
    <t>A 184.8dB-FoMS 1.6MS/s Incremental Noise-Shaping Pipeline ADC with Single-Amplification-Based kT/C Noise  Cancellation Technique</t>
  </si>
  <si>
    <t>In Paper 18.4, Peking University presents an incremental noise-shaping pipeline ADC with single amplification based kT/C noise cancellation. This ADC realizes an SNDR of 92.5dB at 1.6MS/s and 467.3uW power, leading to an FoMS of 184.8dB.</t>
  </si>
  <si>
    <t>A Rail-to-Rail 3rd-Order Noise-Shaping SAR ADC Achieving 105.4dB SFDR with Integrated Input Buffer Using  Continuous-Time Correlated Level Shifting</t>
  </si>
  <si>
    <t xml:space="preserve">In Paper 18.5, Peking University introduces a 3rd-order noise-shaping SAR ADC with a continuous-time correlated level-shifting embedded ADC driver. This ADC achieves 82.9dB SNDR at 40MS/s, with an FoMS of 176.3dB. </t>
  </si>
  <si>
    <t xml:space="preserve">An Easy-Drive 16MS/s Pipelined-SAR ADC Using Split Coarse-Fine Input Buffer Sampling Scheme and Fast-Robust  Background Inter-Stage Gain Calibration </t>
  </si>
  <si>
    <t xml:space="preserve">In Paper 18.6, Peking University shows an easy-drive 16MS/s pipelined-SAR ADC with a split coarse-fine input buffer sampling scheme. This ADC achieves 79.4dB SNDR and an FoMS of 176.3dB. </t>
  </si>
  <si>
    <t xml:space="preserve">A 70dB SNDR 80MHz BW Filter-Embedded Pipeline-SAR ADC Achieving 172dB FoMS with Progressive Conversion  and Floating-Charge-Transfer Amplifier </t>
  </si>
  <si>
    <t xml:space="preserve">In Paper 18.7, Tsinghua University presents a filter-embedded pipe-SAR ADC with a progressive conversion scheme and a dynamic floating-charge transferrer. This ADC achieves 70.1dB over 80MHz BW with 172.2dB FoMS; it provides &gt;30dB out-of-band suppression. </t>
  </si>
  <si>
    <t xml:space="preserve">A Cryo-CMOS 800MS/s 7b CI-SAR with only 4fF Input Capacitance and 64dB SFDR </t>
  </si>
  <si>
    <t>In Paper 18.8, KU Leuven reveals a 7b cryo-CMOS charge-injection SAR ADC with a low input capacitance of 4fF. It achieves an SNDR of 40.7dB at a temperature of 6.5K while consuming 2.89mW at a sampling rate of 800MS/s.</t>
  </si>
  <si>
    <t xml:space="preserve">A 12b 3GS/s Pipelined ADC with Gated-LMS-Based Piecewise-Linear Nonlinearity Calibration </t>
  </si>
  <si>
    <t xml:space="preserve">In Paper 24.1, Tsinghua University introduces a gated-LMS-based PWL nonlinearity calibration and dual-path amplification for better accuracy and efficiency. The prototype ADC achieves 58.8dB SNDR at 3GS/s with 32.5mW power consumption, corresponding to a FoMs of 165dB. </t>
  </si>
  <si>
    <t>A 1GS/s Single-Channel Pipelined ADC with a Parallel-Operation SAR Sub-Quantizer and a Dynamic-Deadzone  Ring Amplifier</t>
  </si>
  <si>
    <t xml:space="preserve">In Paper 24.2, Xidian University presents a 14b 1GS/s pipelined ADC with SAR sub-quantizer, achieving 68.2dB SNDR, 85.8dB SFDR, and 173.3dB FoMS. A dynamic dead-zone ring amplifier enhances efficiency without bias tuning. </t>
  </si>
  <si>
    <t xml:space="preserve">A PVT-Robust 2× Interleaved 2.2GS/s ADC with Gated-CCRO-Based Quantizer Shared Across Channels and Steps  Achieving &gt;4.5GHz ERBW </t>
  </si>
  <si>
    <t xml:space="preserve">In Paper 24.3, University of Macau presents a 2× interleaved 2.2GS/s ADC using a gated-CCRO quantizer with improved energy efficiency and PVT robustness, achieving 45.8dB SNDR, 65.7dB SFDR, and 19.7fJ/step FoMw. </t>
  </si>
  <si>
    <t xml:space="preserve">A 10b 3GS/s Time-Domain ADC with Mutually Exclusive Metastability Correction and Wide Common-Mode Input </t>
  </si>
  <si>
    <t xml:space="preserve">In Paper 24.4, University of Macau presents a 10b 3GS/s time-domain ADC with mutually exclusive selection technique to reduce metastability errors. It achieves 47.2dB SNDR in low metastability mode and 49.3dB in split ADC mode at Nyquist input. </t>
  </si>
  <si>
    <t>A 72GS/s 9b Time-Interleaved Pipeline-SAR ADC Achieving 55.3/49.3dB SFDR at 20GHz/Nyquist Inputs in 16nm  FinFET</t>
  </si>
  <si>
    <t xml:space="preserve">In Paper 24.5, University of Macau presents a 16nm FinFET 72GS/s 9b time-interleaved pipeline SAR ADC with wideband input buffers and a dual-path bootstrapped switch, achieving 55.3dB SFDR and 41.9dB SNDR at 20GHz input. </t>
  </si>
  <si>
    <t xml:space="preserve">A Power- and Area-Efficient 4nm Self-Calibrated 12b/16GS/s Hierarchical Time-Interleaving ADC </t>
  </si>
  <si>
    <t xml:space="preserve">In Paper 24.6, MediaTek presents a 4nm FinFET 12b 16GS/s time-interleaving ADC, consuming 570mW and occupying 0.430mm², achieving -155dBFS/Hz noise spectral density and reducing spurs lower than -68dBFS at 7.4GHz input with digital calibration. </t>
  </si>
  <si>
    <t xml:space="preserve">An 8b 10GS/s 2-Channel Time-Interleaved Pipelined ADC with Concurrent Residue Transfer and Quantization, and  Automatic Buffer Power Gating </t>
  </si>
  <si>
    <t xml:space="preserve">In Paper 24.7, Tsinghua University presents an 8b 10GS/s time-interleaved pipelined ADC, achieving a sampling rate of 5GS/s per channel. Automatic buffer power gating improves efficiency, achieving an FoMW of 22fJ/conv-step. </t>
  </si>
  <si>
    <t>A 12GS/s 9b 16× Time-Interleaved SAR ADC in 16nm FinFET</t>
  </si>
  <si>
    <t>In Paper 24.8, Analog Devices presents a 12GS/s 9b 16× time-interleaved SAR ADC in 16nm FinFET, achieving 48.1dB SNDR at 5.33GHz, consuming 160mW, with one reservoir capacitor per bit and SAR loop feedback innovations.</t>
  </si>
  <si>
    <t>10.1109/ISSCC49661.2025.10904536</t>
  </si>
  <si>
    <t>10.1109/ISSCC49661.2025.10904766</t>
  </si>
  <si>
    <t>10.1109/ISSCC49661.2025.10904585</t>
  </si>
  <si>
    <t>10.1109/ISSCC49661.2025.10904672</t>
  </si>
  <si>
    <t>10.1109/ISSCC49661.2025.10904818</t>
  </si>
  <si>
    <t>10.1109/ISSCC49661.2025.10904740</t>
  </si>
  <si>
    <t>10.1109/ISSCC49661.2025.10904751</t>
  </si>
  <si>
    <t>10.1109/ISSCC49661.2025.10904660</t>
  </si>
  <si>
    <t>10.1109/ISSCC49661.2025.10904778</t>
  </si>
  <si>
    <t>10.1109/ISSCC49661.2025.10904732</t>
  </si>
  <si>
    <t>10.1109/ISSCC49661.2025.10904557</t>
  </si>
  <si>
    <t>10.1109/ISSCC49661.2025.10904507</t>
  </si>
  <si>
    <t>10.1109/ISSCC49661.2025.10904773</t>
  </si>
  <si>
    <t>10.1109/ISSCC49661.2025.10904526</t>
  </si>
  <si>
    <t>10.1109/ISSCC49661.2025.10904746</t>
  </si>
  <si>
    <t>10.1109/ISSCC49661.2025.10904533</t>
  </si>
  <si>
    <t>Power includes input buffer</t>
  </si>
  <si>
    <t>T=6.5K</t>
  </si>
  <si>
    <t>Split mode</t>
  </si>
  <si>
    <t>Performance for fin=20GHz</t>
  </si>
  <si>
    <t>10.1109/ISSCC49661.2025.10904707</t>
  </si>
  <si>
    <t>10.1109/ISSCC49661.2025.10904733</t>
  </si>
  <si>
    <t>10.1109/ISSCC49661.2025.10904745</t>
  </si>
  <si>
    <t>A 353mW 112Gb/s Discrete Multitone Wireline Receiver Datapath with Time-Based ADC in 5nm FinFET</t>
  </si>
  <si>
    <t>In Paper 7.5, Daegu Gyeongbuk Institute of Science and Technology demonstrates a 5nm ADC-based discrete multitone (DMT) wireline receiver featuring a time-interleaved time-based ADC and a frequency domain DSP that equalizes DMT symbols. The receiver achieves a BER of 1e-4 at 112Gb/s over a 12dB-loss channel, consuming 353mW.</t>
  </si>
  <si>
    <t>Jaewon Lee; Pier-Andrea Francese; Matthias Brändli; Thomas Morf; Marcel Kossel; Seoyoung Jang</t>
  </si>
  <si>
    <t>Event-Based Spatially Zooming Neural Interface IC with 10nW/Input Reconfigurable-Inverter Fabric and  Input-Adaptive Quantization</t>
  </si>
  <si>
    <t xml:space="preserve">In Paper 15.5, University of Toronto describes an event-based reconfigurable neural interface IC that offers three modes of 1b inverter-based spike detector, zoomed active electrode, and high dynamic range interface, for high energy efficiency, high precision, and artifact tolerance, respectively. </t>
  </si>
  <si>
    <t>A 3.47 NEF 175.2dB FOMS Direct Digitization Front-End Featuring Delta Amplification for Enhanced Dynamic Range  and Energy Efficiency in Bio-Signal Acquisition</t>
  </si>
  <si>
    <t>In Paper 15.6, ETH Zurich introduces a direct-digitization neural front-end proposing delta-amplification, which improves both noise efficiency and dynamic range, achieving an NEF of 3.47 and an FoMs of 175.2dB.</t>
  </si>
  <si>
    <t>Kyeongwon Jeong; Can Livanelioglu; Jiawei Liao; Inhee Lee; Taekwang Jang</t>
  </si>
  <si>
    <t>Jianxiong Xu; Mustafa Kanchwala; Mohammad Abdolrazzaghi; Hanfeng Cai; Yu Huang; Junyu Ma</t>
  </si>
  <si>
    <t>Mode 3 &amp; uniform quantization</t>
  </si>
  <si>
    <t>Event-based</t>
  </si>
  <si>
    <t>Han Zhao; Xuanhao Zhang; Qijin Deng; Jialin Hu; Zhenbing Li; Shiheng Yang; Jiaxin Liu</t>
  </si>
  <si>
    <t>Yaohui Luan; Xinhang Xu; Jihang Gao; Jiajia Cui; Zhuoyi Chen; Siyuan Ye; Ru Huang; Linxiao Shen</t>
  </si>
  <si>
    <t xml:space="preserve"> Jihang Gao; Yaohui Luan; Siyuan Ye; Xinhang Xu; Zhuoyi Chen; Jiajia Cui; Ru Huang; Linxiao Shen</t>
  </si>
  <si>
    <t xml:space="preserve"> Zongnan Wang; Bingrui Li; Jiajun Tang; Zhongyi Wu; Haoyang Luo; Yuan Wang; Xiyuan Tang</t>
  </si>
  <si>
    <t xml:space="preserve"> Siyuan Ye; Jiajia Cui; Jihang Gao; Jie Li; Xing Zhang; Ru Huang; Linxiao Shen</t>
  </si>
  <si>
    <t xml:space="preserve"> Zhuoyi Chen; Siyuan Ye; Jihang Gao; Jie Li; Jiajia Cui; Xinhang Xu; Yaohui Luan; Ru Huang; Linxiao Shen</t>
  </si>
  <si>
    <t>Siyu Huang; Zhishuai Zhang; Xiyu He; Mingyang Gu; Yunsong Tao; Yi Zhong; Nan Sun; Lu Jie</t>
  </si>
  <si>
    <t>Bram Veraverbeke; Filip Tavernier</t>
  </si>
  <si>
    <t>Mingyang Gu; Yi Zhong; Lu Jie; Nan Sun</t>
  </si>
  <si>
    <t>Yue Cao; Yi Shen; Shubin Liu; Haolin Han; Hongzhi Liang; Li Dang; Dengquan Li; Ruixue Ding; Zhangming Zhu</t>
  </si>
  <si>
    <t xml:space="preserve">Junlin Zhong; Minglei Zhang; Yan Zhu; Rui P. Martins; Chi-Hang Chan; </t>
  </si>
  <si>
    <t>Zijian Liu; Minglei Zhang; Wei Zhang; Yan Zhu; Rui P. Martins; Chi–Hang Chan</t>
  </si>
  <si>
    <t>Yannan Zhang; Minglei Zhang; Zehang Wu; Yan Zhu; Rui P. Martins; Chi-Hang Chan</t>
  </si>
  <si>
    <t>Cheng-En Hsieh; Gabriele Manganaro; Sheng-Hui Liao; Jack Weng; Tsun-Yuan Fan; Alec Chin; Tsung-Chih Hung; Jonathan X Wu; Chi-Lun Lo; Andy Pan; Ming-Hang Hsieh; Yun-Shiang Shu; Wei-Hsin Tseng; Kuan-Dar Chen</t>
  </si>
  <si>
    <t>Yunsong Tao; Mingtao Zhan; Mingyang Gu; Xiyu He; Yuxuan He; Zhishuai Zhang; Yi Zhong; Lu Jie; Nan Sun</t>
  </si>
  <si>
    <t>Junhua Shen; Wei-Hung Chen; Efram Burlinqame; Stephen Weinreich; Michael Elliott; Stuart McCracken</t>
  </si>
  <si>
    <t>20250609: Update ISSCC 2025</t>
  </si>
  <si>
    <t>10.1109/VLSITechnologyandCir46783.2024.10631536</t>
  </si>
  <si>
    <t>10.1109/VLSITechnologyandCir46783.2024.10631405</t>
  </si>
  <si>
    <t>10.1109/VLSITechnologyandCir46783.2024.10631367</t>
  </si>
  <si>
    <t>10.1109/VLSITechnologyandCir46783.2024.10631532</t>
  </si>
  <si>
    <t>10.1109/VLSITechnologyandCir46783.2024.10631461</t>
  </si>
  <si>
    <t>10.1109/VLSITechnologyandCir46783.2024.10631347</t>
  </si>
  <si>
    <t>10.1109/VLSITechnologyandCir46783.2024.10631390</t>
  </si>
  <si>
    <t>10.1109/VLSITechnologyandCir46783.2024.10631448</t>
  </si>
  <si>
    <t>10.1109/VLSITechnologyandCir46783.2024.10631330</t>
  </si>
  <si>
    <t>10.1109/VLSITechnologyandCir46783.2024.10631373</t>
  </si>
  <si>
    <t>10.1109/VLSITechnologyandCir46783.2024.10631522</t>
  </si>
  <si>
    <t>10.1109/VLSITechnologyandCir46783.2024.10631314</t>
  </si>
  <si>
    <t>10.1109/VLSITechnologyandCir46783.2024.10631521</t>
  </si>
  <si>
    <t>C5-1</t>
  </si>
  <si>
    <t>C5-2</t>
  </si>
  <si>
    <t>C5-3</t>
  </si>
  <si>
    <t>A new Cascaded Time-Interleaved (CaTI) Noise-Shaping (NS) SAR ADC combines high-order cascaded NS and new TI bandwidth enhancement techniques to break the bandwidth limitation of NS SAR. The prototype provides 60dB SNDR and 77.5dB SFDR over a 175MHz bandwidth without any calibration, occupies only 0.02mm2, and consumes 3.38mW at 1.4GS/s. With an FoMs of 167dB, CaTI NS SAR is a robust and more efficient alternative to conventional TI NS SAR. The prototype has the highest bandwidth of any NS SAR.</t>
  </si>
  <si>
    <t>Zhiyuan Zhao, Hsiang-Wen Chen, Seungheun Song, Taewook Kang, Michael Flynn</t>
  </si>
  <si>
    <t>A 4GHz 2b 5th Order Continuous-Time ΔΣ Modulator with −100.1dBc THD and 122dBFS SFDR in 100MHz BW</t>
  </si>
  <si>
    <t>Sundeep Javvaji, Lucien Breems, Muhammed Bolatkale, Shagun Bajoria, Robert Rutten, Kofi Makinwa</t>
  </si>
  <si>
    <t>This work presents a continuous-time ΔΣ modulator (CTDSM) with a novel 5th order noise transfer function (NTF) that increases in-band SQNR by ~9.5dB compared to conventional NTFs. This allows its sampling frequency to be reduced, enabling the use of a 2b SAR quantizer, which dissipates less power than a conventional 2b flash quantizer and does not require power-hungry digital offset calibration. Furthermore, its 1st integrator is based on a single energyefficient inverter, whose limited DC gain is absorbed by the rest of the loop filter. While sampling at 4GHz, the resulting CTDSM achieves −100.1dBc THD, 74.5dB SNDR over a 100MHz BW and consumes 49.5mW. This results in 5.6dB higher energy-efficiency than CTDSMs with similar BW and linearity.</t>
  </si>
  <si>
    <t>A 76.5-dB Dynamic-Range 8-bit 100-MS/s Variable-Range SAR ADC</t>
  </si>
  <si>
    <t>Ritaro Takenaka, Sota Kano, and Tetsuya Iizuka</t>
  </si>
  <si>
    <t>This work presents an 8-bit 100 MS/s SAR ADC with a 35 dB variable input range. The range tunability is realized by fully passive switched-capacitor-based circuits integrated with CDAC. Programmable capacitive dividers that narrow down the full-scale range of the CDAC and capacitor stacking circuits that amplify the input signal without an active amplifier are used in combination to achieve a wide tunable input range. Fabricated in 65nm CMOS, the proposed ADC consumes up to 0.599 mW at 100 MS/s and achieves 48.7 dB SNDR and 65.6 dB SFDR with Nyquist input. SNDR remains &gt; 40 dB over the input signal amplitude ranges from −35 to 0 dBFS, which leads to a 76.5 dB dynamic range, yielding a Schreier FoM of 185.7 dB.</t>
  </si>
  <si>
    <t>C8-1</t>
  </si>
  <si>
    <t>C8-2</t>
  </si>
  <si>
    <t>C8-3</t>
  </si>
  <si>
    <t>C8-4</t>
  </si>
  <si>
    <t>An 11.9-ENOB 560-MS/s Subranging ADC Employing Amplifier-Switching Architecture with Multi-Threshold Comparators</t>
  </si>
  <si>
    <t>This paper proposes a 14-bit 560-MS/s ADC, which employs an amplifier-switching subranging architecture. The proposed architecture enables both high-speed and highresolution without requiring accurate amplifiers. A multithreshold comparator with time-latch stages is proposed to achieve 16-level decisions with a single input pair, which reduces its input-referred noise with low power consumption. Fabricated in 28nm CMOS, this work achieves 72.14 dB SNDR at Nyquist input and consumes 9.76 mW at 560 MS/s, which leads to 176.7 dB Schreier FoM.</t>
  </si>
  <si>
    <t>Ritaro Takenaka and Tetsuya Iizuka</t>
  </si>
  <si>
    <t>A 46GS/s 7-bit Time-Interleaved Time-Domain ADC with Synthesizable Unit ADCs in 16nm FinFET</t>
  </si>
  <si>
    <t>Mohammad Mahdi Ghahramani, Srujan Kumar Kaile, Gijin Park, Yuanming Zh1, Il-Min Yi, Sebastian Hoyos, and Samuel Palermo</t>
  </si>
  <si>
    <t>A 7-bit 16-way time-interleaved time-domain analog-todigital converter (TDADC) is presented with unit ADCs synthesized using Verilog code and fully-automated standard digital place-and-route techniques. The proposed design introduces capacitor-based distortion compensation in the voltage-to-time converter and employs a novel 3-input time comparator with implicit phase interpolation in the fine timeto-digital converter to reduce power and area. Fabricated in 16nm FinFET, the proposed ADC operates at 46GS/s, achieves 78fJ/conv.-step at Nyquist, has 20.1GHz 3dB input bandwidth, and occupies 0.085mm² area.</t>
  </si>
  <si>
    <t>A Single-Channel 14b 3GS/s Pipelined ADC in 28nm Technology</t>
  </si>
  <si>
    <t>Buhui Rui, Xianghui Pan, Yao Lu, Yan Zhu, R. P. Martins, Chi-Hang Chan</t>
  </si>
  <si>
    <t>This article presents a negative-delayed-input (NDI)-assisted Pipelined ADC (Pipe), which considerably shrinks the critical path by enabling concurrent quantization in all stages. The single-channel (1-CH) 14b ADC runs at 3GS/s and achieves 62.3dB SNDR and 81.1dB SFDR at Nyquist input after uneven-spaced (UE) PWL function INL calibration.</t>
  </si>
  <si>
    <t>A PVT-Robust 16GS/s 4×TI Time-Domain ADC with Vernier-based Multipath Flash TDC achieving 25.7fJ/c-s FoM in 28nm CMOS</t>
  </si>
  <si>
    <t>A 4-way 16GS/s two-step time-domain ADC with Vernierbased multipath Flash TDC architecture is reported. Benefiting from the proposed Vernier-based Multipath TLSB Generator (VMTG) and the inherently tracking delay cells, this design achieves PVT robustness for time step ratios and gain between the two stages. Fabricated in 28nm CMOS, this ADC achieves 35.3dB SNDR and 51.2dB SFDR with a Nyquist input at 16GS/s and it consumes 19.6mW power, leading to a 25.7fJ/conv.-step Walden FoM.</t>
  </si>
  <si>
    <t>Haoyu Li, Kaize Zhang, Liang Qi, Sai-Weng Sin, Rui P. Martins, Mingqiang Guo</t>
  </si>
  <si>
    <t>A 0.5-0.8V 10-85 MS/s 12-bit SAR ADC in 22nm FDSOI Utilizing an Inverter-Based Comparator Architecture</t>
  </si>
  <si>
    <t>Remon Cents, Harijot Singh Bindra, Henk de Vree and Bram Nauta</t>
  </si>
  <si>
    <t>A low-noise high-speed inverter-based comparator architecture integrated within a SAR ADC is proposed, enabling the ADC to operate down to 0.5V supply at a state-of-the-art Nyquist rate of 10 MS/s, while still achieving 9.5 ENOB and a Walden FoM of 2.0 fJ/conv-step. At its typical supply of 0.8V, the ADC demonstrates 9.9 ENOB at a Nyquist rate of 85 MS/s, with a Walden FoM of 3.6 fJ/conv-step.</t>
  </si>
  <si>
    <t>C32-1</t>
  </si>
  <si>
    <t>C32-2</t>
  </si>
  <si>
    <t>C32-3</t>
  </si>
  <si>
    <t>C32-4</t>
  </si>
  <si>
    <t>An 88.8dB-SNDR 6-MS/s Pipelined SAR ADC with A Closed-Loop Dynamic Amplifier Featuring Highly-Linear Full-Scale Output Swing</t>
  </si>
  <si>
    <t>This paper presents a pipelined SAR ADC with a two-stage closed-loop residue amplifier (RA). The proposed RA incorporates a floating gm-ratio-based amplifier (FGA) as the first stage and a charge-pump-assisted cascoded floating inverter amplifier (CP-FIA) as the output stage. It enables fastslewing, energy-efficient, robust, and highly-linear amplification, with a THD of &lt;-100 dB at full-scale output swing. A system-level chopping-assisted auto-zero (AZ) is adopted to eliminate the RA’s flicker noise and offset without additional thermal noise penalty. The prototype achieves 88.8dB SNDR at 6MS/s, demonstrating the best FoMs of 183dB among ADCs with &gt;5MS/s conversion rate.</t>
  </si>
  <si>
    <t>Zongnan Wang, Haoyang Luo, Rongjia Bao, Lu Jie, Xiyuan Tang</t>
  </si>
  <si>
    <t>A 91.2dB-SNDR 250kHz-BW CT Zoom ADC Achieving a 6-bit Linear Zoom-in with Interstage LPF and 1.5-bit DAC</t>
  </si>
  <si>
    <t>This paper presents a continuous time (CT) zoom ADC that achieves a 6-bit linear zoom-in with an interstage LPF and an intrinsically linear 1.5-bit DAC. By using the interstage LPF, the shaped residue signal of the coarse ΔΣM is properly filtered, enabling 6-bit linear zoom-in, boosting the SQNR by &gt;36dB. Fabricated in 28nm CMOS process, the ADC consumes only 392μW while achieving 101.4dB SFDR, 91.2dB SNDR, and 92.7dB DR in a signal bandwidth of 250kHz. This corresponds to a state-of-the-art FoM of 180.7dB.</t>
  </si>
  <si>
    <t>Junghyun Yoon and Youngcheol Chae</t>
  </si>
  <si>
    <t>A 0.0035mm2 86dB-SNR 1.25MHz-BW Noise-Shaping SAR ADC Enabling kT/C Noise Shaping</t>
  </si>
  <si>
    <t>This paper proposes a 13-bit 2nd-order noise-shaping SAR (NS-SAR) ADC with a novel kT/C noise shaping technique. It achieves 85.8dB SNDR with a 40MHz sampling rate and an oversampling ratio (OSR) of 16. Its input sampling capacitance is merely 0.3 pF, occupying an area of 0.0035 mm2 in a 28nm CMOS technology. It is the smallest among all published ADCs exceeding 70dB SNDR.</t>
  </si>
  <si>
    <t>A 94.4dB-SNDR 500kHz-BW Multi-Rate MASH 0-1-0 ADC with Easy-to-Drive Capacitive Input and Deadband-Embedded Gm-C Loop Filter</t>
  </si>
  <si>
    <t xml:space="preserve">This work proposes a multi-rate MASH 0-1-0 ADC consisting of an 8b oversampled SAR ADC, a 1b incremental CTDSM, and a 12b Nyquist SAR ADC to achieve high SQNR with high efficiency. A coupling capacitive input network is introduced to ease the ADC driving. A high linearity Gm-C integrator adopting low-noise deadband operation is used for high efficiency and high SNR. The prototype ADC achieves 94.4dB SNDR over a 500kHz bandwidth, consuming only 793uW of power, and resulting in a FoMS of 182.3dB. </t>
  </si>
  <si>
    <t>A Calibration-Free 175MHz Bandwidth 60dB SNDR 6th-order Bandpass Cascaded Time-Interleaved Noise-Shaping SAR ADC with Optimum Zero Placement</t>
  </si>
  <si>
    <t>10.23919/VLSITechnologyandCir65189.2025.11075147</t>
  </si>
  <si>
    <t>10.23919/VLSITechnologyandCir65189.2025.11074991</t>
  </si>
  <si>
    <t>10.23919/VLSITechnologyandCir65189.2025.11075106</t>
  </si>
  <si>
    <t>Variable gain &amp; Cin, FOM,DR=185.7</t>
  </si>
  <si>
    <t>10.23919/VLSITechnologyandCir65189.2025.11074782</t>
  </si>
  <si>
    <t>10.23919/VLSITechnologyandCir65189.2025.11075030</t>
  </si>
  <si>
    <t>10.23919/VLSITechnologyandCir65189.2025.11074891</t>
  </si>
  <si>
    <t>10.23919/VLSITechnologyandCir65189.2025.11074876</t>
  </si>
  <si>
    <t>10.23919/VLSITechnologyandCir65189.2025.11074903</t>
  </si>
  <si>
    <t>Numbers for low supply</t>
  </si>
  <si>
    <t>10.23919/VLSITechnologyandCir65189.2025.11075015</t>
  </si>
  <si>
    <t>10.23919/VLSITechnologyandCir65189.2025.11075130</t>
  </si>
  <si>
    <t>10.23919/VLSITechnologyandCir65189.2025.11075144</t>
  </si>
  <si>
    <t>10.23919/VLSITechnologyandCir65189.2025.11074988</t>
  </si>
  <si>
    <t>High BW mode</t>
  </si>
  <si>
    <t>C24-2</t>
  </si>
  <si>
    <t>A 10kHz-BW, 86.7dB-SNDR, 176.8dB-FoM, LNA-Embedded CT ΔΣ ADC for Closed-Loop Neural Recording</t>
  </si>
  <si>
    <t>This paper presents an LNA-embedded CT ΔΣ ADC for closed-loop neural recording. The frontend LNA is embedded in the loop filter of ΔΣ ADC to achieve low input-referred noise (IRN) and high tolerance to stimulation artifacts. A 25-level feedback RDAC is realized with a 12-tap tri-level FIR-DAC and helps to linearize the LNA, resulting in high linearity over a wide input range. The FIR-DAC's delay is compensated by a novel feedforward compensation scheme to maintain loop stability. The DC-coupled LNA is chopped at a low frequency (~100kHz) and provides high input impedance, low offset, and low 1/f noise without suffering from chopper artifacts. Implemented in a 65nm CMOS process, the ADC achieves an IRN of 62.5nV/√Hz, 86.7dB SNDR, 87.5dB DR, and 97.9dB SFDR, while consuming only 11.8μW in a 10kHz bandwidth. This corresponds to the state-of-the-art FoM of 176.8dB.</t>
  </si>
  <si>
    <t>Sanghoon Lee; Junghyun Yoon; Taejune Jeon; Danbi Ahn; Soohyun Yun; Hee Young Kim; Joonsung Bae; Youngcheol Chae</t>
  </si>
  <si>
    <t>10.23919/VLSITechnologyandCir65189.2025.11075123</t>
  </si>
  <si>
    <t>C32.5</t>
  </si>
  <si>
    <t>10.23919/VLSITechnologyandCir65189.2025.11075190</t>
  </si>
  <si>
    <t>SAR, Pipe, Incremental</t>
  </si>
  <si>
    <t>An NS-SAR Quantizer-Based Pipeline Incremental Delta-Sigma ADC Using a Current-Regulated Floating Ring Amplifier and Two-Phase Miller Negative-C</t>
  </si>
  <si>
    <t>A pipeline incremental ADC (IADC) leverages a 6-bit noise-shaping SAR quantizer for high SQNR at low OSR. A pipeline IADC structure enables continuous sampling and concurrent stage processing, improving bandwidth. Delay-free integrators and residue amplification enhance signal accumulation, boosting SQNR. A current-regulated floating ring amplifier (CURE FLORA) halves power consumption, while a two-phase Miller Negative-C technique mitigates integrator gain errors. Implemented in 28-nm CMOS, the prototype achieves an SNDR of 80.1 dB, SFDR of 97.2 dB, at 80 MS/s over a 5 MHz bandwidth. With a power consumption of 1.85 mW, the Walden FoM and Schreier SNDR FoM of 22.4 fJ/conversion-step and 174.4 dB, respectively.</t>
  </si>
  <si>
    <t>Seungheun Song; Taewook Kang; Alexander Knowlton; Seungjong Lee; Michael P. Flynn</t>
  </si>
  <si>
    <t>20250721: Update VLSI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</si>
</sst>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
    <numFmt numFmtId="166" formatCode="0.000"/>
    <numFmt numFmtId="167" formatCode="0.000E+00"/>
    <numFmt numFmtId="168" formatCode="0.00000"/>
    <numFmt numFmtId="169" formatCode="0.00.E+00"/>
  </numFmts>
  <fonts count="20" x14ac:knownFonts="1">
    <font>
      <sz val="10"/>
      <name val="Arial"/>
    </font>
    <font>
      <b/>
      <sz val="10"/>
      <name val="Arial"/>
      <family val="2"/>
    </font>
    <font>
      <u/>
      <sz val="10"/>
      <color indexed="12"/>
      <name val="Arial"/>
      <family val="2"/>
    </font>
    <font>
      <sz val="10"/>
      <name val="Arial"/>
      <family val="2"/>
    </font>
    <font>
      <sz val="10"/>
      <color indexed="8"/>
      <name val="Arial"/>
      <family val="2"/>
    </font>
    <font>
      <sz val="8"/>
      <name val="Arial"/>
      <family val="2"/>
    </font>
    <font>
      <vertAlign val="superscript"/>
      <sz val="10"/>
      <color indexed="8"/>
      <name val="Arial"/>
      <family val="2"/>
    </font>
    <font>
      <b/>
      <u/>
      <sz val="10"/>
      <name val="Arial"/>
      <family val="2"/>
    </font>
    <font>
      <b/>
      <sz val="10"/>
      <name val="Arial"/>
      <family val="2"/>
    </font>
    <font>
      <sz val="10"/>
      <name val="Arial"/>
      <family val="2"/>
    </font>
    <font>
      <sz val="10"/>
      <name val="Arial"/>
    </font>
    <font>
      <vertAlign val="superscript"/>
      <sz val="10"/>
      <name val="Arial"/>
      <family val="2"/>
    </font>
    <font>
      <vertAlign val="subscript"/>
      <sz val="10"/>
      <color indexed="8"/>
      <name val="Arial"/>
      <family val="2"/>
    </font>
    <font>
      <u/>
      <sz val="10"/>
      <color rgb="FF0000FF"/>
      <name val="Arial"/>
      <family val="2"/>
    </font>
    <font>
      <sz val="10"/>
      <color theme="1"/>
      <name val="Arial"/>
      <family val="2"/>
    </font>
    <font>
      <b/>
      <sz val="10"/>
      <color theme="1"/>
      <name val="Arial"/>
      <family val="2"/>
    </font>
    <font>
      <sz val="10"/>
      <color rgb="FF231F20"/>
      <name val="Arial"/>
      <family val="2"/>
    </font>
    <font>
      <b/>
      <sz val="10"/>
      <color rgb="FFC00000"/>
      <name val="Arial"/>
      <family val="2"/>
    </font>
    <font>
      <sz val="10"/>
      <color rgb="FFFF0000"/>
      <name val="Arial"/>
      <family val="2"/>
    </font>
    <font>
      <sz val="10"/>
      <color rgb="FF333333"/>
      <name val="Verdana"/>
      <family val="2"/>
    </font>
  </fonts>
  <fills count="2">
    <fill>
      <patternFill patternType="none"/>
    </fill>
    <fill>
      <patternFill patternType="gray125"/>
    </fill>
  </fills>
  <borders count="1">
    <border>
      <left/>
      <right/>
      <top/>
      <bottom/>
      <diagonal/>
    </border>
  </borders>
  <cellStyleXfs count="5">
    <xf numFmtId="0" fontId="0" fillId="0" borderId="0"/>
    <xf numFmtId="0" fontId="13"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4" fillId="0" borderId="0"/>
    <xf numFmtId="0" fontId="4" fillId="0" borderId="0"/>
  </cellStyleXfs>
  <cellXfs count="159">
    <xf numFmtId="0" fontId="0" fillId="0" borderId="0" xfId="0"/>
    <xf numFmtId="0" fontId="0" fillId="0" borderId="0" xfId="0" applyAlignment="1">
      <alignment wrapText="1"/>
    </xf>
    <xf numFmtId="0" fontId="1" fillId="0" borderId="0" xfId="0" applyFont="1" applyAlignment="1">
      <alignment horizontal="center"/>
    </xf>
    <xf numFmtId="0" fontId="0" fillId="0" borderId="0" xfId="0" applyAlignment="1">
      <alignment horizontal="center"/>
    </xf>
    <xf numFmtId="1" fontId="0" fillId="0" borderId="0" xfId="0" applyNumberFormat="1" applyAlignment="1">
      <alignment horizontal="center"/>
    </xf>
    <xf numFmtId="11" fontId="0" fillId="0" borderId="0" xfId="0" applyNumberFormat="1" applyAlignment="1">
      <alignment horizontal="center"/>
    </xf>
    <xf numFmtId="165" fontId="1" fillId="0" borderId="0" xfId="0" applyNumberFormat="1" applyFont="1" applyAlignment="1">
      <alignment horizontal="center"/>
    </xf>
    <xf numFmtId="0" fontId="1" fillId="0" borderId="0" xfId="0" applyFont="1"/>
    <xf numFmtId="0" fontId="3" fillId="0" borderId="0" xfId="0" applyFont="1" applyAlignment="1">
      <alignment horizontal="center"/>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3" fillId="0" borderId="0" xfId="0" applyFont="1" applyAlignment="1">
      <alignment vertical="center" wrapText="1"/>
    </xf>
    <xf numFmtId="49" fontId="1" fillId="0" borderId="0" xfId="0" applyNumberFormat="1" applyFont="1"/>
    <xf numFmtId="49" fontId="0" fillId="0" borderId="0" xfId="0" applyNumberFormat="1"/>
    <xf numFmtId="11" fontId="0" fillId="0" borderId="0" xfId="0" applyNumberFormat="1"/>
    <xf numFmtId="0" fontId="3" fillId="0" borderId="0" xfId="0" applyFont="1"/>
    <xf numFmtId="0" fontId="3" fillId="0" borderId="0" xfId="0" applyFont="1" applyAlignment="1" applyProtection="1">
      <alignment horizontal="left" vertical="center" wrapText="1"/>
      <protection locked="0"/>
    </xf>
    <xf numFmtId="0" fontId="3" fillId="0" borderId="0" xfId="0" applyFont="1" applyAlignment="1">
      <alignment wrapText="1"/>
    </xf>
    <xf numFmtId="0" fontId="3" fillId="0" borderId="0" xfId="0" applyFont="1" applyAlignment="1" applyProtection="1">
      <alignment vertical="center" wrapText="1" readingOrder="1"/>
      <protection locked="0"/>
    </xf>
    <xf numFmtId="0" fontId="1" fillId="0" borderId="0" xfId="0" applyFont="1" applyAlignment="1" applyProtection="1">
      <alignment vertical="center" wrapText="1"/>
      <protection locked="0"/>
    </xf>
    <xf numFmtId="2" fontId="3" fillId="0" borderId="0" xfId="0" applyNumberFormat="1" applyFont="1" applyAlignment="1">
      <alignment wrapText="1"/>
    </xf>
    <xf numFmtId="0" fontId="3" fillId="0" borderId="0" xfId="0" applyFont="1" applyAlignment="1">
      <alignment vertical="center"/>
    </xf>
    <xf numFmtId="0" fontId="1" fillId="0" borderId="0" xfId="0" applyFont="1" applyAlignment="1">
      <alignment wrapText="1"/>
    </xf>
    <xf numFmtId="49" fontId="3" fillId="0" borderId="0" xfId="0" applyNumberFormat="1" applyFont="1"/>
    <xf numFmtId="0" fontId="3" fillId="0" borderId="0" xfId="0" applyFont="1" applyAlignment="1">
      <alignment horizontal="left" wrapText="1"/>
    </xf>
    <xf numFmtId="49" fontId="14" fillId="0" borderId="0" xfId="0" applyNumberFormat="1" applyFont="1"/>
    <xf numFmtId="0" fontId="14" fillId="0" borderId="0" xfId="0" applyFont="1"/>
    <xf numFmtId="165" fontId="15" fillId="0" borderId="0" xfId="0" applyNumberFormat="1"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3" fillId="0" borderId="0" xfId="0" applyFont="1" applyAlignment="1">
      <alignment horizontal="left"/>
    </xf>
    <xf numFmtId="11" fontId="3" fillId="0" borderId="0" xfId="0" applyNumberFormat="1" applyFont="1" applyAlignment="1">
      <alignment horizontal="center"/>
    </xf>
    <xf numFmtId="0" fontId="7" fillId="0" borderId="0" xfId="0" applyFont="1"/>
    <xf numFmtId="0" fontId="3" fillId="0" borderId="0" xfId="0" applyFont="1" applyAlignment="1">
      <alignment vertical="top" wrapText="1" shrinkToFit="1"/>
    </xf>
    <xf numFmtId="165" fontId="14" fillId="0" borderId="0" xfId="0" applyNumberFormat="1" applyFont="1"/>
    <xf numFmtId="0" fontId="16" fillId="0" borderId="0" xfId="0" applyFont="1"/>
    <xf numFmtId="2" fontId="14" fillId="0" borderId="0" xfId="0" applyNumberFormat="1" applyFont="1" applyAlignment="1">
      <alignment horizontal="center"/>
    </xf>
    <xf numFmtId="166" fontId="14" fillId="0" borderId="0" xfId="0" applyNumberFormat="1" applyFont="1" applyAlignment="1">
      <alignment horizontal="center"/>
    </xf>
    <xf numFmtId="165" fontId="3" fillId="0" borderId="0" xfId="0" applyNumberFormat="1" applyFont="1" applyAlignment="1">
      <alignment horizontal="center"/>
    </xf>
    <xf numFmtId="2" fontId="0" fillId="0" borderId="0" xfId="0" applyNumberFormat="1"/>
    <xf numFmtId="2" fontId="1" fillId="0" borderId="0" xfId="0" applyNumberFormat="1" applyFont="1"/>
    <xf numFmtId="11" fontId="1" fillId="0" borderId="0" xfId="0" applyNumberFormat="1" applyFont="1"/>
    <xf numFmtId="2" fontId="17" fillId="0" borderId="0" xfId="0" applyNumberFormat="1" applyFont="1"/>
    <xf numFmtId="11" fontId="17" fillId="0" borderId="0" xfId="0" applyNumberFormat="1" applyFont="1"/>
    <xf numFmtId="0" fontId="17" fillId="0" borderId="0" xfId="0" applyFont="1"/>
    <xf numFmtId="2" fontId="3" fillId="0" borderId="0" xfId="0" applyNumberFormat="1" applyFont="1"/>
    <xf numFmtId="2" fontId="3" fillId="0" borderId="0" xfId="0" applyNumberFormat="1" applyFont="1" applyAlignment="1">
      <alignment horizontal="center"/>
    </xf>
    <xf numFmtId="49" fontId="14" fillId="0" borderId="0" xfId="0" applyNumberFormat="1" applyFont="1" applyAlignment="1">
      <alignment vertical="top"/>
    </xf>
    <xf numFmtId="49" fontId="14" fillId="0" borderId="0" xfId="0" applyNumberFormat="1" applyFont="1" applyAlignment="1">
      <alignment vertical="top" wrapText="1"/>
    </xf>
    <xf numFmtId="49" fontId="15" fillId="0" borderId="0" xfId="0" applyNumberFormat="1" applyFont="1" applyAlignment="1">
      <alignment horizontal="center"/>
    </xf>
    <xf numFmtId="49" fontId="15" fillId="0" borderId="0" xfId="0" applyNumberFormat="1" applyFont="1"/>
    <xf numFmtId="0" fontId="8" fillId="0" borderId="0" xfId="0" applyFont="1" applyAlignment="1">
      <alignment horizontal="center"/>
    </xf>
    <xf numFmtId="165" fontId="8" fillId="0" borderId="0" xfId="0" applyNumberFormat="1" applyFont="1" applyAlignment="1">
      <alignment horizontal="center"/>
    </xf>
    <xf numFmtId="49" fontId="15" fillId="0" borderId="0" xfId="4" applyNumberFormat="1" applyFont="1" applyAlignment="1">
      <alignment horizontal="center"/>
    </xf>
    <xf numFmtId="0" fontId="9" fillId="0" borderId="0" xfId="0" applyFont="1" applyAlignment="1">
      <alignment horizontal="center"/>
    </xf>
    <xf numFmtId="0" fontId="9" fillId="0" borderId="0" xfId="0" applyFont="1"/>
    <xf numFmtId="0" fontId="10" fillId="0" borderId="0" xfId="0" applyFont="1" applyAlignment="1">
      <alignment horizontal="center"/>
    </xf>
    <xf numFmtId="1" fontId="15" fillId="0" borderId="0" xfId="0" applyNumberFormat="1" applyFont="1" applyAlignment="1">
      <alignment horizontal="center"/>
    </xf>
    <xf numFmtId="165" fontId="14" fillId="0" borderId="0" xfId="0" applyNumberFormat="1" applyFont="1" applyAlignment="1">
      <alignment horizontal="center"/>
    </xf>
    <xf numFmtId="49" fontId="14" fillId="0" borderId="0" xfId="0" applyNumberFormat="1" applyFont="1" applyAlignment="1">
      <alignment horizontal="center"/>
    </xf>
    <xf numFmtId="49" fontId="8" fillId="0" borderId="0" xfId="0" applyNumberFormat="1" applyFont="1" applyAlignment="1">
      <alignment horizontal="center"/>
    </xf>
    <xf numFmtId="11" fontId="14" fillId="0" borderId="0" xfId="0" applyNumberFormat="1" applyFont="1" applyAlignment="1">
      <alignment horizontal="center"/>
    </xf>
    <xf numFmtId="1" fontId="14" fillId="0" borderId="0" xfId="0" applyNumberFormat="1" applyFont="1" applyAlignment="1">
      <alignment horizontal="center"/>
    </xf>
    <xf numFmtId="11" fontId="15" fillId="0" borderId="0" xfId="0" applyNumberFormat="1" applyFont="1"/>
    <xf numFmtId="11" fontId="9" fillId="0" borderId="0" xfId="0" applyNumberFormat="1" applyFont="1" applyAlignment="1">
      <alignment horizontal="center"/>
    </xf>
    <xf numFmtId="2" fontId="9" fillId="0" borderId="0" xfId="0" applyNumberFormat="1" applyFont="1" applyAlignment="1">
      <alignment horizontal="center"/>
    </xf>
    <xf numFmtId="165" fontId="9" fillId="0" borderId="0" xfId="0" applyNumberFormat="1" applyFont="1" applyAlignment="1">
      <alignment horizontal="center"/>
    </xf>
    <xf numFmtId="0" fontId="14" fillId="0" borderId="0" xfId="0" applyFont="1" applyAlignment="1">
      <alignment horizontal="left"/>
    </xf>
    <xf numFmtId="0" fontId="14" fillId="0" borderId="0" xfId="0" applyFont="1" applyAlignment="1">
      <alignment horizontal="right"/>
    </xf>
    <xf numFmtId="11" fontId="14" fillId="0" borderId="0" xfId="0" applyNumberFormat="1" applyFont="1" applyAlignment="1">
      <alignment horizontal="left"/>
    </xf>
    <xf numFmtId="0" fontId="14" fillId="0" borderId="0" xfId="0" applyFont="1" applyAlignment="1">
      <alignment horizontal="fill"/>
    </xf>
    <xf numFmtId="1" fontId="15" fillId="0" borderId="0" xfId="3" applyNumberFormat="1" applyFont="1" applyAlignment="1">
      <alignment horizontal="center"/>
    </xf>
    <xf numFmtId="165" fontId="14" fillId="0" borderId="0" xfId="3" applyNumberFormat="1" applyFont="1" applyAlignment="1">
      <alignment horizontal="left"/>
    </xf>
    <xf numFmtId="49" fontId="14" fillId="0" borderId="0" xfId="3" applyNumberFormat="1" applyFont="1" applyAlignment="1">
      <alignment horizontal="center"/>
    </xf>
    <xf numFmtId="1" fontId="14" fillId="0" borderId="0" xfId="3" applyNumberFormat="1" applyFont="1" applyAlignment="1">
      <alignment horizontal="center"/>
    </xf>
    <xf numFmtId="165" fontId="14" fillId="0" borderId="0" xfId="3" applyNumberFormat="1" applyFont="1" applyAlignment="1">
      <alignment horizontal="center"/>
    </xf>
    <xf numFmtId="0" fontId="14" fillId="0" borderId="0" xfId="3" applyFont="1" applyAlignment="1">
      <alignment horizontal="left"/>
    </xf>
    <xf numFmtId="0" fontId="14" fillId="0" borderId="0" xfId="3" applyFont="1" applyAlignment="1">
      <alignment horizontal="center"/>
    </xf>
    <xf numFmtId="11" fontId="14" fillId="0" borderId="0" xfId="0" applyNumberFormat="1" applyFont="1"/>
    <xf numFmtId="0" fontId="14" fillId="0" borderId="0" xfId="0" quotePrefix="1" applyFont="1"/>
    <xf numFmtId="1" fontId="8" fillId="0" borderId="0" xfId="0" applyNumberFormat="1" applyFont="1" applyAlignment="1">
      <alignment horizontal="center"/>
    </xf>
    <xf numFmtId="1" fontId="9" fillId="0" borderId="0" xfId="0" applyNumberFormat="1" applyFont="1" applyAlignment="1">
      <alignment horizontal="center"/>
    </xf>
    <xf numFmtId="2" fontId="10" fillId="0" borderId="0" xfId="0" applyNumberFormat="1" applyFont="1" applyAlignment="1">
      <alignment horizontal="center"/>
    </xf>
    <xf numFmtId="0" fontId="9" fillId="0" borderId="0" xfId="0" quotePrefix="1" applyFont="1"/>
    <xf numFmtId="0" fontId="10" fillId="0" borderId="0" xfId="0" applyFont="1" applyAlignment="1">
      <alignment horizontal="left"/>
    </xf>
    <xf numFmtId="165" fontId="10" fillId="0" borderId="0" xfId="0" applyNumberFormat="1" applyFont="1" applyAlignment="1">
      <alignment horizontal="center"/>
    </xf>
    <xf numFmtId="0" fontId="10" fillId="0" borderId="0" xfId="0" applyFont="1"/>
    <xf numFmtId="11" fontId="10" fillId="0" borderId="0" xfId="0" applyNumberFormat="1" applyFont="1" applyAlignment="1">
      <alignment horizontal="center"/>
    </xf>
    <xf numFmtId="0" fontId="9" fillId="0" borderId="0" xfId="0" quotePrefix="1" applyFont="1" applyAlignment="1">
      <alignment horizontal="center"/>
    </xf>
    <xf numFmtId="49" fontId="9" fillId="0" borderId="0" xfId="0" applyNumberFormat="1" applyFont="1" applyAlignment="1">
      <alignment horizontal="center"/>
    </xf>
    <xf numFmtId="166" fontId="9" fillId="0" borderId="0" xfId="0" applyNumberFormat="1" applyFont="1" applyAlignment="1">
      <alignment horizontal="center"/>
    </xf>
    <xf numFmtId="0" fontId="14" fillId="0" borderId="0" xfId="0" quotePrefix="1" applyFont="1" applyAlignment="1">
      <alignment horizontal="center"/>
    </xf>
    <xf numFmtId="1" fontId="10" fillId="0" borderId="0" xfId="0" applyNumberFormat="1" applyFont="1" applyAlignment="1">
      <alignment horizontal="center"/>
    </xf>
    <xf numFmtId="164" fontId="10" fillId="0" borderId="0" xfId="0" applyNumberFormat="1" applyFont="1" applyAlignment="1">
      <alignment horizontal="left"/>
    </xf>
    <xf numFmtId="11" fontId="10" fillId="0" borderId="0" xfId="0" applyNumberFormat="1" applyFont="1" applyAlignment="1">
      <alignment horizontal="left"/>
    </xf>
    <xf numFmtId="0" fontId="9" fillId="0" borderId="0" xfId="0" applyFont="1" applyAlignment="1">
      <alignment horizontal="right"/>
    </xf>
    <xf numFmtId="0" fontId="10" fillId="0" borderId="0" xfId="0" quotePrefix="1" applyFont="1"/>
    <xf numFmtId="0" fontId="18" fillId="0" borderId="0" xfId="0" applyFont="1"/>
    <xf numFmtId="0" fontId="9" fillId="0" borderId="0" xfId="0" quotePrefix="1" applyFont="1" applyAlignment="1">
      <alignment horizontal="left" vertical="top"/>
    </xf>
    <xf numFmtId="1" fontId="14" fillId="0" borderId="0" xfId="0" applyNumberFormat="1" applyFont="1" applyAlignment="1">
      <alignment horizontal="right"/>
    </xf>
    <xf numFmtId="0" fontId="9" fillId="0" borderId="0" xfId="0" applyFont="1" applyAlignment="1">
      <alignment horizontal="left"/>
    </xf>
    <xf numFmtId="164" fontId="9" fillId="0" borderId="0" xfId="0" applyNumberFormat="1" applyFont="1"/>
    <xf numFmtId="165" fontId="14" fillId="0" borderId="0" xfId="0" applyNumberFormat="1" applyFont="1" applyAlignment="1">
      <alignment horizontal="right"/>
    </xf>
    <xf numFmtId="166" fontId="10" fillId="0" borderId="0" xfId="0" applyNumberFormat="1" applyFont="1" applyAlignment="1">
      <alignment horizontal="center"/>
    </xf>
    <xf numFmtId="49" fontId="10" fillId="0" borderId="0" xfId="0" applyNumberFormat="1" applyFont="1" applyAlignment="1">
      <alignment horizontal="center"/>
    </xf>
    <xf numFmtId="165" fontId="8" fillId="0" borderId="0" xfId="0" applyNumberFormat="1" applyFont="1" applyAlignment="1">
      <alignment horizontal="right"/>
    </xf>
    <xf numFmtId="2" fontId="14" fillId="0" borderId="0" xfId="0" applyNumberFormat="1" applyFont="1" applyAlignment="1">
      <alignment horizontal="right"/>
    </xf>
    <xf numFmtId="165" fontId="3" fillId="0" borderId="0" xfId="0" applyNumberFormat="1" applyFont="1" applyAlignment="1">
      <alignment horizontal="right"/>
    </xf>
    <xf numFmtId="1" fontId="3" fillId="0" borderId="0" xfId="0" applyNumberFormat="1" applyFont="1" applyAlignment="1">
      <alignment horizontal="right"/>
    </xf>
    <xf numFmtId="11" fontId="15" fillId="0" borderId="0" xfId="0" applyNumberFormat="1" applyFont="1" applyAlignment="1">
      <alignment horizontal="center"/>
    </xf>
    <xf numFmtId="11" fontId="15" fillId="0" borderId="0" xfId="4" applyNumberFormat="1" applyFont="1" applyAlignment="1">
      <alignment horizontal="center"/>
    </xf>
    <xf numFmtId="11" fontId="3" fillId="0" borderId="0" xfId="0" applyNumberFormat="1" applyFont="1" applyAlignment="1">
      <alignment horizontal="left"/>
    </xf>
    <xf numFmtId="164" fontId="3" fillId="0" borderId="0" xfId="0" applyNumberFormat="1" applyFont="1" applyAlignment="1">
      <alignment horizontal="left"/>
    </xf>
    <xf numFmtId="1" fontId="3" fillId="0" borderId="0" xfId="0" applyNumberFormat="1" applyFont="1" applyAlignment="1">
      <alignment horizontal="center"/>
    </xf>
    <xf numFmtId="0" fontId="0" fillId="0" borderId="0" xfId="0" applyAlignment="1">
      <alignment horizontal="left"/>
    </xf>
    <xf numFmtId="1" fontId="10" fillId="0" borderId="0" xfId="0" applyNumberFormat="1" applyFont="1" applyAlignment="1">
      <alignment horizontal="right"/>
    </xf>
    <xf numFmtId="0" fontId="10" fillId="0" borderId="0" xfId="0" applyFont="1" applyAlignment="1">
      <alignment horizontal="right"/>
    </xf>
    <xf numFmtId="11" fontId="3" fillId="0" borderId="0" xfId="0" applyNumberFormat="1" applyFont="1"/>
    <xf numFmtId="2" fontId="15" fillId="0" borderId="0" xfId="0" applyNumberFormat="1" applyFont="1" applyAlignment="1">
      <alignment horizontal="center"/>
    </xf>
    <xf numFmtId="164" fontId="0" fillId="0" borderId="0" xfId="0" applyNumberFormat="1" applyAlignment="1">
      <alignment horizontal="left"/>
    </xf>
    <xf numFmtId="169" fontId="10" fillId="0" borderId="0" xfId="0" applyNumberFormat="1" applyFont="1" applyAlignment="1">
      <alignment horizontal="center"/>
    </xf>
    <xf numFmtId="168" fontId="10" fillId="0" borderId="0" xfId="0" applyNumberFormat="1" applyFont="1"/>
    <xf numFmtId="11" fontId="0" fillId="0" borderId="0" xfId="0" applyNumberFormat="1" applyAlignment="1">
      <alignment horizontal="left"/>
    </xf>
    <xf numFmtId="49" fontId="14" fillId="0" borderId="0" xfId="0" applyNumberFormat="1" applyFont="1" applyAlignment="1">
      <alignment horizontal="left"/>
    </xf>
    <xf numFmtId="164" fontId="14" fillId="0" borderId="0" xfId="0" applyNumberFormat="1" applyFont="1" applyAlignment="1">
      <alignment horizontal="left"/>
    </xf>
    <xf numFmtId="49" fontId="14" fillId="0" borderId="0" xfId="3" applyNumberFormat="1" applyFont="1" applyAlignment="1">
      <alignment horizontal="left"/>
    </xf>
    <xf numFmtId="0" fontId="14" fillId="0" borderId="0" xfId="0" applyFont="1" applyAlignment="1" applyProtection="1">
      <alignment horizontal="left"/>
      <protection locked="0"/>
    </xf>
    <xf numFmtId="164" fontId="14" fillId="0" borderId="0" xfId="0" applyNumberFormat="1" applyFont="1"/>
    <xf numFmtId="0" fontId="19" fillId="0" borderId="0" xfId="0" applyFont="1"/>
    <xf numFmtId="0" fontId="3" fillId="0" borderId="0" xfId="0" quotePrefix="1" applyFont="1"/>
    <xf numFmtId="0" fontId="3" fillId="0" borderId="0" xfId="0" quotePrefix="1" applyFont="1" applyAlignment="1">
      <alignment horizontal="left" vertical="center"/>
    </xf>
    <xf numFmtId="0" fontId="0" fillId="0" borderId="0" xfId="0" quotePrefix="1"/>
    <xf numFmtId="0" fontId="3" fillId="0" borderId="0" xfId="0" quotePrefix="1" applyFont="1" applyAlignment="1">
      <alignment horizontal="left"/>
    </xf>
    <xf numFmtId="164" fontId="3" fillId="0" borderId="0" xfId="0" applyNumberFormat="1" applyFont="1"/>
    <xf numFmtId="0" fontId="14" fillId="0" borderId="0" xfId="0" applyFont="1" applyAlignment="1" applyProtection="1">
      <alignment readingOrder="1"/>
      <protection locked="0"/>
    </xf>
    <xf numFmtId="0" fontId="14" fillId="0" borderId="0" xfId="0" applyFont="1" applyAlignment="1">
      <alignment readingOrder="1"/>
    </xf>
    <xf numFmtId="165" fontId="18" fillId="0" borderId="0" xfId="0" applyNumberFormat="1" applyFont="1" applyAlignment="1">
      <alignment horizontal="center"/>
    </xf>
    <xf numFmtId="165" fontId="0" fillId="0" borderId="0" xfId="0" applyNumberFormat="1" applyAlignment="1">
      <alignment horizontal="center"/>
    </xf>
    <xf numFmtId="49" fontId="10" fillId="0" borderId="0" xfId="0" applyNumberFormat="1" applyFont="1" applyAlignment="1">
      <alignment horizontal="left"/>
    </xf>
    <xf numFmtId="49" fontId="9" fillId="0" borderId="0" xfId="0" quotePrefix="1" applyNumberFormat="1" applyFont="1" applyAlignment="1">
      <alignment horizontal="left" vertical="top"/>
    </xf>
    <xf numFmtId="49" fontId="9" fillId="0" borderId="0" xfId="0" applyNumberFormat="1" applyFont="1" applyAlignment="1">
      <alignment horizontal="left"/>
    </xf>
    <xf numFmtId="49" fontId="0" fillId="0" borderId="0" xfId="0" applyNumberFormat="1" applyAlignment="1">
      <alignment horizontal="left"/>
    </xf>
    <xf numFmtId="49" fontId="3" fillId="0" borderId="0" xfId="0" applyNumberFormat="1" applyFont="1" applyAlignment="1">
      <alignment horizontal="left"/>
    </xf>
    <xf numFmtId="49" fontId="14" fillId="0" borderId="0" xfId="0" quotePrefix="1" applyNumberFormat="1" applyFont="1" applyAlignment="1">
      <alignment horizontal="left"/>
    </xf>
    <xf numFmtId="49" fontId="9" fillId="0" borderId="0" xfId="0" quotePrefix="1" applyNumberFormat="1" applyFont="1" applyAlignment="1">
      <alignment horizontal="left"/>
    </xf>
    <xf numFmtId="49" fontId="10" fillId="0" borderId="0" xfId="0" quotePrefix="1" applyNumberFormat="1" applyFont="1" applyAlignment="1">
      <alignment horizontal="left"/>
    </xf>
    <xf numFmtId="49" fontId="2" fillId="0" borderId="0" xfId="2" applyNumberFormat="1" applyFill="1" applyBorder="1" applyAlignment="1" applyProtection="1">
      <alignment horizontal="left"/>
    </xf>
    <xf numFmtId="0" fontId="2" fillId="0" borderId="0" xfId="2" applyFill="1" applyBorder="1" applyAlignment="1" applyProtection="1"/>
    <xf numFmtId="49" fontId="3" fillId="0" borderId="0" xfId="0" quotePrefix="1" applyNumberFormat="1" applyFont="1" applyAlignment="1">
      <alignment horizontal="left"/>
    </xf>
    <xf numFmtId="166" fontId="3" fillId="0" borderId="0" xfId="0" applyNumberFormat="1" applyFont="1" applyAlignment="1">
      <alignment horizontal="center"/>
    </xf>
    <xf numFmtId="1" fontId="1" fillId="0" borderId="0" xfId="0" applyNumberFormat="1" applyFont="1" applyAlignment="1">
      <alignment horizontal="center"/>
    </xf>
    <xf numFmtId="165" fontId="10" fillId="0" borderId="0" xfId="0" applyNumberFormat="1" applyFont="1"/>
    <xf numFmtId="167" fontId="9" fillId="0" borderId="0" xfId="0" applyNumberFormat="1" applyFont="1" applyAlignment="1">
      <alignment horizontal="center"/>
    </xf>
    <xf numFmtId="169" fontId="3" fillId="0" borderId="0" xfId="0" applyNumberFormat="1" applyFont="1" applyAlignment="1">
      <alignment horizontal="center"/>
    </xf>
    <xf numFmtId="11" fontId="3" fillId="0" borderId="0" xfId="0" applyNumberFormat="1" applyFont="1" applyAlignment="1">
      <alignment horizontal="left" vertical="top"/>
    </xf>
    <xf numFmtId="0" fontId="10" fillId="0" borderId="0" xfId="0" applyFont="1" applyAlignment="1">
      <alignment horizontal="center" vertical="top"/>
    </xf>
    <xf numFmtId="164" fontId="10" fillId="0" borderId="0" xfId="0" applyNumberFormat="1" applyFont="1"/>
  </cellXfs>
  <cellStyles count="5">
    <cellStyle name="Followed Hyperlink" xfId="1" builtinId="9" customBuiltin="1"/>
    <cellStyle name="Hyperlink" xfId="2" builtinId="8"/>
    <cellStyle name="Normal" xfId="0" builtinId="0"/>
    <cellStyle name="Normal_Sheet1" xfId="3" xr:uid="{00000000-0005-0000-0000-000003000000}"/>
    <cellStyle name="Normal_Sheet4" xfId="4" xr:uid="{00000000-0005-0000-0000-000004000000}"/>
  </cellStyles>
  <dxfs count="6">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dxf>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4.xml"/><Relationship Id="rId3" Type="http://schemas.openxmlformats.org/officeDocument/2006/relationships/worksheet" Target="worksheets/sheet3.xml"/><Relationship Id="rId7" Type="http://schemas.openxmlformats.org/officeDocument/2006/relationships/chartsheet" Target="chart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sharedStrings" Target="sharedStrings.xml"/><Relationship Id="rId5" Type="http://schemas.openxmlformats.org/officeDocument/2006/relationships/chartsheet" Target="chartsheets/sheet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805777191280616"/>
          <c:y val="4.2414355628058731E-2"/>
          <c:w val="0.79837217906030333"/>
          <c:h val="0.77270255573681346"/>
        </c:manualLayout>
      </c:layout>
      <c:scatterChart>
        <c:scatterStyle val="lineMarker"/>
        <c:varyColors val="0"/>
        <c:ser>
          <c:idx val="3"/>
          <c:order val="0"/>
          <c:tx>
            <c:v>ISSCC 2025</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F3A9-4B4D-917F-4EAEF3A346FC}"/>
              </c:ext>
            </c:extLst>
          </c:dPt>
          <c:xVal>
            <c:numRef>
              <c:f>ISSCC!$X$429:$X$447</c:f>
              <c:numCache>
                <c:formatCode>0.0</c:formatCode>
                <c:ptCount val="19"/>
                <c:pt idx="0">
                  <c:v>34.409999999999997</c:v>
                </c:pt>
                <c:pt idx="1">
                  <c:v>82</c:v>
                </c:pt>
                <c:pt idx="2">
                  <c:v>91.81</c:v>
                </c:pt>
                <c:pt idx="3">
                  <c:v>120.6</c:v>
                </c:pt>
                <c:pt idx="4">
                  <c:v>99.6</c:v>
                </c:pt>
                <c:pt idx="5">
                  <c:v>93.3</c:v>
                </c:pt>
                <c:pt idx="6">
                  <c:v>92.5</c:v>
                </c:pt>
                <c:pt idx="7">
                  <c:v>82.9</c:v>
                </c:pt>
                <c:pt idx="8">
                  <c:v>79.400000000000006</c:v>
                </c:pt>
                <c:pt idx="9">
                  <c:v>70.099999999999994</c:v>
                </c:pt>
                <c:pt idx="10">
                  <c:v>40.74</c:v>
                </c:pt>
                <c:pt idx="11">
                  <c:v>58.8</c:v>
                </c:pt>
                <c:pt idx="12">
                  <c:v>68.2</c:v>
                </c:pt>
                <c:pt idx="13">
                  <c:v>45.8</c:v>
                </c:pt>
                <c:pt idx="14">
                  <c:v>49.3</c:v>
                </c:pt>
                <c:pt idx="15">
                  <c:v>41.9</c:v>
                </c:pt>
                <c:pt idx="16">
                  <c:v>47</c:v>
                </c:pt>
                <c:pt idx="17">
                  <c:v>41.7</c:v>
                </c:pt>
                <c:pt idx="18">
                  <c:v>48.1</c:v>
                </c:pt>
              </c:numCache>
            </c:numRef>
          </c:xVal>
          <c:yVal>
            <c:numRef>
              <c:f>ISSCC!$AD$429:$AD$447</c:f>
              <c:numCache>
                <c:formatCode>0.00E+00</c:formatCode>
                <c:ptCount val="19"/>
                <c:pt idx="0">
                  <c:v>1.1076923076923078</c:v>
                </c:pt>
                <c:pt idx="1">
                  <c:v>177.5</c:v>
                </c:pt>
                <c:pt idx="2">
                  <c:v>2310</c:v>
                </c:pt>
                <c:pt idx="3">
                  <c:v>69500</c:v>
                </c:pt>
                <c:pt idx="4">
                  <c:v>1525</c:v>
                </c:pt>
                <c:pt idx="5">
                  <c:v>982.01600000000008</c:v>
                </c:pt>
                <c:pt idx="6">
                  <c:v>292.0625</c:v>
                </c:pt>
                <c:pt idx="7">
                  <c:v>230</c:v>
                </c:pt>
                <c:pt idx="8">
                  <c:v>101.25</c:v>
                </c:pt>
                <c:pt idx="9">
                  <c:v>30.4375</c:v>
                </c:pt>
                <c:pt idx="10">
                  <c:v>3.6125000000000003</c:v>
                </c:pt>
                <c:pt idx="11">
                  <c:v>10.833333333333334</c:v>
                </c:pt>
                <c:pt idx="12">
                  <c:v>15.299999999999999</c:v>
                </c:pt>
                <c:pt idx="13">
                  <c:v>3.1363636363636362</c:v>
                </c:pt>
                <c:pt idx="14">
                  <c:v>7.6333333333333337</c:v>
                </c:pt>
                <c:pt idx="15">
                  <c:v>5.4624999999999995</c:v>
                </c:pt>
                <c:pt idx="16">
                  <c:v>35.625</c:v>
                </c:pt>
                <c:pt idx="17">
                  <c:v>2.19</c:v>
                </c:pt>
                <c:pt idx="18">
                  <c:v>13.333333333333334</c:v>
                </c:pt>
              </c:numCache>
            </c:numRef>
          </c:yVal>
          <c:smooth val="0"/>
          <c:extLst>
            <c:ext xmlns:c16="http://schemas.microsoft.com/office/drawing/2014/chart" uri="{C3380CC4-5D6E-409C-BE32-E72D297353CC}">
              <c16:uniqueId val="{00000002-F3A9-4B4D-917F-4EAEF3A346FC}"/>
            </c:ext>
          </c:extLst>
        </c:ser>
        <c:ser>
          <c:idx val="4"/>
          <c:order val="1"/>
          <c:tx>
            <c:v>VLSI 2025</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F3A9-4B4D-917F-4EAEF3A346FC}"/>
              </c:ext>
            </c:extLst>
          </c:dPt>
          <c:xVal>
            <c:numRef>
              <c:f>VLSI!$X$281:$X$294</c:f>
              <c:numCache>
                <c:formatCode>0.0</c:formatCode>
                <c:ptCount val="14"/>
                <c:pt idx="0">
                  <c:v>59.7</c:v>
                </c:pt>
                <c:pt idx="1">
                  <c:v>74.5</c:v>
                </c:pt>
                <c:pt idx="2">
                  <c:v>48.7</c:v>
                </c:pt>
                <c:pt idx="3">
                  <c:v>72.14</c:v>
                </c:pt>
                <c:pt idx="4">
                  <c:v>33.18</c:v>
                </c:pt>
                <c:pt idx="5">
                  <c:v>62.3</c:v>
                </c:pt>
                <c:pt idx="6">
                  <c:v>35.299999999999997</c:v>
                </c:pt>
                <c:pt idx="7">
                  <c:v>58.8</c:v>
                </c:pt>
                <c:pt idx="8">
                  <c:v>86.7</c:v>
                </c:pt>
                <c:pt idx="9">
                  <c:v>88.8</c:v>
                </c:pt>
                <c:pt idx="10">
                  <c:v>91.2</c:v>
                </c:pt>
                <c:pt idx="11">
                  <c:v>83.8</c:v>
                </c:pt>
                <c:pt idx="12">
                  <c:v>91.2</c:v>
                </c:pt>
                <c:pt idx="13">
                  <c:v>80.099999999999994</c:v>
                </c:pt>
              </c:numCache>
            </c:numRef>
          </c:xVal>
          <c:yVal>
            <c:numRef>
              <c:f>VLSI!$AD$281:$AD$294</c:f>
              <c:numCache>
                <c:formatCode>0.00E+00</c:formatCode>
                <c:ptCount val="14"/>
                <c:pt idx="0">
                  <c:v>9.6571428571428566</c:v>
                </c:pt>
                <c:pt idx="1">
                  <c:v>247.50000000000003</c:v>
                </c:pt>
                <c:pt idx="2">
                  <c:v>5.99</c:v>
                </c:pt>
                <c:pt idx="3">
                  <c:v>17.428571428571427</c:v>
                </c:pt>
                <c:pt idx="4">
                  <c:v>2.9043478260869562</c:v>
                </c:pt>
                <c:pt idx="5">
                  <c:v>41.803333333333335</c:v>
                </c:pt>
                <c:pt idx="6">
                  <c:v>1.2249999999999999</c:v>
                </c:pt>
                <c:pt idx="7">
                  <c:v>1.46</c:v>
                </c:pt>
                <c:pt idx="8">
                  <c:v>590</c:v>
                </c:pt>
                <c:pt idx="9">
                  <c:v>191.66666666666666</c:v>
                </c:pt>
                <c:pt idx="10">
                  <c:v>784</c:v>
                </c:pt>
                <c:pt idx="11">
                  <c:v>362.40000000000003</c:v>
                </c:pt>
                <c:pt idx="12">
                  <c:v>793</c:v>
                </c:pt>
                <c:pt idx="13">
                  <c:v>185</c:v>
                </c:pt>
              </c:numCache>
            </c:numRef>
          </c:yVal>
          <c:smooth val="0"/>
          <c:extLst>
            <c:ext xmlns:c16="http://schemas.microsoft.com/office/drawing/2014/chart" uri="{C3380CC4-5D6E-409C-BE32-E72D297353CC}">
              <c16:uniqueId val="{00000005-F3A9-4B4D-917F-4EAEF3A346FC}"/>
            </c:ext>
          </c:extLst>
        </c:ser>
        <c:ser>
          <c:idx val="0"/>
          <c:order val="2"/>
          <c:tx>
            <c:v>ISSCC 1997-2024</c:v>
          </c:tx>
          <c:spPr>
            <a:ln w="28575">
              <a:noFill/>
            </a:ln>
          </c:spPr>
          <c:marker>
            <c:symbol val="circle"/>
            <c:size val="7"/>
            <c:spPr>
              <a:noFill/>
              <a:ln>
                <a:solidFill>
                  <a:srgbClr val="000000"/>
                </a:solidFill>
                <a:prstDash val="solid"/>
              </a:ln>
            </c:spPr>
          </c:marker>
          <c:xVal>
            <c:numRef>
              <c:f>ISSCC!$X$2:$X$428</c:f>
              <c:numCache>
                <c:formatCode>0.0</c:formatCode>
                <c:ptCount val="427"/>
                <c:pt idx="0">
                  <c:v>56.541999999999994</c:v>
                </c:pt>
                <c:pt idx="1">
                  <c:v>64</c:v>
                </c:pt>
                <c:pt idx="2">
                  <c:v>53.531999999999989</c:v>
                </c:pt>
                <c:pt idx="3">
                  <c:v>58.4</c:v>
                </c:pt>
                <c:pt idx="4">
                  <c:v>84.9</c:v>
                </c:pt>
                <c:pt idx="5">
                  <c:v>89</c:v>
                </c:pt>
                <c:pt idx="6">
                  <c:v>81</c:v>
                </c:pt>
                <c:pt idx="7">
                  <c:v>75</c:v>
                </c:pt>
                <c:pt idx="8">
                  <c:v>44.1</c:v>
                </c:pt>
                <c:pt idx="9">
                  <c:v>62</c:v>
                </c:pt>
                <c:pt idx="10">
                  <c:v>110</c:v>
                </c:pt>
                <c:pt idx="11">
                  <c:v>96</c:v>
                </c:pt>
                <c:pt idx="12">
                  <c:v>75</c:v>
                </c:pt>
                <c:pt idx="13">
                  <c:v>62</c:v>
                </c:pt>
                <c:pt idx="14">
                  <c:v>65.400000000000006</c:v>
                </c:pt>
                <c:pt idx="15">
                  <c:v>55</c:v>
                </c:pt>
                <c:pt idx="16">
                  <c:v>58</c:v>
                </c:pt>
                <c:pt idx="17">
                  <c:v>67</c:v>
                </c:pt>
                <c:pt idx="18">
                  <c:v>43.3</c:v>
                </c:pt>
                <c:pt idx="19">
                  <c:v>31</c:v>
                </c:pt>
                <c:pt idx="20">
                  <c:v>29.2</c:v>
                </c:pt>
                <c:pt idx="21">
                  <c:v>88</c:v>
                </c:pt>
                <c:pt idx="22">
                  <c:v>84</c:v>
                </c:pt>
                <c:pt idx="23">
                  <c:v>71</c:v>
                </c:pt>
                <c:pt idx="24">
                  <c:v>63.5</c:v>
                </c:pt>
                <c:pt idx="25">
                  <c:v>66</c:v>
                </c:pt>
                <c:pt idx="26">
                  <c:v>71</c:v>
                </c:pt>
                <c:pt idx="27">
                  <c:v>48.715999999999994</c:v>
                </c:pt>
                <c:pt idx="28">
                  <c:v>54.133999999999993</c:v>
                </c:pt>
                <c:pt idx="29">
                  <c:v>58.7</c:v>
                </c:pt>
                <c:pt idx="30">
                  <c:v>34.869999999999997</c:v>
                </c:pt>
                <c:pt idx="31">
                  <c:v>27.5</c:v>
                </c:pt>
                <c:pt idx="32">
                  <c:v>75</c:v>
                </c:pt>
                <c:pt idx="33">
                  <c:v>66</c:v>
                </c:pt>
                <c:pt idx="34">
                  <c:v>70</c:v>
                </c:pt>
                <c:pt idx="35">
                  <c:v>64</c:v>
                </c:pt>
                <c:pt idx="36">
                  <c:v>44.3</c:v>
                </c:pt>
                <c:pt idx="37">
                  <c:v>73.099999999999994</c:v>
                </c:pt>
                <c:pt idx="38">
                  <c:v>89</c:v>
                </c:pt>
                <c:pt idx="39">
                  <c:v>84</c:v>
                </c:pt>
                <c:pt idx="40">
                  <c:v>77</c:v>
                </c:pt>
                <c:pt idx="41">
                  <c:v>70</c:v>
                </c:pt>
                <c:pt idx="42">
                  <c:v>51</c:v>
                </c:pt>
                <c:pt idx="43">
                  <c:v>84</c:v>
                </c:pt>
                <c:pt idx="44">
                  <c:v>87</c:v>
                </c:pt>
                <c:pt idx="45">
                  <c:v>35</c:v>
                </c:pt>
                <c:pt idx="46">
                  <c:v>35.772999999999996</c:v>
                </c:pt>
                <c:pt idx="47">
                  <c:v>57.12</c:v>
                </c:pt>
                <c:pt idx="48">
                  <c:v>67</c:v>
                </c:pt>
                <c:pt idx="49">
                  <c:v>72.8</c:v>
                </c:pt>
                <c:pt idx="50">
                  <c:v>74</c:v>
                </c:pt>
                <c:pt idx="51">
                  <c:v>39.083999999999996</c:v>
                </c:pt>
                <c:pt idx="52">
                  <c:v>31.86</c:v>
                </c:pt>
                <c:pt idx="53">
                  <c:v>36</c:v>
                </c:pt>
                <c:pt idx="54">
                  <c:v>56.8</c:v>
                </c:pt>
                <c:pt idx="55">
                  <c:v>54</c:v>
                </c:pt>
                <c:pt idx="56">
                  <c:v>55</c:v>
                </c:pt>
                <c:pt idx="57">
                  <c:v>56.2</c:v>
                </c:pt>
                <c:pt idx="58">
                  <c:v>81</c:v>
                </c:pt>
                <c:pt idx="59">
                  <c:v>48</c:v>
                </c:pt>
                <c:pt idx="60">
                  <c:v>82</c:v>
                </c:pt>
                <c:pt idx="61">
                  <c:v>70</c:v>
                </c:pt>
                <c:pt idx="62">
                  <c:v>88</c:v>
                </c:pt>
                <c:pt idx="63">
                  <c:v>49</c:v>
                </c:pt>
                <c:pt idx="64">
                  <c:v>33</c:v>
                </c:pt>
                <c:pt idx="65">
                  <c:v>67</c:v>
                </c:pt>
                <c:pt idx="66">
                  <c:v>68.2</c:v>
                </c:pt>
                <c:pt idx="67">
                  <c:v>70</c:v>
                </c:pt>
                <c:pt idx="68">
                  <c:v>79</c:v>
                </c:pt>
                <c:pt idx="69">
                  <c:v>68</c:v>
                </c:pt>
                <c:pt idx="70">
                  <c:v>45.2</c:v>
                </c:pt>
                <c:pt idx="71">
                  <c:v>105</c:v>
                </c:pt>
                <c:pt idx="72">
                  <c:v>64</c:v>
                </c:pt>
                <c:pt idx="73">
                  <c:v>83</c:v>
                </c:pt>
                <c:pt idx="74">
                  <c:v>83</c:v>
                </c:pt>
                <c:pt idx="75">
                  <c:v>75.5</c:v>
                </c:pt>
                <c:pt idx="76">
                  <c:v>50</c:v>
                </c:pt>
                <c:pt idx="77">
                  <c:v>29.451999999999998</c:v>
                </c:pt>
                <c:pt idx="78">
                  <c:v>30</c:v>
                </c:pt>
                <c:pt idx="79">
                  <c:v>58.227599999999995</c:v>
                </c:pt>
                <c:pt idx="80">
                  <c:v>52</c:v>
                </c:pt>
                <c:pt idx="81">
                  <c:v>67</c:v>
                </c:pt>
                <c:pt idx="82">
                  <c:v>72.796000000000006</c:v>
                </c:pt>
                <c:pt idx="83">
                  <c:v>79</c:v>
                </c:pt>
                <c:pt idx="84">
                  <c:v>63</c:v>
                </c:pt>
                <c:pt idx="85">
                  <c:v>72</c:v>
                </c:pt>
                <c:pt idx="86">
                  <c:v>77.010000000000005</c:v>
                </c:pt>
                <c:pt idx="87">
                  <c:v>50.9</c:v>
                </c:pt>
                <c:pt idx="88">
                  <c:v>81</c:v>
                </c:pt>
                <c:pt idx="89">
                  <c:v>76</c:v>
                </c:pt>
                <c:pt idx="90">
                  <c:v>72</c:v>
                </c:pt>
                <c:pt idx="91">
                  <c:v>65</c:v>
                </c:pt>
                <c:pt idx="92">
                  <c:v>45.8</c:v>
                </c:pt>
                <c:pt idx="93">
                  <c:v>46.91</c:v>
                </c:pt>
                <c:pt idx="94">
                  <c:v>51</c:v>
                </c:pt>
                <c:pt idx="95">
                  <c:v>45.4</c:v>
                </c:pt>
                <c:pt idx="96">
                  <c:v>47.511999999999993</c:v>
                </c:pt>
                <c:pt idx="97">
                  <c:v>20</c:v>
                </c:pt>
                <c:pt idx="98">
                  <c:v>31</c:v>
                </c:pt>
                <c:pt idx="99">
                  <c:v>72</c:v>
                </c:pt>
                <c:pt idx="100">
                  <c:v>74</c:v>
                </c:pt>
                <c:pt idx="101">
                  <c:v>75</c:v>
                </c:pt>
                <c:pt idx="102">
                  <c:v>73.599999999999994</c:v>
                </c:pt>
                <c:pt idx="103">
                  <c:v>72.599999999999994</c:v>
                </c:pt>
                <c:pt idx="104">
                  <c:v>55.939999999999991</c:v>
                </c:pt>
                <c:pt idx="105">
                  <c:v>61</c:v>
                </c:pt>
                <c:pt idx="106">
                  <c:v>81</c:v>
                </c:pt>
                <c:pt idx="107">
                  <c:v>51</c:v>
                </c:pt>
                <c:pt idx="108">
                  <c:v>63</c:v>
                </c:pt>
                <c:pt idx="109">
                  <c:v>100</c:v>
                </c:pt>
                <c:pt idx="110">
                  <c:v>73.5</c:v>
                </c:pt>
                <c:pt idx="111">
                  <c:v>97</c:v>
                </c:pt>
                <c:pt idx="112">
                  <c:v>102</c:v>
                </c:pt>
                <c:pt idx="113">
                  <c:v>52.6</c:v>
                </c:pt>
                <c:pt idx="114">
                  <c:v>55</c:v>
                </c:pt>
                <c:pt idx="115">
                  <c:v>53.7</c:v>
                </c:pt>
                <c:pt idx="116">
                  <c:v>47.3</c:v>
                </c:pt>
                <c:pt idx="117">
                  <c:v>71</c:v>
                </c:pt>
                <c:pt idx="118">
                  <c:v>63</c:v>
                </c:pt>
                <c:pt idx="119">
                  <c:v>86</c:v>
                </c:pt>
                <c:pt idx="120">
                  <c:v>74</c:v>
                </c:pt>
                <c:pt idx="121">
                  <c:v>70</c:v>
                </c:pt>
                <c:pt idx="122">
                  <c:v>68.8</c:v>
                </c:pt>
                <c:pt idx="123">
                  <c:v>74</c:v>
                </c:pt>
                <c:pt idx="124">
                  <c:v>76</c:v>
                </c:pt>
                <c:pt idx="125">
                  <c:v>90</c:v>
                </c:pt>
                <c:pt idx="126">
                  <c:v>78</c:v>
                </c:pt>
                <c:pt idx="127">
                  <c:v>76</c:v>
                </c:pt>
                <c:pt idx="128">
                  <c:v>74</c:v>
                </c:pt>
                <c:pt idx="129">
                  <c:v>80</c:v>
                </c:pt>
                <c:pt idx="130">
                  <c:v>76.3</c:v>
                </c:pt>
                <c:pt idx="131">
                  <c:v>57.745999999999995</c:v>
                </c:pt>
                <c:pt idx="132">
                  <c:v>54.6</c:v>
                </c:pt>
                <c:pt idx="133">
                  <c:v>62.561999999999991</c:v>
                </c:pt>
                <c:pt idx="134">
                  <c:v>54</c:v>
                </c:pt>
                <c:pt idx="135">
                  <c:v>65</c:v>
                </c:pt>
                <c:pt idx="136">
                  <c:v>66</c:v>
                </c:pt>
                <c:pt idx="137">
                  <c:v>57.2</c:v>
                </c:pt>
                <c:pt idx="138">
                  <c:v>67</c:v>
                </c:pt>
                <c:pt idx="139">
                  <c:v>23.8</c:v>
                </c:pt>
                <c:pt idx="140">
                  <c:v>33.799999999999997</c:v>
                </c:pt>
                <c:pt idx="141">
                  <c:v>22</c:v>
                </c:pt>
                <c:pt idx="142">
                  <c:v>20</c:v>
                </c:pt>
                <c:pt idx="143">
                  <c:v>33</c:v>
                </c:pt>
                <c:pt idx="144">
                  <c:v>52</c:v>
                </c:pt>
                <c:pt idx="145">
                  <c:v>69</c:v>
                </c:pt>
                <c:pt idx="146">
                  <c:v>63</c:v>
                </c:pt>
                <c:pt idx="147">
                  <c:v>82</c:v>
                </c:pt>
                <c:pt idx="148">
                  <c:v>82</c:v>
                </c:pt>
                <c:pt idx="149">
                  <c:v>46.308</c:v>
                </c:pt>
                <c:pt idx="150">
                  <c:v>83</c:v>
                </c:pt>
                <c:pt idx="151">
                  <c:v>51.4</c:v>
                </c:pt>
                <c:pt idx="152">
                  <c:v>56.541999999999994</c:v>
                </c:pt>
                <c:pt idx="153">
                  <c:v>57</c:v>
                </c:pt>
                <c:pt idx="154">
                  <c:v>55</c:v>
                </c:pt>
                <c:pt idx="155">
                  <c:v>40.287999999999997</c:v>
                </c:pt>
                <c:pt idx="156">
                  <c:v>54</c:v>
                </c:pt>
                <c:pt idx="157">
                  <c:v>54</c:v>
                </c:pt>
                <c:pt idx="158">
                  <c:v>53.3</c:v>
                </c:pt>
                <c:pt idx="159">
                  <c:v>28.4</c:v>
                </c:pt>
                <c:pt idx="160">
                  <c:v>40</c:v>
                </c:pt>
                <c:pt idx="161">
                  <c:v>54.4</c:v>
                </c:pt>
                <c:pt idx="162">
                  <c:v>58</c:v>
                </c:pt>
                <c:pt idx="163">
                  <c:v>72.2</c:v>
                </c:pt>
                <c:pt idx="164">
                  <c:v>59</c:v>
                </c:pt>
                <c:pt idx="165">
                  <c:v>27.55</c:v>
                </c:pt>
                <c:pt idx="166">
                  <c:v>81</c:v>
                </c:pt>
                <c:pt idx="167">
                  <c:v>77</c:v>
                </c:pt>
                <c:pt idx="168">
                  <c:v>81</c:v>
                </c:pt>
                <c:pt idx="169">
                  <c:v>64</c:v>
                </c:pt>
                <c:pt idx="170">
                  <c:v>82</c:v>
                </c:pt>
                <c:pt idx="171">
                  <c:v>81</c:v>
                </c:pt>
                <c:pt idx="172">
                  <c:v>76.5</c:v>
                </c:pt>
                <c:pt idx="173">
                  <c:v>64.7</c:v>
                </c:pt>
                <c:pt idx="174">
                  <c:v>32</c:v>
                </c:pt>
                <c:pt idx="175">
                  <c:v>22.830000000000002</c:v>
                </c:pt>
                <c:pt idx="176">
                  <c:v>59.9</c:v>
                </c:pt>
                <c:pt idx="177">
                  <c:v>38.4</c:v>
                </c:pt>
                <c:pt idx="178">
                  <c:v>32</c:v>
                </c:pt>
                <c:pt idx="179">
                  <c:v>34</c:v>
                </c:pt>
                <c:pt idx="180">
                  <c:v>56.5</c:v>
                </c:pt>
                <c:pt idx="181">
                  <c:v>27</c:v>
                </c:pt>
                <c:pt idx="182">
                  <c:v>43</c:v>
                </c:pt>
                <c:pt idx="183">
                  <c:v>53</c:v>
                </c:pt>
                <c:pt idx="184">
                  <c:v>77</c:v>
                </c:pt>
                <c:pt idx="185">
                  <c:v>68.8</c:v>
                </c:pt>
                <c:pt idx="186">
                  <c:v>58.2</c:v>
                </c:pt>
                <c:pt idx="187">
                  <c:v>62</c:v>
                </c:pt>
                <c:pt idx="188">
                  <c:v>49.4</c:v>
                </c:pt>
                <c:pt idx="189">
                  <c:v>78.099999999999994</c:v>
                </c:pt>
                <c:pt idx="190">
                  <c:v>79.069999999999993</c:v>
                </c:pt>
                <c:pt idx="191">
                  <c:v>60</c:v>
                </c:pt>
                <c:pt idx="192">
                  <c:v>65</c:v>
                </c:pt>
                <c:pt idx="193">
                  <c:v>31.6</c:v>
                </c:pt>
                <c:pt idx="194">
                  <c:v>77.5</c:v>
                </c:pt>
                <c:pt idx="195">
                  <c:v>75.2</c:v>
                </c:pt>
                <c:pt idx="196">
                  <c:v>31.1</c:v>
                </c:pt>
                <c:pt idx="197">
                  <c:v>77.8</c:v>
                </c:pt>
                <c:pt idx="198">
                  <c:v>53.9</c:v>
                </c:pt>
                <c:pt idx="199">
                  <c:v>69.5</c:v>
                </c:pt>
                <c:pt idx="200">
                  <c:v>80</c:v>
                </c:pt>
                <c:pt idx="201">
                  <c:v>67.09</c:v>
                </c:pt>
                <c:pt idx="202">
                  <c:v>52.5</c:v>
                </c:pt>
                <c:pt idx="203">
                  <c:v>56.6</c:v>
                </c:pt>
                <c:pt idx="204">
                  <c:v>56</c:v>
                </c:pt>
                <c:pt idx="205">
                  <c:v>48.4</c:v>
                </c:pt>
                <c:pt idx="206">
                  <c:v>25.238</c:v>
                </c:pt>
                <c:pt idx="207">
                  <c:v>48.5</c:v>
                </c:pt>
                <c:pt idx="208">
                  <c:v>59</c:v>
                </c:pt>
                <c:pt idx="209">
                  <c:v>59</c:v>
                </c:pt>
                <c:pt idx="210">
                  <c:v>75</c:v>
                </c:pt>
                <c:pt idx="211">
                  <c:v>40.4</c:v>
                </c:pt>
                <c:pt idx="212">
                  <c:v>55</c:v>
                </c:pt>
                <c:pt idx="213">
                  <c:v>65</c:v>
                </c:pt>
                <c:pt idx="214">
                  <c:v>63.5</c:v>
                </c:pt>
                <c:pt idx="215">
                  <c:v>78.2</c:v>
                </c:pt>
                <c:pt idx="216">
                  <c:v>61</c:v>
                </c:pt>
                <c:pt idx="217">
                  <c:v>84</c:v>
                </c:pt>
                <c:pt idx="218">
                  <c:v>70</c:v>
                </c:pt>
                <c:pt idx="219">
                  <c:v>58</c:v>
                </c:pt>
                <c:pt idx="220">
                  <c:v>74</c:v>
                </c:pt>
                <c:pt idx="221">
                  <c:v>78</c:v>
                </c:pt>
                <c:pt idx="222">
                  <c:v>67.5</c:v>
                </c:pt>
                <c:pt idx="223">
                  <c:v>70.900000000000006</c:v>
                </c:pt>
                <c:pt idx="224">
                  <c:v>60.6</c:v>
                </c:pt>
                <c:pt idx="225">
                  <c:v>25.84</c:v>
                </c:pt>
                <c:pt idx="226">
                  <c:v>76.8</c:v>
                </c:pt>
                <c:pt idx="227">
                  <c:v>57</c:v>
                </c:pt>
                <c:pt idx="228">
                  <c:v>56</c:v>
                </c:pt>
                <c:pt idx="229">
                  <c:v>61.959999999999994</c:v>
                </c:pt>
                <c:pt idx="230">
                  <c:v>54.2</c:v>
                </c:pt>
                <c:pt idx="231">
                  <c:v>58.347999999999999</c:v>
                </c:pt>
                <c:pt idx="232">
                  <c:v>70.400000000000006</c:v>
                </c:pt>
                <c:pt idx="233">
                  <c:v>29.2</c:v>
                </c:pt>
                <c:pt idx="234">
                  <c:v>73.599999999999994</c:v>
                </c:pt>
                <c:pt idx="235">
                  <c:v>62.561999999999991</c:v>
                </c:pt>
                <c:pt idx="236">
                  <c:v>69.099999999999994</c:v>
                </c:pt>
                <c:pt idx="237">
                  <c:v>81.893999402171573</c:v>
                </c:pt>
                <c:pt idx="238">
                  <c:v>119.81628309928958</c:v>
                </c:pt>
                <c:pt idx="239">
                  <c:v>54.3</c:v>
                </c:pt>
                <c:pt idx="240">
                  <c:v>73.3</c:v>
                </c:pt>
                <c:pt idx="241">
                  <c:v>51.545399999999994</c:v>
                </c:pt>
                <c:pt idx="242">
                  <c:v>32.461999999999996</c:v>
                </c:pt>
                <c:pt idx="243">
                  <c:v>50</c:v>
                </c:pt>
                <c:pt idx="244">
                  <c:v>61</c:v>
                </c:pt>
                <c:pt idx="245">
                  <c:v>39.299999999999997</c:v>
                </c:pt>
                <c:pt idx="246">
                  <c:v>51.2</c:v>
                </c:pt>
                <c:pt idx="247">
                  <c:v>71.3</c:v>
                </c:pt>
                <c:pt idx="248">
                  <c:v>69.7</c:v>
                </c:pt>
                <c:pt idx="249">
                  <c:v>55.63</c:v>
                </c:pt>
                <c:pt idx="250">
                  <c:v>59.250999999999998</c:v>
                </c:pt>
                <c:pt idx="251">
                  <c:v>66</c:v>
                </c:pt>
                <c:pt idx="252">
                  <c:v>56.3</c:v>
                </c:pt>
                <c:pt idx="253">
                  <c:v>73.099999999999994</c:v>
                </c:pt>
                <c:pt idx="254">
                  <c:v>33</c:v>
                </c:pt>
                <c:pt idx="255">
                  <c:v>30.7</c:v>
                </c:pt>
                <c:pt idx="256">
                  <c:v>33.75</c:v>
                </c:pt>
                <c:pt idx="257">
                  <c:v>51.4</c:v>
                </c:pt>
                <c:pt idx="258">
                  <c:v>48</c:v>
                </c:pt>
                <c:pt idx="259">
                  <c:v>37.4</c:v>
                </c:pt>
                <c:pt idx="260">
                  <c:v>74.400000000000006</c:v>
                </c:pt>
                <c:pt idx="261">
                  <c:v>72.599999999999994</c:v>
                </c:pt>
                <c:pt idx="262">
                  <c:v>68</c:v>
                </c:pt>
                <c:pt idx="263">
                  <c:v>30.294800000000002</c:v>
                </c:pt>
                <c:pt idx="264">
                  <c:v>100.6</c:v>
                </c:pt>
                <c:pt idx="265">
                  <c:v>74.599999999999994</c:v>
                </c:pt>
                <c:pt idx="266">
                  <c:v>90.4</c:v>
                </c:pt>
                <c:pt idx="267">
                  <c:v>56.541999999999994</c:v>
                </c:pt>
                <c:pt idx="268">
                  <c:v>65.7</c:v>
                </c:pt>
                <c:pt idx="269">
                  <c:v>74.400000000000006</c:v>
                </c:pt>
                <c:pt idx="270">
                  <c:v>64</c:v>
                </c:pt>
                <c:pt idx="271">
                  <c:v>57.3</c:v>
                </c:pt>
                <c:pt idx="272">
                  <c:v>70.900000000000006</c:v>
                </c:pt>
                <c:pt idx="273">
                  <c:v>64.099999999999994</c:v>
                </c:pt>
                <c:pt idx="274">
                  <c:v>57.143999999999991</c:v>
                </c:pt>
                <c:pt idx="275">
                  <c:v>56.1</c:v>
                </c:pt>
                <c:pt idx="276">
                  <c:v>30.76</c:v>
                </c:pt>
                <c:pt idx="277">
                  <c:v>46.1</c:v>
                </c:pt>
                <c:pt idx="278">
                  <c:v>51.2</c:v>
                </c:pt>
                <c:pt idx="279">
                  <c:v>36.976999999999997</c:v>
                </c:pt>
                <c:pt idx="280">
                  <c:v>75.3</c:v>
                </c:pt>
                <c:pt idx="281">
                  <c:v>77</c:v>
                </c:pt>
                <c:pt idx="282">
                  <c:v>72.2</c:v>
                </c:pt>
                <c:pt idx="283">
                  <c:v>98.5</c:v>
                </c:pt>
                <c:pt idx="284">
                  <c:v>64.8</c:v>
                </c:pt>
                <c:pt idx="285">
                  <c:v>65.33</c:v>
                </c:pt>
                <c:pt idx="286">
                  <c:v>98.3</c:v>
                </c:pt>
                <c:pt idx="287">
                  <c:v>116</c:v>
                </c:pt>
                <c:pt idx="288">
                  <c:v>101</c:v>
                </c:pt>
                <c:pt idx="289">
                  <c:v>34.6</c:v>
                </c:pt>
                <c:pt idx="290">
                  <c:v>64.430000000000007</c:v>
                </c:pt>
                <c:pt idx="291">
                  <c:v>55.5</c:v>
                </c:pt>
                <c:pt idx="292">
                  <c:v>56</c:v>
                </c:pt>
                <c:pt idx="293">
                  <c:v>50.6</c:v>
                </c:pt>
                <c:pt idx="294">
                  <c:v>58</c:v>
                </c:pt>
                <c:pt idx="295">
                  <c:v>74</c:v>
                </c:pt>
                <c:pt idx="296">
                  <c:v>57.3</c:v>
                </c:pt>
                <c:pt idx="297">
                  <c:v>66</c:v>
                </c:pt>
                <c:pt idx="298">
                  <c:v>40.049999999999997</c:v>
                </c:pt>
                <c:pt idx="299">
                  <c:v>49</c:v>
                </c:pt>
                <c:pt idx="300">
                  <c:v>55</c:v>
                </c:pt>
                <c:pt idx="301">
                  <c:v>48.3</c:v>
                </c:pt>
                <c:pt idx="302">
                  <c:v>58.9</c:v>
                </c:pt>
                <c:pt idx="303">
                  <c:v>79.7</c:v>
                </c:pt>
                <c:pt idx="304">
                  <c:v>80.400000000000006</c:v>
                </c:pt>
                <c:pt idx="305">
                  <c:v>71.900000000000006</c:v>
                </c:pt>
                <c:pt idx="306">
                  <c:v>63.5</c:v>
                </c:pt>
                <c:pt idx="307">
                  <c:v>50.1</c:v>
                </c:pt>
                <c:pt idx="308">
                  <c:v>70.8</c:v>
                </c:pt>
                <c:pt idx="309">
                  <c:v>61.1</c:v>
                </c:pt>
                <c:pt idx="310">
                  <c:v>37.578999999999994</c:v>
                </c:pt>
                <c:pt idx="311">
                  <c:v>37.700000000000003</c:v>
                </c:pt>
                <c:pt idx="312">
                  <c:v>79.8</c:v>
                </c:pt>
                <c:pt idx="313">
                  <c:v>93.5</c:v>
                </c:pt>
                <c:pt idx="314">
                  <c:v>79</c:v>
                </c:pt>
                <c:pt idx="315">
                  <c:v>86.6</c:v>
                </c:pt>
                <c:pt idx="316">
                  <c:v>118.1</c:v>
                </c:pt>
                <c:pt idx="317">
                  <c:v>73.569999999999993</c:v>
                </c:pt>
                <c:pt idx="318">
                  <c:v>101.5</c:v>
                </c:pt>
                <c:pt idx="319">
                  <c:v>60</c:v>
                </c:pt>
                <c:pt idx="320">
                  <c:v>50.3</c:v>
                </c:pt>
                <c:pt idx="321">
                  <c:v>34.200000000000003</c:v>
                </c:pt>
                <c:pt idx="322">
                  <c:v>60.8</c:v>
                </c:pt>
                <c:pt idx="323">
                  <c:v>66.173999999999992</c:v>
                </c:pt>
                <c:pt idx="324">
                  <c:v>61.7</c:v>
                </c:pt>
                <c:pt idx="325">
                  <c:v>60.002000000000002</c:v>
                </c:pt>
                <c:pt idx="326">
                  <c:v>58.5</c:v>
                </c:pt>
                <c:pt idx="327">
                  <c:v>71.7</c:v>
                </c:pt>
                <c:pt idx="328">
                  <c:v>71</c:v>
                </c:pt>
                <c:pt idx="329">
                  <c:v>60.2</c:v>
                </c:pt>
                <c:pt idx="330">
                  <c:v>88</c:v>
                </c:pt>
                <c:pt idx="331">
                  <c:v>32</c:v>
                </c:pt>
                <c:pt idx="332">
                  <c:v>56.85</c:v>
                </c:pt>
                <c:pt idx="333">
                  <c:v>45.2</c:v>
                </c:pt>
                <c:pt idx="334">
                  <c:v>66.599999999999994</c:v>
                </c:pt>
                <c:pt idx="335">
                  <c:v>70.400000000000006</c:v>
                </c:pt>
                <c:pt idx="336">
                  <c:v>74</c:v>
                </c:pt>
                <c:pt idx="337">
                  <c:v>76.599999999999994</c:v>
                </c:pt>
                <c:pt idx="338">
                  <c:v>64.900000000000006</c:v>
                </c:pt>
                <c:pt idx="339">
                  <c:v>72.599999999999994</c:v>
                </c:pt>
                <c:pt idx="340">
                  <c:v>78.816000000000003</c:v>
                </c:pt>
                <c:pt idx="341">
                  <c:v>39.299999999999997</c:v>
                </c:pt>
                <c:pt idx="342">
                  <c:v>101.9</c:v>
                </c:pt>
                <c:pt idx="343">
                  <c:v>99.4</c:v>
                </c:pt>
                <c:pt idx="344">
                  <c:v>90.5</c:v>
                </c:pt>
                <c:pt idx="345">
                  <c:v>87.6</c:v>
                </c:pt>
                <c:pt idx="346">
                  <c:v>83.8</c:v>
                </c:pt>
                <c:pt idx="347">
                  <c:v>75.2</c:v>
                </c:pt>
                <c:pt idx="348">
                  <c:v>67.5</c:v>
                </c:pt>
                <c:pt idx="349">
                  <c:v>91</c:v>
                </c:pt>
                <c:pt idx="350">
                  <c:v>48</c:v>
                </c:pt>
                <c:pt idx="351">
                  <c:v>40.1</c:v>
                </c:pt>
                <c:pt idx="352">
                  <c:v>34.159999999999997</c:v>
                </c:pt>
                <c:pt idx="353">
                  <c:v>71.7</c:v>
                </c:pt>
                <c:pt idx="354">
                  <c:v>69</c:v>
                </c:pt>
                <c:pt idx="355">
                  <c:v>58</c:v>
                </c:pt>
                <c:pt idx="356">
                  <c:v>76.2</c:v>
                </c:pt>
                <c:pt idx="357">
                  <c:v>80.400000000000006</c:v>
                </c:pt>
                <c:pt idx="358">
                  <c:v>54.133999999999993</c:v>
                </c:pt>
                <c:pt idx="359">
                  <c:v>35.1</c:v>
                </c:pt>
                <c:pt idx="360">
                  <c:v>100.6</c:v>
                </c:pt>
                <c:pt idx="361">
                  <c:v>100.9</c:v>
                </c:pt>
                <c:pt idx="362">
                  <c:v>67.5</c:v>
                </c:pt>
                <c:pt idx="363">
                  <c:v>80.900000000000006</c:v>
                </c:pt>
                <c:pt idx="364">
                  <c:v>55.3</c:v>
                </c:pt>
                <c:pt idx="365">
                  <c:v>33.4</c:v>
                </c:pt>
                <c:pt idx="366">
                  <c:v>93.3</c:v>
                </c:pt>
                <c:pt idx="367">
                  <c:v>86.66</c:v>
                </c:pt>
                <c:pt idx="368">
                  <c:v>84.8</c:v>
                </c:pt>
                <c:pt idx="369">
                  <c:v>75.7</c:v>
                </c:pt>
                <c:pt idx="370">
                  <c:v>66.319999999999993</c:v>
                </c:pt>
                <c:pt idx="371">
                  <c:v>75</c:v>
                </c:pt>
                <c:pt idx="372">
                  <c:v>78.8</c:v>
                </c:pt>
                <c:pt idx="373">
                  <c:v>94.2</c:v>
                </c:pt>
                <c:pt idx="374">
                  <c:v>92.3</c:v>
                </c:pt>
                <c:pt idx="375">
                  <c:v>57.5</c:v>
                </c:pt>
                <c:pt idx="376">
                  <c:v>49.919999999999995</c:v>
                </c:pt>
                <c:pt idx="377">
                  <c:v>28.849999999999998</c:v>
                </c:pt>
                <c:pt idx="378">
                  <c:v>40.799999999999997</c:v>
                </c:pt>
                <c:pt idx="379">
                  <c:v>72.5</c:v>
                </c:pt>
                <c:pt idx="380">
                  <c:v>66.7</c:v>
                </c:pt>
                <c:pt idx="381">
                  <c:v>60.5</c:v>
                </c:pt>
                <c:pt idx="382">
                  <c:v>105.3</c:v>
                </c:pt>
                <c:pt idx="383">
                  <c:v>93</c:v>
                </c:pt>
                <c:pt idx="384">
                  <c:v>103</c:v>
                </c:pt>
                <c:pt idx="385">
                  <c:v>92.1</c:v>
                </c:pt>
                <c:pt idx="386">
                  <c:v>94</c:v>
                </c:pt>
                <c:pt idx="387">
                  <c:v>105.4</c:v>
                </c:pt>
                <c:pt idx="388">
                  <c:v>65</c:v>
                </c:pt>
                <c:pt idx="389">
                  <c:v>1</c:v>
                </c:pt>
                <c:pt idx="390">
                  <c:v>84.1</c:v>
                </c:pt>
                <c:pt idx="391">
                  <c:v>52.3</c:v>
                </c:pt>
                <c:pt idx="392">
                  <c:v>80</c:v>
                </c:pt>
                <c:pt idx="393">
                  <c:v>60.16</c:v>
                </c:pt>
                <c:pt idx="394">
                  <c:v>51.4</c:v>
                </c:pt>
                <c:pt idx="395">
                  <c:v>60.4</c:v>
                </c:pt>
                <c:pt idx="396">
                  <c:v>91.3</c:v>
                </c:pt>
                <c:pt idx="397">
                  <c:v>77.2</c:v>
                </c:pt>
                <c:pt idx="398">
                  <c:v>92.2</c:v>
                </c:pt>
                <c:pt idx="399">
                  <c:v>70.150000000000006</c:v>
                </c:pt>
                <c:pt idx="400">
                  <c:v>51.8</c:v>
                </c:pt>
                <c:pt idx="401">
                  <c:v>39.299999999999997</c:v>
                </c:pt>
                <c:pt idx="402">
                  <c:v>46.5</c:v>
                </c:pt>
                <c:pt idx="403">
                  <c:v>62.5</c:v>
                </c:pt>
                <c:pt idx="404">
                  <c:v>38.33</c:v>
                </c:pt>
                <c:pt idx="405">
                  <c:v>45.9</c:v>
                </c:pt>
                <c:pt idx="406">
                  <c:v>36.4</c:v>
                </c:pt>
                <c:pt idx="407">
                  <c:v>30.75</c:v>
                </c:pt>
                <c:pt idx="408">
                  <c:v>99.1</c:v>
                </c:pt>
                <c:pt idx="409">
                  <c:v>84.2</c:v>
                </c:pt>
                <c:pt idx="410">
                  <c:v>63</c:v>
                </c:pt>
                <c:pt idx="411">
                  <c:v>70.7</c:v>
                </c:pt>
                <c:pt idx="412">
                  <c:v>62.8</c:v>
                </c:pt>
                <c:pt idx="413">
                  <c:v>71.2</c:v>
                </c:pt>
                <c:pt idx="414">
                  <c:v>73.900000000000006</c:v>
                </c:pt>
                <c:pt idx="415">
                  <c:v>103.9</c:v>
                </c:pt>
                <c:pt idx="416">
                  <c:v>74.7</c:v>
                </c:pt>
                <c:pt idx="417">
                  <c:v>94.3</c:v>
                </c:pt>
                <c:pt idx="418">
                  <c:v>92</c:v>
                </c:pt>
                <c:pt idx="419">
                  <c:v>70.599999999999994</c:v>
                </c:pt>
                <c:pt idx="420">
                  <c:v>39.200000000000003</c:v>
                </c:pt>
                <c:pt idx="421">
                  <c:v>36.1</c:v>
                </c:pt>
                <c:pt idx="422">
                  <c:v>54.1</c:v>
                </c:pt>
                <c:pt idx="423">
                  <c:v>71.2</c:v>
                </c:pt>
                <c:pt idx="424">
                  <c:v>32.299999999999997</c:v>
                </c:pt>
                <c:pt idx="425">
                  <c:v>44.3</c:v>
                </c:pt>
                <c:pt idx="426">
                  <c:v>28.9</c:v>
                </c:pt>
              </c:numCache>
            </c:numRef>
          </c:xVal>
          <c:yVal>
            <c:numRef>
              <c:f>ISSCC!$AD$2:$AD$428</c:f>
              <c:numCache>
                <c:formatCode>0.00E+00</c:formatCode>
                <c:ptCount val="427"/>
                <c:pt idx="0">
                  <c:v>59999.999999999993</c:v>
                </c:pt>
                <c:pt idx="1">
                  <c:v>6000</c:v>
                </c:pt>
                <c:pt idx="2">
                  <c:v>3400.0000000000005</c:v>
                </c:pt>
                <c:pt idx="3">
                  <c:v>44531.250000000007</c:v>
                </c:pt>
                <c:pt idx="4">
                  <c:v>26000</c:v>
                </c:pt>
                <c:pt idx="5">
                  <c:v>220000</c:v>
                </c:pt>
                <c:pt idx="6">
                  <c:v>275000</c:v>
                </c:pt>
                <c:pt idx="7">
                  <c:v>180000</c:v>
                </c:pt>
                <c:pt idx="8">
                  <c:v>11182.108626198082</c:v>
                </c:pt>
                <c:pt idx="9">
                  <c:v>325000</c:v>
                </c:pt>
                <c:pt idx="10">
                  <c:v>7916666.666666667</c:v>
                </c:pt>
                <c:pt idx="11">
                  <c:v>57500</c:v>
                </c:pt>
                <c:pt idx="12">
                  <c:v>47999.999999999993</c:v>
                </c:pt>
                <c:pt idx="13">
                  <c:v>1250</c:v>
                </c:pt>
                <c:pt idx="14">
                  <c:v>12500</c:v>
                </c:pt>
                <c:pt idx="15">
                  <c:v>14125</c:v>
                </c:pt>
                <c:pt idx="16">
                  <c:v>16250</c:v>
                </c:pt>
                <c:pt idx="17">
                  <c:v>26500.000000000004</c:v>
                </c:pt>
                <c:pt idx="18">
                  <c:v>933.33333333333337</c:v>
                </c:pt>
                <c:pt idx="19">
                  <c:v>642.85714285714289</c:v>
                </c:pt>
                <c:pt idx="20">
                  <c:v>500.00000000000006</c:v>
                </c:pt>
                <c:pt idx="21">
                  <c:v>25125</c:v>
                </c:pt>
                <c:pt idx="22">
                  <c:v>9000</c:v>
                </c:pt>
                <c:pt idx="23">
                  <c:v>18000</c:v>
                </c:pt>
                <c:pt idx="24">
                  <c:v>150000</c:v>
                </c:pt>
                <c:pt idx="25">
                  <c:v>225000</c:v>
                </c:pt>
                <c:pt idx="26">
                  <c:v>128000.00000000001</c:v>
                </c:pt>
                <c:pt idx="27">
                  <c:v>7800</c:v>
                </c:pt>
                <c:pt idx="28">
                  <c:v>1625</c:v>
                </c:pt>
                <c:pt idx="29">
                  <c:v>3749.9999999999995</c:v>
                </c:pt>
                <c:pt idx="30">
                  <c:v>800</c:v>
                </c:pt>
                <c:pt idx="31">
                  <c:v>660</c:v>
                </c:pt>
                <c:pt idx="32">
                  <c:v>12500</c:v>
                </c:pt>
                <c:pt idx="33">
                  <c:v>20000</c:v>
                </c:pt>
                <c:pt idx="34">
                  <c:v>6615.3846153846152</c:v>
                </c:pt>
                <c:pt idx="35">
                  <c:v>17000</c:v>
                </c:pt>
                <c:pt idx="36">
                  <c:v>3125</c:v>
                </c:pt>
                <c:pt idx="37">
                  <c:v>36000</c:v>
                </c:pt>
                <c:pt idx="38">
                  <c:v>118000</c:v>
                </c:pt>
                <c:pt idx="39">
                  <c:v>108000</c:v>
                </c:pt>
                <c:pt idx="40">
                  <c:v>25000</c:v>
                </c:pt>
                <c:pt idx="41">
                  <c:v>27500</c:v>
                </c:pt>
                <c:pt idx="42">
                  <c:v>1350</c:v>
                </c:pt>
                <c:pt idx="43">
                  <c:v>13227.513227513227</c:v>
                </c:pt>
                <c:pt idx="44">
                  <c:v>37500</c:v>
                </c:pt>
                <c:pt idx="45">
                  <c:v>419.23076923076928</c:v>
                </c:pt>
                <c:pt idx="46">
                  <c:v>272.72727272727275</c:v>
                </c:pt>
                <c:pt idx="47">
                  <c:v>1800</c:v>
                </c:pt>
                <c:pt idx="48">
                  <c:v>5462.9629629629626</c:v>
                </c:pt>
                <c:pt idx="49">
                  <c:v>4240</c:v>
                </c:pt>
                <c:pt idx="50">
                  <c:v>21500</c:v>
                </c:pt>
                <c:pt idx="51">
                  <c:v>1150</c:v>
                </c:pt>
                <c:pt idx="52">
                  <c:v>257.57575757575756</c:v>
                </c:pt>
                <c:pt idx="53">
                  <c:v>111.11111111111111</c:v>
                </c:pt>
                <c:pt idx="54">
                  <c:v>1950</c:v>
                </c:pt>
                <c:pt idx="55">
                  <c:v>533.33333333333337</c:v>
                </c:pt>
                <c:pt idx="56">
                  <c:v>600</c:v>
                </c:pt>
                <c:pt idx="57">
                  <c:v>10900</c:v>
                </c:pt>
                <c:pt idx="58">
                  <c:v>75757.57575757576</c:v>
                </c:pt>
                <c:pt idx="59">
                  <c:v>4947.916666666667</c:v>
                </c:pt>
                <c:pt idx="60">
                  <c:v>25499.999999999996</c:v>
                </c:pt>
                <c:pt idx="61">
                  <c:v>825</c:v>
                </c:pt>
                <c:pt idx="62">
                  <c:v>119542.61954261955</c:v>
                </c:pt>
                <c:pt idx="63">
                  <c:v>725</c:v>
                </c:pt>
                <c:pt idx="64">
                  <c:v>20.90909090909091</c:v>
                </c:pt>
                <c:pt idx="65">
                  <c:v>6250.0000000000009</c:v>
                </c:pt>
                <c:pt idx="66">
                  <c:v>1428.5714285714287</c:v>
                </c:pt>
                <c:pt idx="67">
                  <c:v>14299.999999999998</c:v>
                </c:pt>
                <c:pt idx="68">
                  <c:v>16500.000000000004</c:v>
                </c:pt>
                <c:pt idx="69">
                  <c:v>6250.0000000000009</c:v>
                </c:pt>
                <c:pt idx="70">
                  <c:v>324.99999999999994</c:v>
                </c:pt>
                <c:pt idx="71">
                  <c:v>1375000</c:v>
                </c:pt>
                <c:pt idx="72">
                  <c:v>546.87499999999989</c:v>
                </c:pt>
                <c:pt idx="73">
                  <c:v>1666.666666666667</c:v>
                </c:pt>
                <c:pt idx="74">
                  <c:v>28181.81818181818</c:v>
                </c:pt>
                <c:pt idx="75">
                  <c:v>2350</c:v>
                </c:pt>
                <c:pt idx="76">
                  <c:v>1324.9999999999998</c:v>
                </c:pt>
                <c:pt idx="77">
                  <c:v>500.00000000000006</c:v>
                </c:pt>
                <c:pt idx="78">
                  <c:v>155</c:v>
                </c:pt>
                <c:pt idx="79">
                  <c:v>862.50000000000011</c:v>
                </c:pt>
                <c:pt idx="80">
                  <c:v>820</c:v>
                </c:pt>
                <c:pt idx="81">
                  <c:v>3866.6666666666665</c:v>
                </c:pt>
                <c:pt idx="82">
                  <c:v>14285.714285714286</c:v>
                </c:pt>
                <c:pt idx="83">
                  <c:v>3125</c:v>
                </c:pt>
                <c:pt idx="84">
                  <c:v>6120</c:v>
                </c:pt>
                <c:pt idx="85">
                  <c:v>8000.0000000000009</c:v>
                </c:pt>
                <c:pt idx="86">
                  <c:v>2727.2727272727275</c:v>
                </c:pt>
                <c:pt idx="87">
                  <c:v>351.5625</c:v>
                </c:pt>
                <c:pt idx="88">
                  <c:v>3499.9999999999995</c:v>
                </c:pt>
                <c:pt idx="89">
                  <c:v>6818.181818181818</c:v>
                </c:pt>
                <c:pt idx="90">
                  <c:v>29999.999999999996</c:v>
                </c:pt>
                <c:pt idx="91">
                  <c:v>1035</c:v>
                </c:pt>
                <c:pt idx="92">
                  <c:v>793.12500000000011</c:v>
                </c:pt>
                <c:pt idx="93">
                  <c:v>333.33333333333337</c:v>
                </c:pt>
                <c:pt idx="94">
                  <c:v>613.63636363636374</c:v>
                </c:pt>
                <c:pt idx="95">
                  <c:v>473.33333333333326</c:v>
                </c:pt>
                <c:pt idx="96">
                  <c:v>168.00000000000003</c:v>
                </c:pt>
                <c:pt idx="97">
                  <c:v>95</c:v>
                </c:pt>
                <c:pt idx="98">
                  <c:v>16.666666666666668</c:v>
                </c:pt>
                <c:pt idx="99">
                  <c:v>9850</c:v>
                </c:pt>
                <c:pt idx="100">
                  <c:v>11650</c:v>
                </c:pt>
                <c:pt idx="101">
                  <c:v>15600</c:v>
                </c:pt>
                <c:pt idx="102">
                  <c:v>11200.000000000002</c:v>
                </c:pt>
                <c:pt idx="103">
                  <c:v>9437.5</c:v>
                </c:pt>
                <c:pt idx="104">
                  <c:v>412.5</c:v>
                </c:pt>
                <c:pt idx="105">
                  <c:v>11666.666666666666</c:v>
                </c:pt>
                <c:pt idx="106">
                  <c:v>20833.333333333336</c:v>
                </c:pt>
                <c:pt idx="107">
                  <c:v>525</c:v>
                </c:pt>
                <c:pt idx="108">
                  <c:v>309.2783505154639</c:v>
                </c:pt>
                <c:pt idx="109">
                  <c:v>237499.99999999997</c:v>
                </c:pt>
                <c:pt idx="110">
                  <c:v>12000</c:v>
                </c:pt>
                <c:pt idx="111">
                  <c:v>450000</c:v>
                </c:pt>
                <c:pt idx="112">
                  <c:v>924999.99999999988</c:v>
                </c:pt>
                <c:pt idx="113">
                  <c:v>275</c:v>
                </c:pt>
                <c:pt idx="114">
                  <c:v>700.00000000000011</c:v>
                </c:pt>
                <c:pt idx="115">
                  <c:v>320.00000000000006</c:v>
                </c:pt>
                <c:pt idx="116">
                  <c:v>150</c:v>
                </c:pt>
                <c:pt idx="117">
                  <c:v>750</c:v>
                </c:pt>
                <c:pt idx="118">
                  <c:v>4088.7850467289718</c:v>
                </c:pt>
                <c:pt idx="119">
                  <c:v>4500.0000000000009</c:v>
                </c:pt>
                <c:pt idx="120">
                  <c:v>5000</c:v>
                </c:pt>
                <c:pt idx="121">
                  <c:v>2350</c:v>
                </c:pt>
                <c:pt idx="122">
                  <c:v>934.78260869565213</c:v>
                </c:pt>
                <c:pt idx="123">
                  <c:v>500.00000000000006</c:v>
                </c:pt>
                <c:pt idx="124">
                  <c:v>22058.823529411766</c:v>
                </c:pt>
                <c:pt idx="125">
                  <c:v>525000</c:v>
                </c:pt>
                <c:pt idx="126">
                  <c:v>1159.0909090909092</c:v>
                </c:pt>
                <c:pt idx="127">
                  <c:v>2454.545454545455</c:v>
                </c:pt>
                <c:pt idx="128">
                  <c:v>5999.9999999999991</c:v>
                </c:pt>
                <c:pt idx="129">
                  <c:v>10000</c:v>
                </c:pt>
                <c:pt idx="130">
                  <c:v>3712.5</c:v>
                </c:pt>
                <c:pt idx="131">
                  <c:v>343.75</c:v>
                </c:pt>
                <c:pt idx="132">
                  <c:v>360</c:v>
                </c:pt>
                <c:pt idx="133">
                  <c:v>750</c:v>
                </c:pt>
                <c:pt idx="134">
                  <c:v>312.5</c:v>
                </c:pt>
                <c:pt idx="135">
                  <c:v>250.00000000000003</c:v>
                </c:pt>
                <c:pt idx="136">
                  <c:v>2240</c:v>
                </c:pt>
                <c:pt idx="137">
                  <c:v>300</c:v>
                </c:pt>
                <c:pt idx="138">
                  <c:v>6700</c:v>
                </c:pt>
                <c:pt idx="139">
                  <c:v>2.016</c:v>
                </c:pt>
                <c:pt idx="140">
                  <c:v>55</c:v>
                </c:pt>
                <c:pt idx="141">
                  <c:v>22.249999999999996</c:v>
                </c:pt>
                <c:pt idx="142">
                  <c:v>136.36363636363637</c:v>
                </c:pt>
                <c:pt idx="143">
                  <c:v>8.8333333333333339</c:v>
                </c:pt>
                <c:pt idx="144">
                  <c:v>250.00000000000003</c:v>
                </c:pt>
                <c:pt idx="145">
                  <c:v>1400.0000000000002</c:v>
                </c:pt>
                <c:pt idx="146">
                  <c:v>1025</c:v>
                </c:pt>
                <c:pt idx="147">
                  <c:v>3600.0000000000005</c:v>
                </c:pt>
                <c:pt idx="148">
                  <c:v>2524.4299674267099</c:v>
                </c:pt>
                <c:pt idx="149">
                  <c:v>14.5</c:v>
                </c:pt>
                <c:pt idx="150">
                  <c:v>13200</c:v>
                </c:pt>
                <c:pt idx="151">
                  <c:v>81.249999999999986</c:v>
                </c:pt>
                <c:pt idx="152">
                  <c:v>525</c:v>
                </c:pt>
                <c:pt idx="153">
                  <c:v>156.66666666666666</c:v>
                </c:pt>
                <c:pt idx="154">
                  <c:v>297.5609756097561</c:v>
                </c:pt>
                <c:pt idx="155">
                  <c:v>42.5</c:v>
                </c:pt>
                <c:pt idx="156">
                  <c:v>451.21951219512192</c:v>
                </c:pt>
                <c:pt idx="157">
                  <c:v>437.5</c:v>
                </c:pt>
                <c:pt idx="158">
                  <c:v>20.5</c:v>
                </c:pt>
                <c:pt idx="159">
                  <c:v>4.8</c:v>
                </c:pt>
                <c:pt idx="160">
                  <c:v>0.8899999999999999</c:v>
                </c:pt>
                <c:pt idx="161">
                  <c:v>1.9</c:v>
                </c:pt>
                <c:pt idx="162">
                  <c:v>36</c:v>
                </c:pt>
                <c:pt idx="163">
                  <c:v>2300</c:v>
                </c:pt>
                <c:pt idx="164">
                  <c:v>45</c:v>
                </c:pt>
                <c:pt idx="165">
                  <c:v>1.2571428571428571</c:v>
                </c:pt>
                <c:pt idx="166">
                  <c:v>900</c:v>
                </c:pt>
                <c:pt idx="167">
                  <c:v>2375</c:v>
                </c:pt>
                <c:pt idx="168">
                  <c:v>3000</c:v>
                </c:pt>
                <c:pt idx="169">
                  <c:v>697.5</c:v>
                </c:pt>
                <c:pt idx="170">
                  <c:v>5000</c:v>
                </c:pt>
                <c:pt idx="171">
                  <c:v>3125.0000000000005</c:v>
                </c:pt>
                <c:pt idx="172">
                  <c:v>29999.999999999996</c:v>
                </c:pt>
                <c:pt idx="173">
                  <c:v>434.99999999999994</c:v>
                </c:pt>
                <c:pt idx="174">
                  <c:v>25.6</c:v>
                </c:pt>
                <c:pt idx="175">
                  <c:v>49.999999999999993</c:v>
                </c:pt>
                <c:pt idx="176">
                  <c:v>900</c:v>
                </c:pt>
                <c:pt idx="177">
                  <c:v>113.33333333333334</c:v>
                </c:pt>
                <c:pt idx="178">
                  <c:v>4.1499999999999995</c:v>
                </c:pt>
                <c:pt idx="179">
                  <c:v>22.727272727272727</c:v>
                </c:pt>
                <c:pt idx="180">
                  <c:v>1205.3759768567811</c:v>
                </c:pt>
                <c:pt idx="181">
                  <c:v>2.4624999999999999</c:v>
                </c:pt>
                <c:pt idx="182">
                  <c:v>49.999999999999993</c:v>
                </c:pt>
                <c:pt idx="183">
                  <c:v>110</c:v>
                </c:pt>
                <c:pt idx="184">
                  <c:v>3080</c:v>
                </c:pt>
                <c:pt idx="185">
                  <c:v>1300</c:v>
                </c:pt>
                <c:pt idx="186">
                  <c:v>198</c:v>
                </c:pt>
                <c:pt idx="187">
                  <c:v>90</c:v>
                </c:pt>
                <c:pt idx="188">
                  <c:v>23.333333333333332</c:v>
                </c:pt>
                <c:pt idx="189">
                  <c:v>2175</c:v>
                </c:pt>
                <c:pt idx="190">
                  <c:v>1130</c:v>
                </c:pt>
                <c:pt idx="191">
                  <c:v>262.5</c:v>
                </c:pt>
                <c:pt idx="192">
                  <c:v>1707.5</c:v>
                </c:pt>
                <c:pt idx="193">
                  <c:v>37.864077669902912</c:v>
                </c:pt>
                <c:pt idx="194">
                  <c:v>3400</c:v>
                </c:pt>
                <c:pt idx="195">
                  <c:v>10125.000000000002</c:v>
                </c:pt>
                <c:pt idx="196">
                  <c:v>1.1818181818181817</c:v>
                </c:pt>
                <c:pt idx="197">
                  <c:v>1888.8888888888891</c:v>
                </c:pt>
                <c:pt idx="198">
                  <c:v>45.000000000000007</c:v>
                </c:pt>
                <c:pt idx="199">
                  <c:v>840</c:v>
                </c:pt>
                <c:pt idx="200">
                  <c:v>8400</c:v>
                </c:pt>
                <c:pt idx="201">
                  <c:v>67.111111111111114</c:v>
                </c:pt>
                <c:pt idx="202">
                  <c:v>30.25</c:v>
                </c:pt>
                <c:pt idx="203">
                  <c:v>16.399999999999999</c:v>
                </c:pt>
                <c:pt idx="204">
                  <c:v>11.299999999999999</c:v>
                </c:pt>
                <c:pt idx="205">
                  <c:v>6.73828125</c:v>
                </c:pt>
                <c:pt idx="206">
                  <c:v>37.5</c:v>
                </c:pt>
                <c:pt idx="207">
                  <c:v>184.61538461538461</c:v>
                </c:pt>
                <c:pt idx="208">
                  <c:v>575</c:v>
                </c:pt>
                <c:pt idx="209">
                  <c:v>131.25</c:v>
                </c:pt>
                <c:pt idx="210">
                  <c:v>1250</c:v>
                </c:pt>
                <c:pt idx="211">
                  <c:v>10.000000000000002</c:v>
                </c:pt>
                <c:pt idx="212">
                  <c:v>10.299999999999999</c:v>
                </c:pt>
                <c:pt idx="213">
                  <c:v>1024</c:v>
                </c:pt>
                <c:pt idx="214">
                  <c:v>160.00000000000003</c:v>
                </c:pt>
                <c:pt idx="215">
                  <c:v>1392</c:v>
                </c:pt>
                <c:pt idx="216">
                  <c:v>375</c:v>
                </c:pt>
                <c:pt idx="217">
                  <c:v>1400</c:v>
                </c:pt>
                <c:pt idx="218">
                  <c:v>500.00000000000006</c:v>
                </c:pt>
                <c:pt idx="219">
                  <c:v>249.98999999999998</c:v>
                </c:pt>
                <c:pt idx="220">
                  <c:v>1833.3328750000001</c:v>
                </c:pt>
                <c:pt idx="221">
                  <c:v>800</c:v>
                </c:pt>
                <c:pt idx="222">
                  <c:v>170</c:v>
                </c:pt>
                <c:pt idx="223">
                  <c:v>208.33333333333334</c:v>
                </c:pt>
                <c:pt idx="224">
                  <c:v>166.66666666666666</c:v>
                </c:pt>
                <c:pt idx="225">
                  <c:v>20</c:v>
                </c:pt>
                <c:pt idx="226">
                  <c:v>255</c:v>
                </c:pt>
                <c:pt idx="227">
                  <c:v>26.85</c:v>
                </c:pt>
                <c:pt idx="228">
                  <c:v>6.7999999999999989</c:v>
                </c:pt>
                <c:pt idx="229">
                  <c:v>36.636363636363633</c:v>
                </c:pt>
                <c:pt idx="230">
                  <c:v>74.9375</c:v>
                </c:pt>
                <c:pt idx="231">
                  <c:v>4.3600000000000003</c:v>
                </c:pt>
                <c:pt idx="232">
                  <c:v>84.666666666666671</c:v>
                </c:pt>
                <c:pt idx="233">
                  <c:v>13.900000000000002</c:v>
                </c:pt>
                <c:pt idx="234">
                  <c:v>108.33333333333333</c:v>
                </c:pt>
                <c:pt idx="235">
                  <c:v>2.4249999999999998</c:v>
                </c:pt>
                <c:pt idx="236">
                  <c:v>84</c:v>
                </c:pt>
                <c:pt idx="237">
                  <c:v>15000.000000000002</c:v>
                </c:pt>
                <c:pt idx="238">
                  <c:v>251999.99999999997</c:v>
                </c:pt>
                <c:pt idx="239">
                  <c:v>1</c:v>
                </c:pt>
                <c:pt idx="240">
                  <c:v>1133.3333333333333</c:v>
                </c:pt>
                <c:pt idx="241">
                  <c:v>12.15</c:v>
                </c:pt>
                <c:pt idx="242">
                  <c:v>23.999999999999996</c:v>
                </c:pt>
                <c:pt idx="243">
                  <c:v>220.83333333333334</c:v>
                </c:pt>
                <c:pt idx="244">
                  <c:v>9560</c:v>
                </c:pt>
                <c:pt idx="245">
                  <c:v>2.5499999999999998</c:v>
                </c:pt>
                <c:pt idx="246">
                  <c:v>12</c:v>
                </c:pt>
                <c:pt idx="247">
                  <c:v>388.75</c:v>
                </c:pt>
                <c:pt idx="248">
                  <c:v>11</c:v>
                </c:pt>
                <c:pt idx="249">
                  <c:v>0.42</c:v>
                </c:pt>
                <c:pt idx="250">
                  <c:v>7.7500000000000009</c:v>
                </c:pt>
                <c:pt idx="251">
                  <c:v>18.75</c:v>
                </c:pt>
                <c:pt idx="252">
                  <c:v>24.6</c:v>
                </c:pt>
                <c:pt idx="253">
                  <c:v>450.00000000000006</c:v>
                </c:pt>
                <c:pt idx="254">
                  <c:v>7.4111111111111114</c:v>
                </c:pt>
                <c:pt idx="255">
                  <c:v>3.4750000000000005</c:v>
                </c:pt>
                <c:pt idx="256">
                  <c:v>3.2</c:v>
                </c:pt>
                <c:pt idx="257">
                  <c:v>18.900000000000002</c:v>
                </c:pt>
                <c:pt idx="258">
                  <c:v>57.407407407407412</c:v>
                </c:pt>
                <c:pt idx="259">
                  <c:v>12.454545454545455</c:v>
                </c:pt>
                <c:pt idx="260">
                  <c:v>1250</c:v>
                </c:pt>
                <c:pt idx="261">
                  <c:v>2570.3124999999995</c:v>
                </c:pt>
                <c:pt idx="262">
                  <c:v>1200</c:v>
                </c:pt>
                <c:pt idx="263">
                  <c:v>7.8999999999999995</c:v>
                </c:pt>
                <c:pt idx="264">
                  <c:v>2525000</c:v>
                </c:pt>
                <c:pt idx="265">
                  <c:v>780</c:v>
                </c:pt>
                <c:pt idx="266">
                  <c:v>1022.7272727272726</c:v>
                </c:pt>
                <c:pt idx="267">
                  <c:v>1.325</c:v>
                </c:pt>
                <c:pt idx="268">
                  <c:v>198.8</c:v>
                </c:pt>
                <c:pt idx="269">
                  <c:v>1557.1428571428571</c:v>
                </c:pt>
                <c:pt idx="270">
                  <c:v>1100.0000000000002</c:v>
                </c:pt>
                <c:pt idx="271">
                  <c:v>0.88</c:v>
                </c:pt>
                <c:pt idx="272">
                  <c:v>20.000000000000004</c:v>
                </c:pt>
                <c:pt idx="273">
                  <c:v>7.1875</c:v>
                </c:pt>
                <c:pt idx="274">
                  <c:v>95.5</c:v>
                </c:pt>
                <c:pt idx="275">
                  <c:v>10.8125</c:v>
                </c:pt>
                <c:pt idx="276">
                  <c:v>1.0999999999999999</c:v>
                </c:pt>
                <c:pt idx="277">
                  <c:v>30</c:v>
                </c:pt>
                <c:pt idx="278">
                  <c:v>9.0588235294117645</c:v>
                </c:pt>
                <c:pt idx="279">
                  <c:v>20.000000000000004</c:v>
                </c:pt>
                <c:pt idx="280">
                  <c:v>274.44444444444446</c:v>
                </c:pt>
                <c:pt idx="281">
                  <c:v>828</c:v>
                </c:pt>
                <c:pt idx="282">
                  <c:v>78.5</c:v>
                </c:pt>
                <c:pt idx="283">
                  <c:v>5833.333333333333</c:v>
                </c:pt>
                <c:pt idx="284">
                  <c:v>1080</c:v>
                </c:pt>
                <c:pt idx="285">
                  <c:v>125.00000000000001</c:v>
                </c:pt>
                <c:pt idx="286">
                  <c:v>41250</c:v>
                </c:pt>
                <c:pt idx="287">
                  <c:v>6349999.9999999991</c:v>
                </c:pt>
                <c:pt idx="288">
                  <c:v>7849.9999999999991</c:v>
                </c:pt>
                <c:pt idx="289">
                  <c:v>1.26</c:v>
                </c:pt>
                <c:pt idx="290">
                  <c:v>3.5</c:v>
                </c:pt>
                <c:pt idx="291">
                  <c:v>550.00000000000011</c:v>
                </c:pt>
                <c:pt idx="292">
                  <c:v>75</c:v>
                </c:pt>
                <c:pt idx="293">
                  <c:v>7.0769230769230766</c:v>
                </c:pt>
                <c:pt idx="294">
                  <c:v>44.166666666666664</c:v>
                </c:pt>
                <c:pt idx="295">
                  <c:v>17500</c:v>
                </c:pt>
                <c:pt idx="296">
                  <c:v>128.25</c:v>
                </c:pt>
                <c:pt idx="297">
                  <c:v>1165</c:v>
                </c:pt>
                <c:pt idx="298">
                  <c:v>2.0833333333333335</c:v>
                </c:pt>
                <c:pt idx="299">
                  <c:v>37.5</c:v>
                </c:pt>
                <c:pt idx="300">
                  <c:v>290</c:v>
                </c:pt>
                <c:pt idx="301">
                  <c:v>2.7</c:v>
                </c:pt>
                <c:pt idx="302">
                  <c:v>332.5</c:v>
                </c:pt>
                <c:pt idx="303">
                  <c:v>46</c:v>
                </c:pt>
                <c:pt idx="304">
                  <c:v>380.00000000000006</c:v>
                </c:pt>
                <c:pt idx="305">
                  <c:v>216</c:v>
                </c:pt>
                <c:pt idx="306">
                  <c:v>18.878787878787879</c:v>
                </c:pt>
                <c:pt idx="307">
                  <c:v>4.6133333333333333</c:v>
                </c:pt>
                <c:pt idx="308">
                  <c:v>332</c:v>
                </c:pt>
                <c:pt idx="309">
                  <c:v>11.875</c:v>
                </c:pt>
                <c:pt idx="310">
                  <c:v>14.84375</c:v>
                </c:pt>
                <c:pt idx="311">
                  <c:v>5.0000000000000009</c:v>
                </c:pt>
                <c:pt idx="312">
                  <c:v>643</c:v>
                </c:pt>
                <c:pt idx="313">
                  <c:v>450</c:v>
                </c:pt>
                <c:pt idx="314">
                  <c:v>67.2</c:v>
                </c:pt>
                <c:pt idx="315">
                  <c:v>5500</c:v>
                </c:pt>
                <c:pt idx="316">
                  <c:v>139050</c:v>
                </c:pt>
                <c:pt idx="317">
                  <c:v>2.3629629629629632</c:v>
                </c:pt>
                <c:pt idx="318">
                  <c:v>19699.999999999996</c:v>
                </c:pt>
                <c:pt idx="319">
                  <c:v>30</c:v>
                </c:pt>
                <c:pt idx="320">
                  <c:v>5</c:v>
                </c:pt>
                <c:pt idx="321">
                  <c:v>3.2638888888888888</c:v>
                </c:pt>
                <c:pt idx="322">
                  <c:v>220.00000000000003</c:v>
                </c:pt>
                <c:pt idx="323">
                  <c:v>799.99999999999989</c:v>
                </c:pt>
                <c:pt idx="324">
                  <c:v>19.15625</c:v>
                </c:pt>
                <c:pt idx="325">
                  <c:v>7.6</c:v>
                </c:pt>
                <c:pt idx="326">
                  <c:v>31.720000000000002</c:v>
                </c:pt>
                <c:pt idx="327">
                  <c:v>12.6</c:v>
                </c:pt>
                <c:pt idx="328">
                  <c:v>4.0999999999999996</c:v>
                </c:pt>
                <c:pt idx="329">
                  <c:v>10.000000000000002</c:v>
                </c:pt>
                <c:pt idx="330">
                  <c:v>653.33333333333337</c:v>
                </c:pt>
                <c:pt idx="331">
                  <c:v>1.7833333333333332</c:v>
                </c:pt>
                <c:pt idx="332">
                  <c:v>61.499999999999993</c:v>
                </c:pt>
                <c:pt idx="333">
                  <c:v>4.54</c:v>
                </c:pt>
                <c:pt idx="334">
                  <c:v>15.625000000000002</c:v>
                </c:pt>
                <c:pt idx="335">
                  <c:v>130</c:v>
                </c:pt>
                <c:pt idx="336">
                  <c:v>76</c:v>
                </c:pt>
                <c:pt idx="337">
                  <c:v>292</c:v>
                </c:pt>
                <c:pt idx="338">
                  <c:v>45.8125</c:v>
                </c:pt>
                <c:pt idx="339">
                  <c:v>81.499999999999986</c:v>
                </c:pt>
                <c:pt idx="340">
                  <c:v>3000</c:v>
                </c:pt>
                <c:pt idx="341">
                  <c:v>6.8999999999999995</c:v>
                </c:pt>
                <c:pt idx="342">
                  <c:v>252749.99999999997</c:v>
                </c:pt>
                <c:pt idx="343">
                  <c:v>2791.666666666667</c:v>
                </c:pt>
                <c:pt idx="344">
                  <c:v>842.49999999999989</c:v>
                </c:pt>
                <c:pt idx="345">
                  <c:v>600</c:v>
                </c:pt>
                <c:pt idx="346">
                  <c:v>85.6</c:v>
                </c:pt>
                <c:pt idx="347">
                  <c:v>32.000000000000007</c:v>
                </c:pt>
                <c:pt idx="348">
                  <c:v>633.33333333333337</c:v>
                </c:pt>
                <c:pt idx="349">
                  <c:v>136054.42176870749</c:v>
                </c:pt>
                <c:pt idx="350">
                  <c:v>72.222222222222229</c:v>
                </c:pt>
                <c:pt idx="351">
                  <c:v>5.08</c:v>
                </c:pt>
                <c:pt idx="352">
                  <c:v>1.6666666666666665</c:v>
                </c:pt>
                <c:pt idx="353">
                  <c:v>7</c:v>
                </c:pt>
                <c:pt idx="354">
                  <c:v>14.775000000000002</c:v>
                </c:pt>
                <c:pt idx="355">
                  <c:v>175.00000000000003</c:v>
                </c:pt>
                <c:pt idx="356">
                  <c:v>218.75000000000003</c:v>
                </c:pt>
                <c:pt idx="357">
                  <c:v>324.99999999999994</c:v>
                </c:pt>
                <c:pt idx="358">
                  <c:v>32.687635637043229</c:v>
                </c:pt>
                <c:pt idx="359">
                  <c:v>3.1134430406629754</c:v>
                </c:pt>
                <c:pt idx="360">
                  <c:v>2416.666666666667</c:v>
                </c:pt>
                <c:pt idx="361">
                  <c:v>2895.833333333333</c:v>
                </c:pt>
                <c:pt idx="362">
                  <c:v>67</c:v>
                </c:pt>
                <c:pt idx="363">
                  <c:v>148</c:v>
                </c:pt>
                <c:pt idx="364">
                  <c:v>21.666666666666668</c:v>
                </c:pt>
                <c:pt idx="365">
                  <c:v>0.77777777777777779</c:v>
                </c:pt>
                <c:pt idx="366">
                  <c:v>680</c:v>
                </c:pt>
                <c:pt idx="367">
                  <c:v>78</c:v>
                </c:pt>
                <c:pt idx="368">
                  <c:v>95.2</c:v>
                </c:pt>
                <c:pt idx="369">
                  <c:v>20.525000000000002</c:v>
                </c:pt>
                <c:pt idx="370">
                  <c:v>16.000000000000004</c:v>
                </c:pt>
                <c:pt idx="371">
                  <c:v>25.2</c:v>
                </c:pt>
                <c:pt idx="372">
                  <c:v>720</c:v>
                </c:pt>
                <c:pt idx="373">
                  <c:v>1680</c:v>
                </c:pt>
                <c:pt idx="374">
                  <c:v>2900.0000000000005</c:v>
                </c:pt>
                <c:pt idx="375">
                  <c:v>747</c:v>
                </c:pt>
                <c:pt idx="376">
                  <c:v>7.0000000000000009</c:v>
                </c:pt>
                <c:pt idx="377">
                  <c:v>1.6885714285714284</c:v>
                </c:pt>
                <c:pt idx="378">
                  <c:v>1.4800000000000002</c:v>
                </c:pt>
                <c:pt idx="379">
                  <c:v>6.3076923076923075</c:v>
                </c:pt>
                <c:pt idx="380">
                  <c:v>6.4999999999999991</c:v>
                </c:pt>
                <c:pt idx="381">
                  <c:v>3.7307692307692313</c:v>
                </c:pt>
                <c:pt idx="382">
                  <c:v>4250</c:v>
                </c:pt>
                <c:pt idx="383">
                  <c:v>1835.1999999999998</c:v>
                </c:pt>
                <c:pt idx="384">
                  <c:v>23500</c:v>
                </c:pt>
                <c:pt idx="385">
                  <c:v>880.00000000000011</c:v>
                </c:pt>
                <c:pt idx="386">
                  <c:v>1435</c:v>
                </c:pt>
                <c:pt idx="387">
                  <c:v>5087.5</c:v>
                </c:pt>
                <c:pt idx="388">
                  <c:v>219.44444444444446</c:v>
                </c:pt>
                <c:pt idx="389">
                  <c:v>453.33333333333331</c:v>
                </c:pt>
                <c:pt idx="390">
                  <c:v>133.79999999999998</c:v>
                </c:pt>
                <c:pt idx="391">
                  <c:v>34.166666666666664</c:v>
                </c:pt>
                <c:pt idx="392">
                  <c:v>750</c:v>
                </c:pt>
                <c:pt idx="393">
                  <c:v>4.1944444444444446</c:v>
                </c:pt>
                <c:pt idx="394">
                  <c:v>5.3461538461538458</c:v>
                </c:pt>
                <c:pt idx="395">
                  <c:v>13.5</c:v>
                </c:pt>
                <c:pt idx="396">
                  <c:v>785.83333333333326</c:v>
                </c:pt>
                <c:pt idx="397">
                  <c:v>40.6</c:v>
                </c:pt>
                <c:pt idx="398">
                  <c:v>533.33333333333337</c:v>
                </c:pt>
                <c:pt idx="399">
                  <c:v>22.599999999999998</c:v>
                </c:pt>
                <c:pt idx="400">
                  <c:v>6.4464285714285721</c:v>
                </c:pt>
                <c:pt idx="401">
                  <c:v>1.52</c:v>
                </c:pt>
                <c:pt idx="402">
                  <c:v>31.250000000000004</c:v>
                </c:pt>
                <c:pt idx="403">
                  <c:v>10.6</c:v>
                </c:pt>
                <c:pt idx="404">
                  <c:v>1.4577777777777776</c:v>
                </c:pt>
                <c:pt idx="405">
                  <c:v>1.1111111111111112</c:v>
                </c:pt>
                <c:pt idx="406">
                  <c:v>3.17</c:v>
                </c:pt>
                <c:pt idx="407">
                  <c:v>2.1</c:v>
                </c:pt>
                <c:pt idx="408">
                  <c:v>4645</c:v>
                </c:pt>
                <c:pt idx="409">
                  <c:v>1040.0000000000002</c:v>
                </c:pt>
                <c:pt idx="410">
                  <c:v>170</c:v>
                </c:pt>
                <c:pt idx="411">
                  <c:v>10.000000000000002</c:v>
                </c:pt>
                <c:pt idx="412">
                  <c:v>5.1999999999999993</c:v>
                </c:pt>
                <c:pt idx="413">
                  <c:v>31.250000000000004</c:v>
                </c:pt>
                <c:pt idx="414">
                  <c:v>7.2000000000000011</c:v>
                </c:pt>
                <c:pt idx="415">
                  <c:v>82750</c:v>
                </c:pt>
                <c:pt idx="416">
                  <c:v>110.00000000000001</c:v>
                </c:pt>
                <c:pt idx="417">
                  <c:v>536.9</c:v>
                </c:pt>
                <c:pt idx="418">
                  <c:v>1250</c:v>
                </c:pt>
                <c:pt idx="419">
                  <c:v>7.5499999999999989</c:v>
                </c:pt>
                <c:pt idx="420">
                  <c:v>6.6476190476190471</c:v>
                </c:pt>
                <c:pt idx="421">
                  <c:v>2</c:v>
                </c:pt>
                <c:pt idx="422">
                  <c:v>14.983333333333331</c:v>
                </c:pt>
                <c:pt idx="423">
                  <c:v>109.84375</c:v>
                </c:pt>
                <c:pt idx="424">
                  <c:v>1.6525000000000001</c:v>
                </c:pt>
                <c:pt idx="425">
                  <c:v>1.6041666666666667</c:v>
                </c:pt>
                <c:pt idx="426">
                  <c:v>2.285714285714286</c:v>
                </c:pt>
              </c:numCache>
            </c:numRef>
          </c:yVal>
          <c:smooth val="0"/>
          <c:extLst>
            <c:ext xmlns:c16="http://schemas.microsoft.com/office/drawing/2014/chart" uri="{C3380CC4-5D6E-409C-BE32-E72D297353CC}">
              <c16:uniqueId val="{00000006-F3A9-4B4D-917F-4EAEF3A346FC}"/>
            </c:ext>
          </c:extLst>
        </c:ser>
        <c:ser>
          <c:idx val="1"/>
          <c:order val="3"/>
          <c:tx>
            <c:v>VLSI 1997-2024</c:v>
          </c:tx>
          <c:spPr>
            <a:ln w="28575">
              <a:noFill/>
            </a:ln>
          </c:spPr>
          <c:marker>
            <c:symbol val="x"/>
            <c:size val="7"/>
            <c:spPr>
              <a:noFill/>
              <a:ln>
                <a:solidFill>
                  <a:srgbClr val="000000"/>
                </a:solidFill>
                <a:prstDash val="solid"/>
              </a:ln>
            </c:spPr>
          </c:marker>
          <c:xVal>
            <c:numRef>
              <c:f>VLSI!$X$2:$X$280</c:f>
              <c:numCache>
                <c:formatCode>0.0</c:formatCode>
                <c:ptCount val="279"/>
                <c:pt idx="0">
                  <c:v>91.5</c:v>
                </c:pt>
                <c:pt idx="1">
                  <c:v>24.034000000000002</c:v>
                </c:pt>
                <c:pt idx="2">
                  <c:v>58.5</c:v>
                </c:pt>
                <c:pt idx="3">
                  <c:v>43.3</c:v>
                </c:pt>
                <c:pt idx="4">
                  <c:v>53</c:v>
                </c:pt>
                <c:pt idx="5">
                  <c:v>45</c:v>
                </c:pt>
                <c:pt idx="6">
                  <c:v>33.5</c:v>
                </c:pt>
                <c:pt idx="7">
                  <c:v>42.3</c:v>
                </c:pt>
                <c:pt idx="8">
                  <c:v>78</c:v>
                </c:pt>
                <c:pt idx="9">
                  <c:v>68</c:v>
                </c:pt>
                <c:pt idx="10">
                  <c:v>40.200000000000003</c:v>
                </c:pt>
                <c:pt idx="11">
                  <c:v>45</c:v>
                </c:pt>
                <c:pt idx="12">
                  <c:v>67</c:v>
                </c:pt>
                <c:pt idx="13">
                  <c:v>31</c:v>
                </c:pt>
                <c:pt idx="14">
                  <c:v>54.916599999999995</c:v>
                </c:pt>
                <c:pt idx="15">
                  <c:v>55</c:v>
                </c:pt>
                <c:pt idx="16">
                  <c:v>85.7</c:v>
                </c:pt>
                <c:pt idx="17">
                  <c:v>78.400000000000006</c:v>
                </c:pt>
                <c:pt idx="18">
                  <c:v>77.400000000000006</c:v>
                </c:pt>
                <c:pt idx="19">
                  <c:v>76</c:v>
                </c:pt>
                <c:pt idx="20">
                  <c:v>55</c:v>
                </c:pt>
                <c:pt idx="21">
                  <c:v>61</c:v>
                </c:pt>
                <c:pt idx="22">
                  <c:v>72</c:v>
                </c:pt>
                <c:pt idx="23">
                  <c:v>55</c:v>
                </c:pt>
                <c:pt idx="24">
                  <c:v>52</c:v>
                </c:pt>
                <c:pt idx="25">
                  <c:v>30</c:v>
                </c:pt>
                <c:pt idx="26">
                  <c:v>40</c:v>
                </c:pt>
                <c:pt idx="27">
                  <c:v>60.394799999999996</c:v>
                </c:pt>
                <c:pt idx="28">
                  <c:v>57.2</c:v>
                </c:pt>
                <c:pt idx="29">
                  <c:v>55</c:v>
                </c:pt>
                <c:pt idx="30">
                  <c:v>69</c:v>
                </c:pt>
                <c:pt idx="31">
                  <c:v>88</c:v>
                </c:pt>
                <c:pt idx="32">
                  <c:v>66.099999999999994</c:v>
                </c:pt>
                <c:pt idx="33">
                  <c:v>22.5</c:v>
                </c:pt>
                <c:pt idx="34">
                  <c:v>58.8</c:v>
                </c:pt>
                <c:pt idx="35">
                  <c:v>56.5</c:v>
                </c:pt>
                <c:pt idx="36">
                  <c:v>70.400000000000006</c:v>
                </c:pt>
                <c:pt idx="37">
                  <c:v>60</c:v>
                </c:pt>
                <c:pt idx="38">
                  <c:v>56</c:v>
                </c:pt>
                <c:pt idx="39">
                  <c:v>33.700000000000003</c:v>
                </c:pt>
                <c:pt idx="40">
                  <c:v>41.5</c:v>
                </c:pt>
                <c:pt idx="41">
                  <c:v>44.5</c:v>
                </c:pt>
                <c:pt idx="42">
                  <c:v>33.6</c:v>
                </c:pt>
                <c:pt idx="43">
                  <c:v>26</c:v>
                </c:pt>
                <c:pt idx="44">
                  <c:v>89</c:v>
                </c:pt>
                <c:pt idx="45">
                  <c:v>84</c:v>
                </c:pt>
                <c:pt idx="46">
                  <c:v>63</c:v>
                </c:pt>
                <c:pt idx="47">
                  <c:v>76</c:v>
                </c:pt>
                <c:pt idx="48">
                  <c:v>48.113999999999997</c:v>
                </c:pt>
                <c:pt idx="49">
                  <c:v>31.18</c:v>
                </c:pt>
                <c:pt idx="50">
                  <c:v>40.889999999999993</c:v>
                </c:pt>
                <c:pt idx="51">
                  <c:v>36</c:v>
                </c:pt>
                <c:pt idx="52">
                  <c:v>70.7</c:v>
                </c:pt>
                <c:pt idx="53">
                  <c:v>62</c:v>
                </c:pt>
                <c:pt idx="54">
                  <c:v>48.1</c:v>
                </c:pt>
                <c:pt idx="55">
                  <c:v>67</c:v>
                </c:pt>
                <c:pt idx="56">
                  <c:v>63</c:v>
                </c:pt>
                <c:pt idx="57">
                  <c:v>84</c:v>
                </c:pt>
                <c:pt idx="58">
                  <c:v>86.3</c:v>
                </c:pt>
                <c:pt idx="59">
                  <c:v>60</c:v>
                </c:pt>
                <c:pt idx="60">
                  <c:v>44.2</c:v>
                </c:pt>
                <c:pt idx="61">
                  <c:v>70</c:v>
                </c:pt>
                <c:pt idx="62">
                  <c:v>33.665999999999997</c:v>
                </c:pt>
                <c:pt idx="63">
                  <c:v>30</c:v>
                </c:pt>
                <c:pt idx="64">
                  <c:v>32</c:v>
                </c:pt>
                <c:pt idx="65">
                  <c:v>32.4</c:v>
                </c:pt>
                <c:pt idx="66">
                  <c:v>95</c:v>
                </c:pt>
                <c:pt idx="67">
                  <c:v>84</c:v>
                </c:pt>
                <c:pt idx="68">
                  <c:v>61</c:v>
                </c:pt>
                <c:pt idx="69">
                  <c:v>68</c:v>
                </c:pt>
                <c:pt idx="70">
                  <c:v>47.7</c:v>
                </c:pt>
                <c:pt idx="71">
                  <c:v>54.3</c:v>
                </c:pt>
                <c:pt idx="72">
                  <c:v>64</c:v>
                </c:pt>
                <c:pt idx="73">
                  <c:v>65.900000000000006</c:v>
                </c:pt>
                <c:pt idx="74">
                  <c:v>62.5</c:v>
                </c:pt>
                <c:pt idx="75">
                  <c:v>65</c:v>
                </c:pt>
                <c:pt idx="76">
                  <c:v>56.3</c:v>
                </c:pt>
                <c:pt idx="77">
                  <c:v>75.400000000000006</c:v>
                </c:pt>
                <c:pt idx="78">
                  <c:v>52</c:v>
                </c:pt>
                <c:pt idx="79">
                  <c:v>32</c:v>
                </c:pt>
                <c:pt idx="80">
                  <c:v>63</c:v>
                </c:pt>
                <c:pt idx="81">
                  <c:v>53.8</c:v>
                </c:pt>
                <c:pt idx="82">
                  <c:v>33.6</c:v>
                </c:pt>
                <c:pt idx="83">
                  <c:v>24.5</c:v>
                </c:pt>
                <c:pt idx="84">
                  <c:v>39</c:v>
                </c:pt>
                <c:pt idx="85">
                  <c:v>53.8</c:v>
                </c:pt>
                <c:pt idx="86">
                  <c:v>82</c:v>
                </c:pt>
                <c:pt idx="87">
                  <c:v>76</c:v>
                </c:pt>
                <c:pt idx="88">
                  <c:v>75</c:v>
                </c:pt>
                <c:pt idx="89">
                  <c:v>72</c:v>
                </c:pt>
                <c:pt idx="90">
                  <c:v>58</c:v>
                </c:pt>
                <c:pt idx="91">
                  <c:v>64</c:v>
                </c:pt>
                <c:pt idx="92">
                  <c:v>25.1</c:v>
                </c:pt>
                <c:pt idx="93">
                  <c:v>28</c:v>
                </c:pt>
                <c:pt idx="94">
                  <c:v>63.163999999999987</c:v>
                </c:pt>
                <c:pt idx="95">
                  <c:v>64.367999999999995</c:v>
                </c:pt>
                <c:pt idx="96">
                  <c:v>60.29</c:v>
                </c:pt>
                <c:pt idx="97">
                  <c:v>54.073799999999991</c:v>
                </c:pt>
                <c:pt idx="98">
                  <c:v>73.7</c:v>
                </c:pt>
                <c:pt idx="99">
                  <c:v>63</c:v>
                </c:pt>
                <c:pt idx="100">
                  <c:v>73.3</c:v>
                </c:pt>
                <c:pt idx="101">
                  <c:v>41</c:v>
                </c:pt>
                <c:pt idx="102">
                  <c:v>78</c:v>
                </c:pt>
                <c:pt idx="103">
                  <c:v>51</c:v>
                </c:pt>
                <c:pt idx="104">
                  <c:v>56</c:v>
                </c:pt>
                <c:pt idx="105">
                  <c:v>33.064</c:v>
                </c:pt>
                <c:pt idx="106">
                  <c:v>50</c:v>
                </c:pt>
                <c:pt idx="107">
                  <c:v>40</c:v>
                </c:pt>
                <c:pt idx="108">
                  <c:v>60.3</c:v>
                </c:pt>
                <c:pt idx="109">
                  <c:v>45.103999999999999</c:v>
                </c:pt>
                <c:pt idx="110">
                  <c:v>46.91</c:v>
                </c:pt>
                <c:pt idx="111">
                  <c:v>44.501999999999995</c:v>
                </c:pt>
                <c:pt idx="112">
                  <c:v>30</c:v>
                </c:pt>
                <c:pt idx="113">
                  <c:v>38.9</c:v>
                </c:pt>
                <c:pt idx="114">
                  <c:v>59.1</c:v>
                </c:pt>
                <c:pt idx="115">
                  <c:v>33.1</c:v>
                </c:pt>
                <c:pt idx="116">
                  <c:v>50</c:v>
                </c:pt>
                <c:pt idx="117">
                  <c:v>52.4</c:v>
                </c:pt>
                <c:pt idx="118">
                  <c:v>61.5</c:v>
                </c:pt>
                <c:pt idx="119">
                  <c:v>48.2</c:v>
                </c:pt>
                <c:pt idx="120">
                  <c:v>42.75</c:v>
                </c:pt>
                <c:pt idx="121">
                  <c:v>43.297999999999995</c:v>
                </c:pt>
                <c:pt idx="122">
                  <c:v>52.94</c:v>
                </c:pt>
                <c:pt idx="123">
                  <c:v>56.3</c:v>
                </c:pt>
                <c:pt idx="124">
                  <c:v>70</c:v>
                </c:pt>
                <c:pt idx="125">
                  <c:v>70.7</c:v>
                </c:pt>
                <c:pt idx="126">
                  <c:v>67</c:v>
                </c:pt>
                <c:pt idx="127">
                  <c:v>70</c:v>
                </c:pt>
                <c:pt idx="128">
                  <c:v>75.099999999999994</c:v>
                </c:pt>
                <c:pt idx="129">
                  <c:v>69</c:v>
                </c:pt>
                <c:pt idx="130">
                  <c:v>66</c:v>
                </c:pt>
                <c:pt idx="131">
                  <c:v>58.5</c:v>
                </c:pt>
                <c:pt idx="132">
                  <c:v>73.900000000000006</c:v>
                </c:pt>
                <c:pt idx="133">
                  <c:v>50</c:v>
                </c:pt>
                <c:pt idx="134">
                  <c:v>75.900000000000006</c:v>
                </c:pt>
                <c:pt idx="135">
                  <c:v>65.2</c:v>
                </c:pt>
                <c:pt idx="136">
                  <c:v>57.6</c:v>
                </c:pt>
                <c:pt idx="137">
                  <c:v>52.2</c:v>
                </c:pt>
                <c:pt idx="138">
                  <c:v>36.979999999999997</c:v>
                </c:pt>
                <c:pt idx="139">
                  <c:v>30.9</c:v>
                </c:pt>
                <c:pt idx="140">
                  <c:v>44.2</c:v>
                </c:pt>
                <c:pt idx="141">
                  <c:v>55</c:v>
                </c:pt>
                <c:pt idx="142">
                  <c:v>27</c:v>
                </c:pt>
                <c:pt idx="143">
                  <c:v>98.6</c:v>
                </c:pt>
                <c:pt idx="144">
                  <c:v>53.7</c:v>
                </c:pt>
                <c:pt idx="145">
                  <c:v>72</c:v>
                </c:pt>
                <c:pt idx="146">
                  <c:v>37.4</c:v>
                </c:pt>
                <c:pt idx="147">
                  <c:v>64</c:v>
                </c:pt>
                <c:pt idx="148">
                  <c:v>67.5</c:v>
                </c:pt>
                <c:pt idx="149">
                  <c:v>90</c:v>
                </c:pt>
                <c:pt idx="150">
                  <c:v>67.2</c:v>
                </c:pt>
                <c:pt idx="151">
                  <c:v>65</c:v>
                </c:pt>
                <c:pt idx="152">
                  <c:v>60.1</c:v>
                </c:pt>
                <c:pt idx="153">
                  <c:v>67.099999999999994</c:v>
                </c:pt>
                <c:pt idx="154">
                  <c:v>65.3</c:v>
                </c:pt>
                <c:pt idx="155">
                  <c:v>46.9</c:v>
                </c:pt>
                <c:pt idx="156">
                  <c:v>68.099999999999994</c:v>
                </c:pt>
                <c:pt idx="157">
                  <c:v>58</c:v>
                </c:pt>
                <c:pt idx="158">
                  <c:v>68</c:v>
                </c:pt>
                <c:pt idx="159">
                  <c:v>29.7</c:v>
                </c:pt>
                <c:pt idx="160">
                  <c:v>40</c:v>
                </c:pt>
                <c:pt idx="161">
                  <c:v>25.2</c:v>
                </c:pt>
                <c:pt idx="162">
                  <c:v>64.900000000000006</c:v>
                </c:pt>
                <c:pt idx="163">
                  <c:v>71.5</c:v>
                </c:pt>
                <c:pt idx="164">
                  <c:v>75.3</c:v>
                </c:pt>
                <c:pt idx="165">
                  <c:v>67.7</c:v>
                </c:pt>
                <c:pt idx="166">
                  <c:v>66.900000000000006</c:v>
                </c:pt>
                <c:pt idx="167">
                  <c:v>69.099999999999994</c:v>
                </c:pt>
                <c:pt idx="168">
                  <c:v>80.5</c:v>
                </c:pt>
                <c:pt idx="169">
                  <c:v>85</c:v>
                </c:pt>
                <c:pt idx="170">
                  <c:v>97.99</c:v>
                </c:pt>
                <c:pt idx="171">
                  <c:v>96.8</c:v>
                </c:pt>
                <c:pt idx="172">
                  <c:v>74.3</c:v>
                </c:pt>
                <c:pt idx="173">
                  <c:v>67.599999999999994</c:v>
                </c:pt>
                <c:pt idx="174">
                  <c:v>31.5</c:v>
                </c:pt>
                <c:pt idx="175">
                  <c:v>75</c:v>
                </c:pt>
                <c:pt idx="176">
                  <c:v>69.099999999999994</c:v>
                </c:pt>
                <c:pt idx="177">
                  <c:v>65</c:v>
                </c:pt>
                <c:pt idx="178">
                  <c:v>60.8</c:v>
                </c:pt>
                <c:pt idx="179">
                  <c:v>74.12</c:v>
                </c:pt>
                <c:pt idx="180">
                  <c:v>58.709199999999996</c:v>
                </c:pt>
                <c:pt idx="181">
                  <c:v>29.3918</c:v>
                </c:pt>
                <c:pt idx="182">
                  <c:v>29</c:v>
                </c:pt>
                <c:pt idx="183">
                  <c:v>50.3</c:v>
                </c:pt>
                <c:pt idx="184">
                  <c:v>58</c:v>
                </c:pt>
                <c:pt idx="185">
                  <c:v>74.400000000000006</c:v>
                </c:pt>
                <c:pt idx="186">
                  <c:v>68.599999999999994</c:v>
                </c:pt>
                <c:pt idx="187">
                  <c:v>64</c:v>
                </c:pt>
                <c:pt idx="188">
                  <c:v>88.5</c:v>
                </c:pt>
                <c:pt idx="189">
                  <c:v>64</c:v>
                </c:pt>
                <c:pt idx="190">
                  <c:v>56.6</c:v>
                </c:pt>
                <c:pt idx="191">
                  <c:v>56.3</c:v>
                </c:pt>
                <c:pt idx="192">
                  <c:v>73.2</c:v>
                </c:pt>
                <c:pt idx="193">
                  <c:v>69.099999999999994</c:v>
                </c:pt>
                <c:pt idx="194">
                  <c:v>80</c:v>
                </c:pt>
                <c:pt idx="195">
                  <c:v>69.099999999999994</c:v>
                </c:pt>
                <c:pt idx="196">
                  <c:v>84.8</c:v>
                </c:pt>
                <c:pt idx="197">
                  <c:v>60.45</c:v>
                </c:pt>
                <c:pt idx="198">
                  <c:v>50.1</c:v>
                </c:pt>
                <c:pt idx="199">
                  <c:v>100</c:v>
                </c:pt>
                <c:pt idx="200">
                  <c:v>78</c:v>
                </c:pt>
                <c:pt idx="201">
                  <c:v>40.700000000000003</c:v>
                </c:pt>
                <c:pt idx="202">
                  <c:v>66.599999999999994</c:v>
                </c:pt>
                <c:pt idx="203">
                  <c:v>54.56</c:v>
                </c:pt>
                <c:pt idx="204">
                  <c:v>45</c:v>
                </c:pt>
                <c:pt idx="205">
                  <c:v>45</c:v>
                </c:pt>
                <c:pt idx="206">
                  <c:v>57</c:v>
                </c:pt>
                <c:pt idx="207">
                  <c:v>94.1</c:v>
                </c:pt>
                <c:pt idx="208">
                  <c:v>70.400000000000006</c:v>
                </c:pt>
                <c:pt idx="209">
                  <c:v>77.099999999999994</c:v>
                </c:pt>
                <c:pt idx="210">
                  <c:v>96.6</c:v>
                </c:pt>
                <c:pt idx="211">
                  <c:v>100.8</c:v>
                </c:pt>
                <c:pt idx="212">
                  <c:v>91.3</c:v>
                </c:pt>
                <c:pt idx="213">
                  <c:v>37.799999999999997</c:v>
                </c:pt>
                <c:pt idx="214">
                  <c:v>75.8</c:v>
                </c:pt>
                <c:pt idx="215">
                  <c:v>103</c:v>
                </c:pt>
                <c:pt idx="216">
                  <c:v>62.1</c:v>
                </c:pt>
                <c:pt idx="217">
                  <c:v>56.361399999999996</c:v>
                </c:pt>
                <c:pt idx="218">
                  <c:v>48.5</c:v>
                </c:pt>
                <c:pt idx="219">
                  <c:v>49.8</c:v>
                </c:pt>
                <c:pt idx="220">
                  <c:v>106.4</c:v>
                </c:pt>
                <c:pt idx="221">
                  <c:v>103.5</c:v>
                </c:pt>
                <c:pt idx="222">
                  <c:v>71.400000000000006</c:v>
                </c:pt>
                <c:pt idx="223">
                  <c:v>77.5</c:v>
                </c:pt>
                <c:pt idx="224">
                  <c:v>29.4</c:v>
                </c:pt>
                <c:pt idx="225">
                  <c:v>59.5</c:v>
                </c:pt>
                <c:pt idx="226">
                  <c:v>56.3</c:v>
                </c:pt>
                <c:pt idx="227">
                  <c:v>45.465199999999996</c:v>
                </c:pt>
                <c:pt idx="228">
                  <c:v>106.5</c:v>
                </c:pt>
                <c:pt idx="229">
                  <c:v>86.1</c:v>
                </c:pt>
                <c:pt idx="230">
                  <c:v>74.400000000000006</c:v>
                </c:pt>
                <c:pt idx="231">
                  <c:v>63.6</c:v>
                </c:pt>
                <c:pt idx="232">
                  <c:v>59.6</c:v>
                </c:pt>
                <c:pt idx="233">
                  <c:v>32.5</c:v>
                </c:pt>
                <c:pt idx="234">
                  <c:v>83</c:v>
                </c:pt>
                <c:pt idx="235">
                  <c:v>71.5</c:v>
                </c:pt>
                <c:pt idx="236">
                  <c:v>37.04</c:v>
                </c:pt>
                <c:pt idx="237">
                  <c:v>62.3</c:v>
                </c:pt>
                <c:pt idx="238">
                  <c:v>38.799999999999997</c:v>
                </c:pt>
                <c:pt idx="239">
                  <c:v>42.4</c:v>
                </c:pt>
                <c:pt idx="240">
                  <c:v>59.28</c:v>
                </c:pt>
                <c:pt idx="241">
                  <c:v>57.745999999999995</c:v>
                </c:pt>
                <c:pt idx="242">
                  <c:v>94.5</c:v>
                </c:pt>
                <c:pt idx="243">
                  <c:v>81.599999999999994</c:v>
                </c:pt>
                <c:pt idx="244">
                  <c:v>98.3</c:v>
                </c:pt>
                <c:pt idx="245">
                  <c:v>77.3</c:v>
                </c:pt>
                <c:pt idx="246">
                  <c:v>65</c:v>
                </c:pt>
                <c:pt idx="247">
                  <c:v>62</c:v>
                </c:pt>
                <c:pt idx="248">
                  <c:v>44.8</c:v>
                </c:pt>
                <c:pt idx="249">
                  <c:v>67.53</c:v>
                </c:pt>
                <c:pt idx="250">
                  <c:v>60.153999999999989</c:v>
                </c:pt>
                <c:pt idx="251">
                  <c:v>32.799999999999997</c:v>
                </c:pt>
                <c:pt idx="252">
                  <c:v>38</c:v>
                </c:pt>
                <c:pt idx="253">
                  <c:v>48</c:v>
                </c:pt>
                <c:pt idx="254">
                  <c:v>48</c:v>
                </c:pt>
                <c:pt idx="255">
                  <c:v>60</c:v>
                </c:pt>
                <c:pt idx="256">
                  <c:v>84.2</c:v>
                </c:pt>
                <c:pt idx="257">
                  <c:v>72.8</c:v>
                </c:pt>
                <c:pt idx="258">
                  <c:v>62</c:v>
                </c:pt>
                <c:pt idx="259">
                  <c:v>57.3</c:v>
                </c:pt>
                <c:pt idx="260">
                  <c:v>76.900000000000006</c:v>
                </c:pt>
                <c:pt idx="261">
                  <c:v>67.900000000000006</c:v>
                </c:pt>
                <c:pt idx="262">
                  <c:v>74</c:v>
                </c:pt>
                <c:pt idx="263">
                  <c:v>61.4</c:v>
                </c:pt>
                <c:pt idx="264">
                  <c:v>79.900000000000006</c:v>
                </c:pt>
                <c:pt idx="265">
                  <c:v>58</c:v>
                </c:pt>
                <c:pt idx="266">
                  <c:v>83.47</c:v>
                </c:pt>
                <c:pt idx="267">
                  <c:v>100.7</c:v>
                </c:pt>
                <c:pt idx="268">
                  <c:v>99.2</c:v>
                </c:pt>
                <c:pt idx="269">
                  <c:v>89</c:v>
                </c:pt>
                <c:pt idx="270">
                  <c:v>62</c:v>
                </c:pt>
                <c:pt idx="271">
                  <c:v>93.8</c:v>
                </c:pt>
                <c:pt idx="272">
                  <c:v>81.8</c:v>
                </c:pt>
                <c:pt idx="273">
                  <c:v>65.900000000000006</c:v>
                </c:pt>
                <c:pt idx="274">
                  <c:v>67.45</c:v>
                </c:pt>
                <c:pt idx="275">
                  <c:v>44.48</c:v>
                </c:pt>
                <c:pt idx="276">
                  <c:v>34.299999999999997</c:v>
                </c:pt>
                <c:pt idx="277">
                  <c:v>50.2</c:v>
                </c:pt>
                <c:pt idx="278">
                  <c:v>51</c:v>
                </c:pt>
              </c:numCache>
            </c:numRef>
          </c:xVal>
          <c:yVal>
            <c:numRef>
              <c:f>VLSI!$AD$2:$AD$280</c:f>
              <c:numCache>
                <c:formatCode>0.00E+00</c:formatCode>
                <c:ptCount val="279"/>
                <c:pt idx="0">
                  <c:v>162499.99999999997</c:v>
                </c:pt>
                <c:pt idx="1">
                  <c:v>1562.5</c:v>
                </c:pt>
                <c:pt idx="2">
                  <c:v>2517.4825174825169</c:v>
                </c:pt>
                <c:pt idx="3">
                  <c:v>1800</c:v>
                </c:pt>
                <c:pt idx="4">
                  <c:v>43750</c:v>
                </c:pt>
                <c:pt idx="5">
                  <c:v>1900</c:v>
                </c:pt>
                <c:pt idx="6">
                  <c:v>400</c:v>
                </c:pt>
                <c:pt idx="7">
                  <c:v>1650</c:v>
                </c:pt>
                <c:pt idx="8">
                  <c:v>25000.000000000004</c:v>
                </c:pt>
                <c:pt idx="9">
                  <c:v>8095.2380952380954</c:v>
                </c:pt>
                <c:pt idx="10">
                  <c:v>880</c:v>
                </c:pt>
                <c:pt idx="11">
                  <c:v>600</c:v>
                </c:pt>
                <c:pt idx="12">
                  <c:v>11764.705882352941</c:v>
                </c:pt>
                <c:pt idx="13">
                  <c:v>175.00000000000003</c:v>
                </c:pt>
                <c:pt idx="14">
                  <c:v>1800</c:v>
                </c:pt>
                <c:pt idx="15">
                  <c:v>9000</c:v>
                </c:pt>
                <c:pt idx="16">
                  <c:v>150000</c:v>
                </c:pt>
                <c:pt idx="17">
                  <c:v>8518.5185185185182</c:v>
                </c:pt>
                <c:pt idx="18">
                  <c:v>12000</c:v>
                </c:pt>
                <c:pt idx="19">
                  <c:v>10000</c:v>
                </c:pt>
                <c:pt idx="20">
                  <c:v>400</c:v>
                </c:pt>
                <c:pt idx="21">
                  <c:v>2916.666666666667</c:v>
                </c:pt>
                <c:pt idx="22">
                  <c:v>92500</c:v>
                </c:pt>
                <c:pt idx="23">
                  <c:v>18500</c:v>
                </c:pt>
                <c:pt idx="24">
                  <c:v>14799.999999999998</c:v>
                </c:pt>
                <c:pt idx="25">
                  <c:v>247.49999999999997</c:v>
                </c:pt>
                <c:pt idx="26">
                  <c:v>345</c:v>
                </c:pt>
                <c:pt idx="27">
                  <c:v>6666.666666666667</c:v>
                </c:pt>
                <c:pt idx="28">
                  <c:v>580.00000000000011</c:v>
                </c:pt>
                <c:pt idx="29">
                  <c:v>3000</c:v>
                </c:pt>
                <c:pt idx="30">
                  <c:v>1643.7499999999998</c:v>
                </c:pt>
                <c:pt idx="31">
                  <c:v>7400</c:v>
                </c:pt>
                <c:pt idx="32">
                  <c:v>10000000000</c:v>
                </c:pt>
                <c:pt idx="33">
                  <c:v>130.00000000000003</c:v>
                </c:pt>
                <c:pt idx="34">
                  <c:v>8100</c:v>
                </c:pt>
                <c:pt idx="35">
                  <c:v>1175</c:v>
                </c:pt>
                <c:pt idx="36">
                  <c:v>1685</c:v>
                </c:pt>
                <c:pt idx="37">
                  <c:v>767.93856491480676</c:v>
                </c:pt>
                <c:pt idx="38">
                  <c:v>1000.0000000000001</c:v>
                </c:pt>
                <c:pt idx="39">
                  <c:v>131.25</c:v>
                </c:pt>
                <c:pt idx="40">
                  <c:v>300</c:v>
                </c:pt>
                <c:pt idx="41">
                  <c:v>750</c:v>
                </c:pt>
                <c:pt idx="42">
                  <c:v>150</c:v>
                </c:pt>
                <c:pt idx="43">
                  <c:v>12</c:v>
                </c:pt>
                <c:pt idx="44">
                  <c:v>31250</c:v>
                </c:pt>
                <c:pt idx="45">
                  <c:v>10800</c:v>
                </c:pt>
                <c:pt idx="46">
                  <c:v>1904.296875</c:v>
                </c:pt>
                <c:pt idx="47">
                  <c:v>3850000.0000000005</c:v>
                </c:pt>
                <c:pt idx="48">
                  <c:v>124.76196808031776</c:v>
                </c:pt>
                <c:pt idx="49">
                  <c:v>28</c:v>
                </c:pt>
                <c:pt idx="50">
                  <c:v>41.81818181818182</c:v>
                </c:pt>
                <c:pt idx="51">
                  <c:v>115.45454545454545</c:v>
                </c:pt>
                <c:pt idx="52">
                  <c:v>3400</c:v>
                </c:pt>
                <c:pt idx="53">
                  <c:v>400</c:v>
                </c:pt>
                <c:pt idx="54">
                  <c:v>230</c:v>
                </c:pt>
                <c:pt idx="55">
                  <c:v>4240</c:v>
                </c:pt>
                <c:pt idx="56">
                  <c:v>350</c:v>
                </c:pt>
                <c:pt idx="57">
                  <c:v>25600</c:v>
                </c:pt>
                <c:pt idx="58">
                  <c:v>37999.999999999993</c:v>
                </c:pt>
                <c:pt idx="59">
                  <c:v>960</c:v>
                </c:pt>
                <c:pt idx="60">
                  <c:v>375</c:v>
                </c:pt>
                <c:pt idx="61">
                  <c:v>2500</c:v>
                </c:pt>
                <c:pt idx="62">
                  <c:v>15</c:v>
                </c:pt>
                <c:pt idx="63">
                  <c:v>4.3428571428571434</c:v>
                </c:pt>
                <c:pt idx="64">
                  <c:v>64</c:v>
                </c:pt>
                <c:pt idx="65">
                  <c:v>155.33980582524273</c:v>
                </c:pt>
                <c:pt idx="66">
                  <c:v>17400</c:v>
                </c:pt>
                <c:pt idx="67">
                  <c:v>10500</c:v>
                </c:pt>
                <c:pt idx="68">
                  <c:v>833.33333333333337</c:v>
                </c:pt>
                <c:pt idx="69">
                  <c:v>2086.9565217391305</c:v>
                </c:pt>
                <c:pt idx="70">
                  <c:v>28.800000000000004</c:v>
                </c:pt>
                <c:pt idx="71">
                  <c:v>211.92307692307693</c:v>
                </c:pt>
                <c:pt idx="72">
                  <c:v>367.20000000000005</c:v>
                </c:pt>
                <c:pt idx="73">
                  <c:v>560</c:v>
                </c:pt>
                <c:pt idx="74">
                  <c:v>266</c:v>
                </c:pt>
                <c:pt idx="75">
                  <c:v>339.99999999999994</c:v>
                </c:pt>
                <c:pt idx="76">
                  <c:v>300</c:v>
                </c:pt>
                <c:pt idx="77">
                  <c:v>3599.9999999999995</c:v>
                </c:pt>
                <c:pt idx="78">
                  <c:v>9.1999999999999993</c:v>
                </c:pt>
                <c:pt idx="79">
                  <c:v>4.8</c:v>
                </c:pt>
                <c:pt idx="80">
                  <c:v>324.54545454545456</c:v>
                </c:pt>
                <c:pt idx="81">
                  <c:v>13</c:v>
                </c:pt>
                <c:pt idx="82">
                  <c:v>18.518518518518523</c:v>
                </c:pt>
                <c:pt idx="83">
                  <c:v>6.7796610169491522</c:v>
                </c:pt>
                <c:pt idx="84">
                  <c:v>215</c:v>
                </c:pt>
                <c:pt idx="85">
                  <c:v>140</c:v>
                </c:pt>
                <c:pt idx="86">
                  <c:v>7000</c:v>
                </c:pt>
                <c:pt idx="87">
                  <c:v>2599.9999999999995</c:v>
                </c:pt>
                <c:pt idx="88">
                  <c:v>900</c:v>
                </c:pt>
                <c:pt idx="89">
                  <c:v>612.5</c:v>
                </c:pt>
                <c:pt idx="90">
                  <c:v>212.50000000000003</c:v>
                </c:pt>
                <c:pt idx="91">
                  <c:v>190.00000000000003</c:v>
                </c:pt>
                <c:pt idx="92">
                  <c:v>6.75</c:v>
                </c:pt>
                <c:pt idx="93">
                  <c:v>27.1875</c:v>
                </c:pt>
                <c:pt idx="94">
                  <c:v>61.999999999999993</c:v>
                </c:pt>
                <c:pt idx="95">
                  <c:v>70</c:v>
                </c:pt>
                <c:pt idx="96">
                  <c:v>9.7999999999999989</c:v>
                </c:pt>
                <c:pt idx="97">
                  <c:v>10.199999999999999</c:v>
                </c:pt>
                <c:pt idx="98">
                  <c:v>1303.125</c:v>
                </c:pt>
                <c:pt idx="99">
                  <c:v>700.00000000000011</c:v>
                </c:pt>
                <c:pt idx="100">
                  <c:v>2192.3076923076924</c:v>
                </c:pt>
                <c:pt idx="101">
                  <c:v>1021.875</c:v>
                </c:pt>
                <c:pt idx="102">
                  <c:v>729.16666666666663</c:v>
                </c:pt>
                <c:pt idx="103">
                  <c:v>166.66666666666666</c:v>
                </c:pt>
                <c:pt idx="104">
                  <c:v>133.33333333333334</c:v>
                </c:pt>
                <c:pt idx="105">
                  <c:v>16.92307692307692</c:v>
                </c:pt>
                <c:pt idx="106">
                  <c:v>125.00000000000001</c:v>
                </c:pt>
                <c:pt idx="107">
                  <c:v>16</c:v>
                </c:pt>
                <c:pt idx="108">
                  <c:v>35.102640161712664</c:v>
                </c:pt>
                <c:pt idx="109">
                  <c:v>2.7839999999999998</c:v>
                </c:pt>
                <c:pt idx="110">
                  <c:v>1.0909090909090908</c:v>
                </c:pt>
                <c:pt idx="111">
                  <c:v>2.8249999999999997</c:v>
                </c:pt>
                <c:pt idx="112">
                  <c:v>165.71428571428572</c:v>
                </c:pt>
                <c:pt idx="113">
                  <c:v>26.5</c:v>
                </c:pt>
                <c:pt idx="114">
                  <c:v>268.75</c:v>
                </c:pt>
                <c:pt idx="115">
                  <c:v>3.6666666666666661</c:v>
                </c:pt>
                <c:pt idx="116">
                  <c:v>370</c:v>
                </c:pt>
                <c:pt idx="117">
                  <c:v>32.9</c:v>
                </c:pt>
                <c:pt idx="118">
                  <c:v>86.666666666666671</c:v>
                </c:pt>
                <c:pt idx="119">
                  <c:v>15.928571428571429</c:v>
                </c:pt>
                <c:pt idx="120">
                  <c:v>3.8</c:v>
                </c:pt>
                <c:pt idx="121">
                  <c:v>5.9999999999999991</c:v>
                </c:pt>
                <c:pt idx="122">
                  <c:v>16.400000000000002</c:v>
                </c:pt>
                <c:pt idx="123">
                  <c:v>1.6999999999999997</c:v>
                </c:pt>
                <c:pt idx="124">
                  <c:v>128.5</c:v>
                </c:pt>
                <c:pt idx="125">
                  <c:v>810</c:v>
                </c:pt>
                <c:pt idx="126">
                  <c:v>1233.3333333333333</c:v>
                </c:pt>
                <c:pt idx="127">
                  <c:v>520</c:v>
                </c:pt>
                <c:pt idx="128">
                  <c:v>216.66666666666666</c:v>
                </c:pt>
                <c:pt idx="129">
                  <c:v>700.00000000000011</c:v>
                </c:pt>
                <c:pt idx="130">
                  <c:v>423.33333333333331</c:v>
                </c:pt>
                <c:pt idx="131">
                  <c:v>94.75</c:v>
                </c:pt>
                <c:pt idx="132">
                  <c:v>410.00000000000006</c:v>
                </c:pt>
                <c:pt idx="133">
                  <c:v>92.592592592592595</c:v>
                </c:pt>
                <c:pt idx="134">
                  <c:v>148</c:v>
                </c:pt>
                <c:pt idx="135">
                  <c:v>91.142857142857153</c:v>
                </c:pt>
                <c:pt idx="136">
                  <c:v>57.5</c:v>
                </c:pt>
                <c:pt idx="137">
                  <c:v>23.75</c:v>
                </c:pt>
                <c:pt idx="138">
                  <c:v>3.9772727272727275</c:v>
                </c:pt>
                <c:pt idx="139">
                  <c:v>1.7</c:v>
                </c:pt>
                <c:pt idx="140">
                  <c:v>2.2216796875</c:v>
                </c:pt>
                <c:pt idx="141">
                  <c:v>5.2195121951219496</c:v>
                </c:pt>
                <c:pt idx="142">
                  <c:v>7.9300000000000006</c:v>
                </c:pt>
                <c:pt idx="143">
                  <c:v>6104</c:v>
                </c:pt>
                <c:pt idx="144">
                  <c:v>0.79999999999999993</c:v>
                </c:pt>
                <c:pt idx="145">
                  <c:v>200</c:v>
                </c:pt>
                <c:pt idx="146">
                  <c:v>5.1951219512195115</c:v>
                </c:pt>
                <c:pt idx="147">
                  <c:v>380</c:v>
                </c:pt>
                <c:pt idx="148">
                  <c:v>143.75</c:v>
                </c:pt>
                <c:pt idx="149">
                  <c:v>17530.434782608696</c:v>
                </c:pt>
                <c:pt idx="150">
                  <c:v>252.94117647058823</c:v>
                </c:pt>
                <c:pt idx="151">
                  <c:v>11.499999999999998</c:v>
                </c:pt>
                <c:pt idx="152">
                  <c:v>25.238095238095237</c:v>
                </c:pt>
                <c:pt idx="153">
                  <c:v>80.000000000000014</c:v>
                </c:pt>
                <c:pt idx="154">
                  <c:v>31.000000000000004</c:v>
                </c:pt>
                <c:pt idx="155">
                  <c:v>1.2</c:v>
                </c:pt>
                <c:pt idx="156">
                  <c:v>61.428571428571423</c:v>
                </c:pt>
                <c:pt idx="157">
                  <c:v>9.6560000000000006</c:v>
                </c:pt>
                <c:pt idx="158">
                  <c:v>17</c:v>
                </c:pt>
                <c:pt idx="159">
                  <c:v>3.52</c:v>
                </c:pt>
                <c:pt idx="160">
                  <c:v>0.3</c:v>
                </c:pt>
                <c:pt idx="161">
                  <c:v>8.2826086956521738</c:v>
                </c:pt>
                <c:pt idx="162">
                  <c:v>152.00000000000003</c:v>
                </c:pt>
                <c:pt idx="163">
                  <c:v>540</c:v>
                </c:pt>
                <c:pt idx="164">
                  <c:v>360</c:v>
                </c:pt>
                <c:pt idx="165">
                  <c:v>158.97435897435895</c:v>
                </c:pt>
                <c:pt idx="166">
                  <c:v>65.625</c:v>
                </c:pt>
                <c:pt idx="167">
                  <c:v>64</c:v>
                </c:pt>
                <c:pt idx="168">
                  <c:v>316</c:v>
                </c:pt>
                <c:pt idx="169">
                  <c:v>2520.833333333333</c:v>
                </c:pt>
                <c:pt idx="170">
                  <c:v>9275</c:v>
                </c:pt>
                <c:pt idx="171">
                  <c:v>17300</c:v>
                </c:pt>
                <c:pt idx="172">
                  <c:v>87.5</c:v>
                </c:pt>
                <c:pt idx="173">
                  <c:v>110.83333333333333</c:v>
                </c:pt>
                <c:pt idx="174">
                  <c:v>10.000000000000002</c:v>
                </c:pt>
                <c:pt idx="175">
                  <c:v>1300</c:v>
                </c:pt>
                <c:pt idx="176">
                  <c:v>1205</c:v>
                </c:pt>
                <c:pt idx="177">
                  <c:v>23.5625</c:v>
                </c:pt>
                <c:pt idx="178">
                  <c:v>18.25</c:v>
                </c:pt>
                <c:pt idx="179">
                  <c:v>58.500000000000007</c:v>
                </c:pt>
                <c:pt idx="180">
                  <c:v>0.31166666666666665</c:v>
                </c:pt>
                <c:pt idx="181">
                  <c:v>9.212121212121211</c:v>
                </c:pt>
                <c:pt idx="182">
                  <c:v>0.95833333333333326</c:v>
                </c:pt>
                <c:pt idx="183">
                  <c:v>5.125</c:v>
                </c:pt>
                <c:pt idx="184">
                  <c:v>459.99999999999994</c:v>
                </c:pt>
                <c:pt idx="185">
                  <c:v>210</c:v>
                </c:pt>
                <c:pt idx="186">
                  <c:v>43.666666666666671</c:v>
                </c:pt>
                <c:pt idx="187">
                  <c:v>746.79487179487182</c:v>
                </c:pt>
                <c:pt idx="188">
                  <c:v>1375</c:v>
                </c:pt>
                <c:pt idx="189">
                  <c:v>11.881188118811881</c:v>
                </c:pt>
                <c:pt idx="190">
                  <c:v>12</c:v>
                </c:pt>
                <c:pt idx="191">
                  <c:v>23.666666666666668</c:v>
                </c:pt>
                <c:pt idx="192">
                  <c:v>22.999999999999996</c:v>
                </c:pt>
                <c:pt idx="193">
                  <c:v>47.999999999999993</c:v>
                </c:pt>
                <c:pt idx="194">
                  <c:v>272.38095238095235</c:v>
                </c:pt>
                <c:pt idx="195">
                  <c:v>2.5499999999999998</c:v>
                </c:pt>
                <c:pt idx="196">
                  <c:v>1262.5</c:v>
                </c:pt>
                <c:pt idx="197">
                  <c:v>11</c:v>
                </c:pt>
                <c:pt idx="198">
                  <c:v>5.1999999999999993</c:v>
                </c:pt>
                <c:pt idx="199">
                  <c:v>5675</c:v>
                </c:pt>
                <c:pt idx="200">
                  <c:v>1018.7499999999998</c:v>
                </c:pt>
                <c:pt idx="201">
                  <c:v>10.500000000000002</c:v>
                </c:pt>
                <c:pt idx="202">
                  <c:v>31.000000000000004</c:v>
                </c:pt>
                <c:pt idx="203">
                  <c:v>1.05</c:v>
                </c:pt>
                <c:pt idx="204">
                  <c:v>2.4210526315789473</c:v>
                </c:pt>
                <c:pt idx="205">
                  <c:v>3.6363636363636367</c:v>
                </c:pt>
                <c:pt idx="206">
                  <c:v>128.20000000000002</c:v>
                </c:pt>
                <c:pt idx="207">
                  <c:v>1416.6666666666667</c:v>
                </c:pt>
                <c:pt idx="208">
                  <c:v>46.400000000000006</c:v>
                </c:pt>
                <c:pt idx="209">
                  <c:v>180</c:v>
                </c:pt>
                <c:pt idx="210">
                  <c:v>22159.999999999996</c:v>
                </c:pt>
                <c:pt idx="211">
                  <c:v>13750</c:v>
                </c:pt>
                <c:pt idx="212">
                  <c:v>32500</c:v>
                </c:pt>
                <c:pt idx="213">
                  <c:v>6.21875</c:v>
                </c:pt>
                <c:pt idx="214">
                  <c:v>61.6</c:v>
                </c:pt>
                <c:pt idx="215">
                  <c:v>56000</c:v>
                </c:pt>
                <c:pt idx="216">
                  <c:v>19.5</c:v>
                </c:pt>
                <c:pt idx="217">
                  <c:v>0.19000000000000003</c:v>
                </c:pt>
                <c:pt idx="218">
                  <c:v>5.8000000000000007</c:v>
                </c:pt>
                <c:pt idx="219">
                  <c:v>38</c:v>
                </c:pt>
                <c:pt idx="220">
                  <c:v>15450</c:v>
                </c:pt>
                <c:pt idx="221">
                  <c:v>48000</c:v>
                </c:pt>
                <c:pt idx="222">
                  <c:v>53.333333333333336</c:v>
                </c:pt>
                <c:pt idx="223">
                  <c:v>40.000000000000007</c:v>
                </c:pt>
                <c:pt idx="224">
                  <c:v>5.3571428571428577</c:v>
                </c:pt>
                <c:pt idx="225">
                  <c:v>10.899999999999999</c:v>
                </c:pt>
                <c:pt idx="226">
                  <c:v>14</c:v>
                </c:pt>
                <c:pt idx="227">
                  <c:v>2.5500000000000003</c:v>
                </c:pt>
                <c:pt idx="228">
                  <c:v>11000</c:v>
                </c:pt>
                <c:pt idx="229">
                  <c:v>2310</c:v>
                </c:pt>
                <c:pt idx="230">
                  <c:v>103.99999999999999</c:v>
                </c:pt>
                <c:pt idx="231">
                  <c:v>9.1999999999999993</c:v>
                </c:pt>
                <c:pt idx="232">
                  <c:v>39.333333333333336</c:v>
                </c:pt>
                <c:pt idx="233">
                  <c:v>8.7499999999999982</c:v>
                </c:pt>
                <c:pt idx="234">
                  <c:v>419.99999999999994</c:v>
                </c:pt>
                <c:pt idx="235">
                  <c:v>72.727272727272734</c:v>
                </c:pt>
                <c:pt idx="236">
                  <c:v>63.333333333333336</c:v>
                </c:pt>
                <c:pt idx="237">
                  <c:v>5.6</c:v>
                </c:pt>
                <c:pt idx="238">
                  <c:v>6.4649999999999999</c:v>
                </c:pt>
                <c:pt idx="239">
                  <c:v>3.2499999999999996</c:v>
                </c:pt>
                <c:pt idx="240">
                  <c:v>19.2</c:v>
                </c:pt>
                <c:pt idx="241">
                  <c:v>204</c:v>
                </c:pt>
                <c:pt idx="242">
                  <c:v>5200</c:v>
                </c:pt>
                <c:pt idx="243">
                  <c:v>204.8</c:v>
                </c:pt>
                <c:pt idx="244">
                  <c:v>9990</c:v>
                </c:pt>
                <c:pt idx="245">
                  <c:v>108</c:v>
                </c:pt>
                <c:pt idx="246">
                  <c:v>9.1999999999999993</c:v>
                </c:pt>
                <c:pt idx="247">
                  <c:v>2.2399999999999998</c:v>
                </c:pt>
                <c:pt idx="248">
                  <c:v>1.4000000000000001</c:v>
                </c:pt>
                <c:pt idx="249">
                  <c:v>21.894044483582423</c:v>
                </c:pt>
                <c:pt idx="250">
                  <c:v>255.7692307692308</c:v>
                </c:pt>
                <c:pt idx="251">
                  <c:v>4.2857142857142856</c:v>
                </c:pt>
                <c:pt idx="252">
                  <c:v>1.5789473684210527</c:v>
                </c:pt>
                <c:pt idx="253">
                  <c:v>62.500000000000007</c:v>
                </c:pt>
                <c:pt idx="254">
                  <c:v>7.0428571428571436</c:v>
                </c:pt>
                <c:pt idx="255">
                  <c:v>120</c:v>
                </c:pt>
                <c:pt idx="256">
                  <c:v>810</c:v>
                </c:pt>
                <c:pt idx="257">
                  <c:v>479.16666666666674</c:v>
                </c:pt>
                <c:pt idx="258">
                  <c:v>49.999999999999993</c:v>
                </c:pt>
                <c:pt idx="259">
                  <c:v>59.300000000000004</c:v>
                </c:pt>
                <c:pt idx="260">
                  <c:v>25.833333333333332</c:v>
                </c:pt>
                <c:pt idx="261">
                  <c:v>11.466666666666667</c:v>
                </c:pt>
                <c:pt idx="262">
                  <c:v>215</c:v>
                </c:pt>
                <c:pt idx="263">
                  <c:v>309.375</c:v>
                </c:pt>
                <c:pt idx="264">
                  <c:v>260</c:v>
                </c:pt>
                <c:pt idx="265">
                  <c:v>250.00000000000003</c:v>
                </c:pt>
                <c:pt idx="266">
                  <c:v>419.99999999999994</c:v>
                </c:pt>
                <c:pt idx="267">
                  <c:v>11750</c:v>
                </c:pt>
                <c:pt idx="268">
                  <c:v>1681.25</c:v>
                </c:pt>
                <c:pt idx="269">
                  <c:v>950</c:v>
                </c:pt>
                <c:pt idx="270">
                  <c:v>315.47619047619048</c:v>
                </c:pt>
                <c:pt idx="271">
                  <c:v>12406.153846153848</c:v>
                </c:pt>
                <c:pt idx="272">
                  <c:v>72.000000000000014</c:v>
                </c:pt>
                <c:pt idx="273">
                  <c:v>13.242105263157894</c:v>
                </c:pt>
                <c:pt idx="274">
                  <c:v>17.8</c:v>
                </c:pt>
                <c:pt idx="275">
                  <c:v>5.8875000000000002</c:v>
                </c:pt>
                <c:pt idx="276">
                  <c:v>1.8216666666666665</c:v>
                </c:pt>
                <c:pt idx="277">
                  <c:v>38.6</c:v>
                </c:pt>
                <c:pt idx="278">
                  <c:v>34.999999999999993</c:v>
                </c:pt>
              </c:numCache>
            </c:numRef>
          </c:yVal>
          <c:smooth val="0"/>
          <c:extLst>
            <c:ext xmlns:c16="http://schemas.microsoft.com/office/drawing/2014/chart" uri="{C3380CC4-5D6E-409C-BE32-E72D297353CC}">
              <c16:uniqueId val="{00000007-F3A9-4B4D-917F-4EAEF3A346FC}"/>
            </c:ext>
          </c:extLst>
        </c:ser>
        <c:ser>
          <c:idx val="5"/>
          <c:order val="4"/>
          <c:tx>
            <c:v>FOMW=1fJ/conv-step</c:v>
          </c:tx>
          <c:spPr>
            <a:ln w="25400">
              <a:solidFill>
                <a:srgbClr val="00B050"/>
              </a:solidFill>
              <a:prstDash val="sysDash"/>
            </a:ln>
          </c:spPr>
          <c:marker>
            <c:symbol val="none"/>
          </c:marker>
          <c:xVal>
            <c:numRef>
              <c:f>'Jitter and FOM lines'!$A$17:$A$29</c:f>
              <c:numCache>
                <c:formatCode>General</c:formatCode>
                <c:ptCount val="13"/>
                <c:pt idx="0">
                  <c:v>10</c:v>
                </c:pt>
                <c:pt idx="1">
                  <c:v>20</c:v>
                </c:pt>
                <c:pt idx="2">
                  <c:v>30</c:v>
                </c:pt>
                <c:pt idx="3">
                  <c:v>40</c:v>
                </c:pt>
                <c:pt idx="4">
                  <c:v>50</c:v>
                </c:pt>
                <c:pt idx="5">
                  <c:v>60</c:v>
                </c:pt>
                <c:pt idx="6">
                  <c:v>70</c:v>
                </c:pt>
                <c:pt idx="7">
                  <c:v>80</c:v>
                </c:pt>
                <c:pt idx="8">
                  <c:v>90</c:v>
                </c:pt>
                <c:pt idx="9">
                  <c:v>100</c:v>
                </c:pt>
                <c:pt idx="10">
                  <c:v>110</c:v>
                </c:pt>
                <c:pt idx="11">
                  <c:v>120</c:v>
                </c:pt>
                <c:pt idx="12">
                  <c:v>130</c:v>
                </c:pt>
              </c:numCache>
            </c:numRef>
          </c:xVal>
          <c:yVal>
            <c:numRef>
              <c:f>'Jitter and FOM lines'!$B$17:$B$29</c:f>
              <c:numCache>
                <c:formatCode>0.00E+00</c:formatCode>
                <c:ptCount val="13"/>
                <c:pt idx="0">
                  <c:v>2.5825043230330211E-3</c:v>
                </c:pt>
                <c:pt idx="1">
                  <c:v>8.1675327367691317E-3</c:v>
                </c:pt>
                <c:pt idx="2">
                  <c:v>2.5830969734002087E-2</c:v>
                </c:pt>
                <c:pt idx="3">
                  <c:v>8.1694070768166191E-2</c:v>
                </c:pt>
                <c:pt idx="4">
                  <c:v>0.25836897597727682</c:v>
                </c:pt>
                <c:pt idx="5">
                  <c:v>0.81712818470002024</c:v>
                </c:pt>
                <c:pt idx="6">
                  <c:v>2.5842826821819056</c:v>
                </c:pt>
                <c:pt idx="7">
                  <c:v>8.173157047418572</c:v>
                </c:pt>
                <c:pt idx="8">
                  <c:v>25.848757406588479</c:v>
                </c:pt>
                <c:pt idx="9">
                  <c:v>81.750326781704786</c:v>
                </c:pt>
                <c:pt idx="10">
                  <c:v>258.54689352348174</c:v>
                </c:pt>
                <c:pt idx="11">
                  <c:v>817.6908739354692</c:v>
                </c:pt>
                <c:pt idx="12">
                  <c:v>2586.0622659410465</c:v>
                </c:pt>
              </c:numCache>
            </c:numRef>
          </c:yVal>
          <c:smooth val="0"/>
          <c:extLst>
            <c:ext xmlns:c16="http://schemas.microsoft.com/office/drawing/2014/chart" uri="{C3380CC4-5D6E-409C-BE32-E72D297353CC}">
              <c16:uniqueId val="{00000008-F3A9-4B4D-917F-4EAEF3A346FC}"/>
            </c:ext>
          </c:extLst>
        </c:ser>
        <c:ser>
          <c:idx val="6"/>
          <c:order val="5"/>
          <c:tx>
            <c:v>FOMS=185dB</c:v>
          </c:tx>
          <c:spPr>
            <a:ln w="28575">
              <a:solidFill>
                <a:srgbClr val="00B050"/>
              </a:solidFill>
            </a:ln>
          </c:spPr>
          <c:marker>
            <c:symbol val="none"/>
          </c:marker>
          <c:xVal>
            <c:numRef>
              <c:f>'Jitter and FOM lines'!$A$34:$A$46</c:f>
              <c:numCache>
                <c:formatCode>General</c:formatCode>
                <c:ptCount val="13"/>
                <c:pt idx="0">
                  <c:v>10</c:v>
                </c:pt>
                <c:pt idx="1">
                  <c:v>20</c:v>
                </c:pt>
                <c:pt idx="2">
                  <c:v>30</c:v>
                </c:pt>
                <c:pt idx="3">
                  <c:v>40</c:v>
                </c:pt>
                <c:pt idx="4">
                  <c:v>50</c:v>
                </c:pt>
                <c:pt idx="5">
                  <c:v>60</c:v>
                </c:pt>
                <c:pt idx="6">
                  <c:v>70</c:v>
                </c:pt>
                <c:pt idx="7">
                  <c:v>80</c:v>
                </c:pt>
                <c:pt idx="8">
                  <c:v>90</c:v>
                </c:pt>
                <c:pt idx="9">
                  <c:v>100</c:v>
                </c:pt>
                <c:pt idx="10">
                  <c:v>110</c:v>
                </c:pt>
                <c:pt idx="11">
                  <c:v>120</c:v>
                </c:pt>
                <c:pt idx="12">
                  <c:v>130</c:v>
                </c:pt>
              </c:numCache>
            </c:numRef>
          </c:xVal>
          <c:yVal>
            <c:numRef>
              <c:f>'Jitter and FOM lines'!$C$34:$C$46</c:f>
              <c:numCache>
                <c:formatCode>0.00E+00</c:formatCode>
                <c:ptCount val="13"/>
                <c:pt idx="0">
                  <c:v>1.5811388300841845E-6</c:v>
                </c:pt>
                <c:pt idx="1">
                  <c:v>1.5811388300841806E-5</c:v>
                </c:pt>
                <c:pt idx="2">
                  <c:v>1.5811388300841878E-4</c:v>
                </c:pt>
                <c:pt idx="3">
                  <c:v>1.5811388300841841E-3</c:v>
                </c:pt>
                <c:pt idx="4">
                  <c:v>1.5811388300841858E-2</c:v>
                </c:pt>
                <c:pt idx="5">
                  <c:v>0.15811388300841872</c:v>
                </c:pt>
                <c:pt idx="6">
                  <c:v>1.5811388300841835</c:v>
                </c:pt>
                <c:pt idx="7">
                  <c:v>15.811388300841855</c:v>
                </c:pt>
                <c:pt idx="8">
                  <c:v>158.11388300841872</c:v>
                </c:pt>
                <c:pt idx="9">
                  <c:v>1581.1388300841888</c:v>
                </c:pt>
                <c:pt idx="10">
                  <c:v>15811.388300841849</c:v>
                </c:pt>
                <c:pt idx="11">
                  <c:v>158113.88300841866</c:v>
                </c:pt>
                <c:pt idx="12">
                  <c:v>1581138.8300841884</c:v>
                </c:pt>
              </c:numCache>
            </c:numRef>
          </c:yVal>
          <c:smooth val="0"/>
          <c:extLst>
            <c:ext xmlns:c16="http://schemas.microsoft.com/office/drawing/2014/chart" uri="{C3380CC4-5D6E-409C-BE32-E72D297353CC}">
              <c16:uniqueId val="{00000009-F3A9-4B4D-917F-4EAEF3A346FC}"/>
            </c:ext>
          </c:extLst>
        </c:ser>
        <c:dLbls>
          <c:showLegendKey val="0"/>
          <c:showVal val="0"/>
          <c:showCatName val="0"/>
          <c:showSerName val="0"/>
          <c:showPercent val="0"/>
          <c:showBubbleSize val="0"/>
        </c:dLbls>
        <c:axId val="142063583"/>
        <c:axId val="1"/>
      </c:scatterChart>
      <c:valAx>
        <c:axId val="142063583"/>
        <c:scaling>
          <c:orientation val="minMax"/>
          <c:max val="125"/>
          <c:min val="10"/>
        </c:scaling>
        <c:delete val="0"/>
        <c:axPos val="b"/>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SNDR @ 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[dB]</a:t>
                </a:r>
              </a:p>
            </c:rich>
          </c:tx>
          <c:layout>
            <c:manualLayout>
              <c:xMode val="edge"/>
              <c:yMode val="edge"/>
              <c:x val="0.36350201184956871"/>
              <c:y val="0.90862451236475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majorUnit val="10"/>
      </c:valAx>
      <c:valAx>
        <c:axId val="1"/>
        <c:scaling>
          <c:logBase val="10"/>
          <c:orientation val="minMax"/>
          <c:max val="10000000"/>
          <c:min val="0.1"/>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P/f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[pJ]</a:t>
                </a:r>
              </a:p>
            </c:rich>
          </c:tx>
          <c:layout>
            <c:manualLayout>
              <c:xMode val="edge"/>
              <c:yMode val="edge"/>
              <c:x val="1.4800872762449084E-3"/>
              <c:y val="0.32245819325069214"/>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3583"/>
        <c:crosses val="autoZero"/>
        <c:crossBetween val="midCat"/>
      </c:valAx>
      <c:spPr>
        <a:noFill/>
        <a:ln w="25400">
          <a:solidFill>
            <a:srgbClr val="000000"/>
          </a:solidFill>
          <a:prstDash val="solid"/>
        </a:ln>
      </c:spPr>
    </c:plotArea>
    <c:legend>
      <c:legendPos val="r"/>
      <c:layout>
        <c:manualLayout>
          <c:xMode val="edge"/>
          <c:yMode val="edge"/>
          <c:x val="0.1756531303828385"/>
          <c:y val="5.4783400846556411E-2"/>
          <c:w val="0.26848253296260927"/>
          <c:h val="0.28209327503743648"/>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508699869785979"/>
          <c:y val="4.2414355628058731E-2"/>
          <c:w val="0.79134295227524976"/>
          <c:h val="0.74877650897226755"/>
        </c:manualLayout>
      </c:layout>
      <c:scatterChart>
        <c:scatterStyle val="lineMarker"/>
        <c:varyColors val="0"/>
        <c:ser>
          <c:idx val="4"/>
          <c:order val="0"/>
          <c:tx>
            <c:v>ISSCC 2025</c:v>
          </c:tx>
          <c:spPr>
            <a:ln w="28575">
              <a:noFill/>
            </a:ln>
          </c:spPr>
          <c:marker>
            <c:symbol val="star"/>
            <c:size val="8"/>
            <c:spPr>
              <a:solidFill>
                <a:schemeClr val="accent2">
                  <a:lumMod val="75000"/>
                </a:schemeClr>
              </a:solidFill>
              <a:ln>
                <a:noFill/>
              </a:ln>
            </c:spPr>
          </c:marker>
          <c:xVal>
            <c:numRef>
              <c:f>ISSCC!$X$429:$X$447</c:f>
              <c:numCache>
                <c:formatCode>0.0</c:formatCode>
                <c:ptCount val="19"/>
                <c:pt idx="0">
                  <c:v>34.409999999999997</c:v>
                </c:pt>
                <c:pt idx="1">
                  <c:v>82</c:v>
                </c:pt>
                <c:pt idx="2">
                  <c:v>91.81</c:v>
                </c:pt>
                <c:pt idx="3">
                  <c:v>120.6</c:v>
                </c:pt>
                <c:pt idx="4">
                  <c:v>99.6</c:v>
                </c:pt>
                <c:pt idx="5">
                  <c:v>93.3</c:v>
                </c:pt>
                <c:pt idx="6">
                  <c:v>92.5</c:v>
                </c:pt>
                <c:pt idx="7">
                  <c:v>82.9</c:v>
                </c:pt>
                <c:pt idx="8">
                  <c:v>79.400000000000006</c:v>
                </c:pt>
                <c:pt idx="9">
                  <c:v>70.099999999999994</c:v>
                </c:pt>
                <c:pt idx="10">
                  <c:v>40.74</c:v>
                </c:pt>
                <c:pt idx="11">
                  <c:v>58.8</c:v>
                </c:pt>
                <c:pt idx="12">
                  <c:v>68.2</c:v>
                </c:pt>
                <c:pt idx="13">
                  <c:v>45.8</c:v>
                </c:pt>
                <c:pt idx="14">
                  <c:v>49.3</c:v>
                </c:pt>
                <c:pt idx="15">
                  <c:v>41.9</c:v>
                </c:pt>
                <c:pt idx="16">
                  <c:v>47</c:v>
                </c:pt>
                <c:pt idx="17">
                  <c:v>41.7</c:v>
                </c:pt>
                <c:pt idx="18">
                  <c:v>48.1</c:v>
                </c:pt>
              </c:numCache>
            </c:numRef>
          </c:xVal>
          <c:yVal>
            <c:numRef>
              <c:f>ISSCC!$R$429:$R$447</c:f>
              <c:numCache>
                <c:formatCode>0.00E+00</c:formatCode>
                <c:ptCount val="19"/>
                <c:pt idx="0">
                  <c:v>774400000</c:v>
                </c:pt>
                <c:pt idx="1">
                  <c:v>2000</c:v>
                </c:pt>
                <c:pt idx="2">
                  <c:v>1000</c:v>
                </c:pt>
                <c:pt idx="3">
                  <c:v>103</c:v>
                </c:pt>
                <c:pt idx="4">
                  <c:v>1327</c:v>
                </c:pt>
                <c:pt idx="5">
                  <c:v>27700</c:v>
                </c:pt>
                <c:pt idx="6">
                  <c:v>5000</c:v>
                </c:pt>
                <c:pt idx="7">
                  <c:v>499600</c:v>
                </c:pt>
                <c:pt idx="8">
                  <c:v>7900000</c:v>
                </c:pt>
                <c:pt idx="9">
                  <c:v>10000000</c:v>
                </c:pt>
                <c:pt idx="10">
                  <c:v>397130000</c:v>
                </c:pt>
                <c:pt idx="11">
                  <c:v>1500000000</c:v>
                </c:pt>
                <c:pt idx="12">
                  <c:v>499900000</c:v>
                </c:pt>
                <c:pt idx="13">
                  <c:v>1080000000</c:v>
                </c:pt>
                <c:pt idx="14">
                  <c:v>1499000000</c:v>
                </c:pt>
                <c:pt idx="15">
                  <c:v>20478500000</c:v>
                </c:pt>
                <c:pt idx="16">
                  <c:v>7400000000</c:v>
                </c:pt>
                <c:pt idx="17">
                  <c:v>4840000000</c:v>
                </c:pt>
                <c:pt idx="18">
                  <c:v>5337000000</c:v>
                </c:pt>
              </c:numCache>
            </c:numRef>
          </c:yVal>
          <c:smooth val="0"/>
          <c:extLst>
            <c:ext xmlns:c16="http://schemas.microsoft.com/office/drawing/2014/chart" uri="{C3380CC4-5D6E-409C-BE32-E72D297353CC}">
              <c16:uniqueId val="{00000000-EE4C-4284-89A2-DD5452AF3207}"/>
            </c:ext>
          </c:extLst>
        </c:ser>
        <c:ser>
          <c:idx val="5"/>
          <c:order val="1"/>
          <c:tx>
            <c:v>VLSI 2025</c:v>
          </c:tx>
          <c:spPr>
            <a:ln w="28575">
              <a:noFill/>
            </a:ln>
          </c:spPr>
          <c:marker>
            <c:symbol val="diamond"/>
            <c:size val="12"/>
            <c:spPr>
              <a:solidFill>
                <a:schemeClr val="tx2"/>
              </a:solidFill>
              <a:ln>
                <a:noFill/>
              </a:ln>
            </c:spPr>
          </c:marker>
          <c:xVal>
            <c:numRef>
              <c:f>VLSI!$X$281:$X$294</c:f>
              <c:numCache>
                <c:formatCode>0.0</c:formatCode>
                <c:ptCount val="14"/>
                <c:pt idx="0">
                  <c:v>59.7</c:v>
                </c:pt>
                <c:pt idx="1">
                  <c:v>74.5</c:v>
                </c:pt>
                <c:pt idx="2">
                  <c:v>48.7</c:v>
                </c:pt>
                <c:pt idx="3">
                  <c:v>72.14</c:v>
                </c:pt>
                <c:pt idx="4">
                  <c:v>33.18</c:v>
                </c:pt>
                <c:pt idx="5">
                  <c:v>62.3</c:v>
                </c:pt>
                <c:pt idx="6">
                  <c:v>35.299999999999997</c:v>
                </c:pt>
                <c:pt idx="7">
                  <c:v>58.8</c:v>
                </c:pt>
                <c:pt idx="8">
                  <c:v>86.7</c:v>
                </c:pt>
                <c:pt idx="9">
                  <c:v>88.8</c:v>
                </c:pt>
                <c:pt idx="10">
                  <c:v>91.2</c:v>
                </c:pt>
                <c:pt idx="11">
                  <c:v>83.8</c:v>
                </c:pt>
                <c:pt idx="12">
                  <c:v>91.2</c:v>
                </c:pt>
                <c:pt idx="13">
                  <c:v>80.099999999999994</c:v>
                </c:pt>
              </c:numCache>
            </c:numRef>
          </c:xVal>
          <c:yVal>
            <c:numRef>
              <c:f>VLSI!$R$281:$R$294</c:f>
              <c:numCache>
                <c:formatCode>0.00E+00</c:formatCode>
                <c:ptCount val="14"/>
                <c:pt idx="0">
                  <c:v>350300000</c:v>
                </c:pt>
                <c:pt idx="1">
                  <c:v>24000000</c:v>
                </c:pt>
                <c:pt idx="2">
                  <c:v>49611000</c:v>
                </c:pt>
                <c:pt idx="3" formatCode="General">
                  <c:v>279.86399999999998</c:v>
                </c:pt>
                <c:pt idx="4">
                  <c:v>22.792999999999999</c:v>
                </c:pt>
                <c:pt idx="5">
                  <c:v>1.4990000000000001</c:v>
                </c:pt>
                <c:pt idx="6">
                  <c:v>7962000000</c:v>
                </c:pt>
                <c:pt idx="7">
                  <c:v>4960000</c:v>
                </c:pt>
                <c:pt idx="8">
                  <c:v>1000</c:v>
                </c:pt>
                <c:pt idx="9">
                  <c:v>1000000</c:v>
                </c:pt>
                <c:pt idx="10">
                  <c:v>80000</c:v>
                </c:pt>
                <c:pt idx="11">
                  <c:v>40000000</c:v>
                </c:pt>
                <c:pt idx="12">
                  <c:v>192000</c:v>
                </c:pt>
                <c:pt idx="13">
                  <c:v>1000000</c:v>
                </c:pt>
              </c:numCache>
            </c:numRef>
          </c:yVal>
          <c:smooth val="0"/>
          <c:extLst>
            <c:ext xmlns:c16="http://schemas.microsoft.com/office/drawing/2014/chart" uri="{C3380CC4-5D6E-409C-BE32-E72D297353CC}">
              <c16:uniqueId val="{00000001-EE4C-4284-89A2-DD5452AF3207}"/>
            </c:ext>
          </c:extLst>
        </c:ser>
        <c:ser>
          <c:idx val="0"/>
          <c:order val="2"/>
          <c:tx>
            <c:v>ISSCC 1997-2024</c:v>
          </c:tx>
          <c:spPr>
            <a:ln w="28575">
              <a:noFill/>
            </a:ln>
          </c:spPr>
          <c:marker>
            <c:symbol val="circle"/>
            <c:size val="7"/>
            <c:spPr>
              <a:noFill/>
              <a:ln>
                <a:solidFill>
                  <a:srgbClr val="000000"/>
                </a:solidFill>
                <a:prstDash val="solid"/>
              </a:ln>
            </c:spPr>
          </c:marker>
          <c:xVal>
            <c:numRef>
              <c:f>ISSCC!$X$2:$X$428</c:f>
              <c:numCache>
                <c:formatCode>0.0</c:formatCode>
                <c:ptCount val="427"/>
                <c:pt idx="0">
                  <c:v>56.541999999999994</c:v>
                </c:pt>
                <c:pt idx="1">
                  <c:v>64</c:v>
                </c:pt>
                <c:pt idx="2">
                  <c:v>53.531999999999989</c:v>
                </c:pt>
                <c:pt idx="3">
                  <c:v>58.4</c:v>
                </c:pt>
                <c:pt idx="4">
                  <c:v>84.9</c:v>
                </c:pt>
                <c:pt idx="5">
                  <c:v>89</c:v>
                </c:pt>
                <c:pt idx="6">
                  <c:v>81</c:v>
                </c:pt>
                <c:pt idx="7">
                  <c:v>75</c:v>
                </c:pt>
                <c:pt idx="8">
                  <c:v>44.1</c:v>
                </c:pt>
                <c:pt idx="9">
                  <c:v>62</c:v>
                </c:pt>
                <c:pt idx="10">
                  <c:v>110</c:v>
                </c:pt>
                <c:pt idx="11">
                  <c:v>96</c:v>
                </c:pt>
                <c:pt idx="12">
                  <c:v>75</c:v>
                </c:pt>
                <c:pt idx="13">
                  <c:v>62</c:v>
                </c:pt>
                <c:pt idx="14">
                  <c:v>65.400000000000006</c:v>
                </c:pt>
                <c:pt idx="15">
                  <c:v>55</c:v>
                </c:pt>
                <c:pt idx="16">
                  <c:v>58</c:v>
                </c:pt>
                <c:pt idx="17">
                  <c:v>67</c:v>
                </c:pt>
                <c:pt idx="18">
                  <c:v>43.3</c:v>
                </c:pt>
                <c:pt idx="19">
                  <c:v>31</c:v>
                </c:pt>
                <c:pt idx="20">
                  <c:v>29.2</c:v>
                </c:pt>
                <c:pt idx="21">
                  <c:v>88</c:v>
                </c:pt>
                <c:pt idx="22">
                  <c:v>84</c:v>
                </c:pt>
                <c:pt idx="23">
                  <c:v>71</c:v>
                </c:pt>
                <c:pt idx="24">
                  <c:v>63.5</c:v>
                </c:pt>
                <c:pt idx="25">
                  <c:v>66</c:v>
                </c:pt>
                <c:pt idx="26">
                  <c:v>71</c:v>
                </c:pt>
                <c:pt idx="27">
                  <c:v>48.715999999999994</c:v>
                </c:pt>
                <c:pt idx="28">
                  <c:v>54.133999999999993</c:v>
                </c:pt>
                <c:pt idx="29">
                  <c:v>58.7</c:v>
                </c:pt>
                <c:pt idx="30">
                  <c:v>34.869999999999997</c:v>
                </c:pt>
                <c:pt idx="31">
                  <c:v>27.5</c:v>
                </c:pt>
                <c:pt idx="32">
                  <c:v>75</c:v>
                </c:pt>
                <c:pt idx="33">
                  <c:v>66</c:v>
                </c:pt>
                <c:pt idx="34">
                  <c:v>70</c:v>
                </c:pt>
                <c:pt idx="35">
                  <c:v>64</c:v>
                </c:pt>
                <c:pt idx="36">
                  <c:v>44.3</c:v>
                </c:pt>
                <c:pt idx="37">
                  <c:v>73.099999999999994</c:v>
                </c:pt>
                <c:pt idx="38">
                  <c:v>89</c:v>
                </c:pt>
                <c:pt idx="39">
                  <c:v>84</c:v>
                </c:pt>
                <c:pt idx="40">
                  <c:v>77</c:v>
                </c:pt>
                <c:pt idx="41">
                  <c:v>70</c:v>
                </c:pt>
                <c:pt idx="42">
                  <c:v>51</c:v>
                </c:pt>
                <c:pt idx="43">
                  <c:v>84</c:v>
                </c:pt>
                <c:pt idx="44">
                  <c:v>87</c:v>
                </c:pt>
                <c:pt idx="45">
                  <c:v>35</c:v>
                </c:pt>
                <c:pt idx="46">
                  <c:v>35.772999999999996</c:v>
                </c:pt>
                <c:pt idx="47">
                  <c:v>57.12</c:v>
                </c:pt>
                <c:pt idx="48">
                  <c:v>67</c:v>
                </c:pt>
                <c:pt idx="49">
                  <c:v>72.8</c:v>
                </c:pt>
                <c:pt idx="50">
                  <c:v>74</c:v>
                </c:pt>
                <c:pt idx="51">
                  <c:v>39.083999999999996</c:v>
                </c:pt>
                <c:pt idx="52">
                  <c:v>31.86</c:v>
                </c:pt>
                <c:pt idx="53">
                  <c:v>36</c:v>
                </c:pt>
                <c:pt idx="54">
                  <c:v>56.8</c:v>
                </c:pt>
                <c:pt idx="55">
                  <c:v>54</c:v>
                </c:pt>
                <c:pt idx="56">
                  <c:v>55</c:v>
                </c:pt>
                <c:pt idx="57">
                  <c:v>56.2</c:v>
                </c:pt>
                <c:pt idx="58">
                  <c:v>81</c:v>
                </c:pt>
                <c:pt idx="59">
                  <c:v>48</c:v>
                </c:pt>
                <c:pt idx="60">
                  <c:v>82</c:v>
                </c:pt>
                <c:pt idx="61">
                  <c:v>70</c:v>
                </c:pt>
                <c:pt idx="62">
                  <c:v>88</c:v>
                </c:pt>
                <c:pt idx="63">
                  <c:v>49</c:v>
                </c:pt>
                <c:pt idx="64">
                  <c:v>33</c:v>
                </c:pt>
                <c:pt idx="65">
                  <c:v>67</c:v>
                </c:pt>
                <c:pt idx="66">
                  <c:v>68.2</c:v>
                </c:pt>
                <c:pt idx="67">
                  <c:v>70</c:v>
                </c:pt>
                <c:pt idx="68">
                  <c:v>79</c:v>
                </c:pt>
                <c:pt idx="69">
                  <c:v>68</c:v>
                </c:pt>
                <c:pt idx="70">
                  <c:v>45.2</c:v>
                </c:pt>
                <c:pt idx="71">
                  <c:v>105</c:v>
                </c:pt>
                <c:pt idx="72">
                  <c:v>64</c:v>
                </c:pt>
                <c:pt idx="73">
                  <c:v>83</c:v>
                </c:pt>
                <c:pt idx="74">
                  <c:v>83</c:v>
                </c:pt>
                <c:pt idx="75">
                  <c:v>75.5</c:v>
                </c:pt>
                <c:pt idx="76">
                  <c:v>50</c:v>
                </c:pt>
                <c:pt idx="77">
                  <c:v>29.451999999999998</c:v>
                </c:pt>
                <c:pt idx="78">
                  <c:v>30</c:v>
                </c:pt>
                <c:pt idx="79">
                  <c:v>58.227599999999995</c:v>
                </c:pt>
                <c:pt idx="80">
                  <c:v>52</c:v>
                </c:pt>
                <c:pt idx="81">
                  <c:v>67</c:v>
                </c:pt>
                <c:pt idx="82">
                  <c:v>72.796000000000006</c:v>
                </c:pt>
                <c:pt idx="83">
                  <c:v>79</c:v>
                </c:pt>
                <c:pt idx="84">
                  <c:v>63</c:v>
                </c:pt>
                <c:pt idx="85">
                  <c:v>72</c:v>
                </c:pt>
                <c:pt idx="86">
                  <c:v>77.010000000000005</c:v>
                </c:pt>
                <c:pt idx="87">
                  <c:v>50.9</c:v>
                </c:pt>
                <c:pt idx="88">
                  <c:v>81</c:v>
                </c:pt>
                <c:pt idx="89">
                  <c:v>76</c:v>
                </c:pt>
                <c:pt idx="90">
                  <c:v>72</c:v>
                </c:pt>
                <c:pt idx="91">
                  <c:v>65</c:v>
                </c:pt>
                <c:pt idx="92">
                  <c:v>45.8</c:v>
                </c:pt>
                <c:pt idx="93">
                  <c:v>46.91</c:v>
                </c:pt>
                <c:pt idx="94">
                  <c:v>51</c:v>
                </c:pt>
                <c:pt idx="95">
                  <c:v>45.4</c:v>
                </c:pt>
                <c:pt idx="96">
                  <c:v>47.511999999999993</c:v>
                </c:pt>
                <c:pt idx="97">
                  <c:v>20</c:v>
                </c:pt>
                <c:pt idx="98">
                  <c:v>31</c:v>
                </c:pt>
                <c:pt idx="99">
                  <c:v>72</c:v>
                </c:pt>
                <c:pt idx="100">
                  <c:v>74</c:v>
                </c:pt>
                <c:pt idx="101">
                  <c:v>75</c:v>
                </c:pt>
                <c:pt idx="102">
                  <c:v>73.599999999999994</c:v>
                </c:pt>
                <c:pt idx="103">
                  <c:v>72.599999999999994</c:v>
                </c:pt>
                <c:pt idx="104">
                  <c:v>55.939999999999991</c:v>
                </c:pt>
                <c:pt idx="105">
                  <c:v>61</c:v>
                </c:pt>
                <c:pt idx="106">
                  <c:v>81</c:v>
                </c:pt>
                <c:pt idx="107">
                  <c:v>51</c:v>
                </c:pt>
                <c:pt idx="108">
                  <c:v>63</c:v>
                </c:pt>
                <c:pt idx="109">
                  <c:v>100</c:v>
                </c:pt>
                <c:pt idx="110">
                  <c:v>73.5</c:v>
                </c:pt>
                <c:pt idx="111">
                  <c:v>97</c:v>
                </c:pt>
                <c:pt idx="112">
                  <c:v>102</c:v>
                </c:pt>
                <c:pt idx="113">
                  <c:v>52.6</c:v>
                </c:pt>
                <c:pt idx="114">
                  <c:v>55</c:v>
                </c:pt>
                <c:pt idx="115">
                  <c:v>53.7</c:v>
                </c:pt>
                <c:pt idx="116">
                  <c:v>47.3</c:v>
                </c:pt>
                <c:pt idx="117">
                  <c:v>71</c:v>
                </c:pt>
                <c:pt idx="118">
                  <c:v>63</c:v>
                </c:pt>
                <c:pt idx="119">
                  <c:v>86</c:v>
                </c:pt>
                <c:pt idx="120">
                  <c:v>74</c:v>
                </c:pt>
                <c:pt idx="121">
                  <c:v>70</c:v>
                </c:pt>
                <c:pt idx="122">
                  <c:v>68.8</c:v>
                </c:pt>
                <c:pt idx="123">
                  <c:v>74</c:v>
                </c:pt>
                <c:pt idx="124">
                  <c:v>76</c:v>
                </c:pt>
                <c:pt idx="125">
                  <c:v>90</c:v>
                </c:pt>
                <c:pt idx="126">
                  <c:v>78</c:v>
                </c:pt>
                <c:pt idx="127">
                  <c:v>76</c:v>
                </c:pt>
                <c:pt idx="128">
                  <c:v>74</c:v>
                </c:pt>
                <c:pt idx="129">
                  <c:v>80</c:v>
                </c:pt>
                <c:pt idx="130">
                  <c:v>76.3</c:v>
                </c:pt>
                <c:pt idx="131">
                  <c:v>57.745999999999995</c:v>
                </c:pt>
                <c:pt idx="132">
                  <c:v>54.6</c:v>
                </c:pt>
                <c:pt idx="133">
                  <c:v>62.561999999999991</c:v>
                </c:pt>
                <c:pt idx="134">
                  <c:v>54</c:v>
                </c:pt>
                <c:pt idx="135">
                  <c:v>65</c:v>
                </c:pt>
                <c:pt idx="136">
                  <c:v>66</c:v>
                </c:pt>
                <c:pt idx="137">
                  <c:v>57.2</c:v>
                </c:pt>
                <c:pt idx="138">
                  <c:v>67</c:v>
                </c:pt>
                <c:pt idx="139">
                  <c:v>23.8</c:v>
                </c:pt>
                <c:pt idx="140">
                  <c:v>33.799999999999997</c:v>
                </c:pt>
                <c:pt idx="141">
                  <c:v>22</c:v>
                </c:pt>
                <c:pt idx="142">
                  <c:v>20</c:v>
                </c:pt>
                <c:pt idx="143">
                  <c:v>33</c:v>
                </c:pt>
                <c:pt idx="144">
                  <c:v>52</c:v>
                </c:pt>
                <c:pt idx="145">
                  <c:v>69</c:v>
                </c:pt>
                <c:pt idx="146">
                  <c:v>63</c:v>
                </c:pt>
                <c:pt idx="147">
                  <c:v>82</c:v>
                </c:pt>
                <c:pt idx="148">
                  <c:v>82</c:v>
                </c:pt>
                <c:pt idx="149">
                  <c:v>46.308</c:v>
                </c:pt>
                <c:pt idx="150">
                  <c:v>83</c:v>
                </c:pt>
                <c:pt idx="151">
                  <c:v>51.4</c:v>
                </c:pt>
                <c:pt idx="152">
                  <c:v>56.541999999999994</c:v>
                </c:pt>
                <c:pt idx="153">
                  <c:v>57</c:v>
                </c:pt>
                <c:pt idx="154">
                  <c:v>55</c:v>
                </c:pt>
                <c:pt idx="155">
                  <c:v>40.287999999999997</c:v>
                </c:pt>
                <c:pt idx="156">
                  <c:v>54</c:v>
                </c:pt>
                <c:pt idx="157">
                  <c:v>54</c:v>
                </c:pt>
                <c:pt idx="158">
                  <c:v>53.3</c:v>
                </c:pt>
                <c:pt idx="159">
                  <c:v>28.4</c:v>
                </c:pt>
                <c:pt idx="160">
                  <c:v>40</c:v>
                </c:pt>
                <c:pt idx="161">
                  <c:v>54.4</c:v>
                </c:pt>
                <c:pt idx="162">
                  <c:v>58</c:v>
                </c:pt>
                <c:pt idx="163">
                  <c:v>72.2</c:v>
                </c:pt>
                <c:pt idx="164">
                  <c:v>59</c:v>
                </c:pt>
                <c:pt idx="165">
                  <c:v>27.55</c:v>
                </c:pt>
                <c:pt idx="166">
                  <c:v>81</c:v>
                </c:pt>
                <c:pt idx="167">
                  <c:v>77</c:v>
                </c:pt>
                <c:pt idx="168">
                  <c:v>81</c:v>
                </c:pt>
                <c:pt idx="169">
                  <c:v>64</c:v>
                </c:pt>
                <c:pt idx="170">
                  <c:v>82</c:v>
                </c:pt>
                <c:pt idx="171">
                  <c:v>81</c:v>
                </c:pt>
                <c:pt idx="172">
                  <c:v>76.5</c:v>
                </c:pt>
                <c:pt idx="173">
                  <c:v>64.7</c:v>
                </c:pt>
                <c:pt idx="174">
                  <c:v>32</c:v>
                </c:pt>
                <c:pt idx="175">
                  <c:v>22.830000000000002</c:v>
                </c:pt>
                <c:pt idx="176">
                  <c:v>59.9</c:v>
                </c:pt>
                <c:pt idx="177">
                  <c:v>38.4</c:v>
                </c:pt>
                <c:pt idx="178">
                  <c:v>32</c:v>
                </c:pt>
                <c:pt idx="179">
                  <c:v>34</c:v>
                </c:pt>
                <c:pt idx="180">
                  <c:v>56.5</c:v>
                </c:pt>
                <c:pt idx="181">
                  <c:v>27</c:v>
                </c:pt>
                <c:pt idx="182">
                  <c:v>43</c:v>
                </c:pt>
                <c:pt idx="183">
                  <c:v>53</c:v>
                </c:pt>
                <c:pt idx="184">
                  <c:v>77</c:v>
                </c:pt>
                <c:pt idx="185">
                  <c:v>68.8</c:v>
                </c:pt>
                <c:pt idx="186">
                  <c:v>58.2</c:v>
                </c:pt>
                <c:pt idx="187">
                  <c:v>62</c:v>
                </c:pt>
                <c:pt idx="188">
                  <c:v>49.4</c:v>
                </c:pt>
                <c:pt idx="189">
                  <c:v>78.099999999999994</c:v>
                </c:pt>
                <c:pt idx="190">
                  <c:v>79.069999999999993</c:v>
                </c:pt>
                <c:pt idx="191">
                  <c:v>60</c:v>
                </c:pt>
                <c:pt idx="192">
                  <c:v>65</c:v>
                </c:pt>
                <c:pt idx="193">
                  <c:v>31.6</c:v>
                </c:pt>
                <c:pt idx="194">
                  <c:v>77.5</c:v>
                </c:pt>
                <c:pt idx="195">
                  <c:v>75.2</c:v>
                </c:pt>
                <c:pt idx="196">
                  <c:v>31.1</c:v>
                </c:pt>
                <c:pt idx="197">
                  <c:v>77.8</c:v>
                </c:pt>
                <c:pt idx="198">
                  <c:v>53.9</c:v>
                </c:pt>
                <c:pt idx="199">
                  <c:v>69.5</c:v>
                </c:pt>
                <c:pt idx="200">
                  <c:v>80</c:v>
                </c:pt>
                <c:pt idx="201">
                  <c:v>67.09</c:v>
                </c:pt>
                <c:pt idx="202">
                  <c:v>52.5</c:v>
                </c:pt>
                <c:pt idx="203">
                  <c:v>56.6</c:v>
                </c:pt>
                <c:pt idx="204">
                  <c:v>56</c:v>
                </c:pt>
                <c:pt idx="205">
                  <c:v>48.4</c:v>
                </c:pt>
                <c:pt idx="206">
                  <c:v>25.238</c:v>
                </c:pt>
                <c:pt idx="207">
                  <c:v>48.5</c:v>
                </c:pt>
                <c:pt idx="208">
                  <c:v>59</c:v>
                </c:pt>
                <c:pt idx="209">
                  <c:v>59</c:v>
                </c:pt>
                <c:pt idx="210">
                  <c:v>75</c:v>
                </c:pt>
                <c:pt idx="211">
                  <c:v>40.4</c:v>
                </c:pt>
                <c:pt idx="212">
                  <c:v>55</c:v>
                </c:pt>
                <c:pt idx="213">
                  <c:v>65</c:v>
                </c:pt>
                <c:pt idx="214">
                  <c:v>63.5</c:v>
                </c:pt>
                <c:pt idx="215">
                  <c:v>78.2</c:v>
                </c:pt>
                <c:pt idx="216">
                  <c:v>61</c:v>
                </c:pt>
                <c:pt idx="217">
                  <c:v>84</c:v>
                </c:pt>
                <c:pt idx="218">
                  <c:v>70</c:v>
                </c:pt>
                <c:pt idx="219">
                  <c:v>58</c:v>
                </c:pt>
                <c:pt idx="220">
                  <c:v>74</c:v>
                </c:pt>
                <c:pt idx="221">
                  <c:v>78</c:v>
                </c:pt>
                <c:pt idx="222">
                  <c:v>67.5</c:v>
                </c:pt>
                <c:pt idx="223">
                  <c:v>70.900000000000006</c:v>
                </c:pt>
                <c:pt idx="224">
                  <c:v>60.6</c:v>
                </c:pt>
                <c:pt idx="225">
                  <c:v>25.84</c:v>
                </c:pt>
                <c:pt idx="226">
                  <c:v>76.8</c:v>
                </c:pt>
                <c:pt idx="227">
                  <c:v>57</c:v>
                </c:pt>
                <c:pt idx="228">
                  <c:v>56</c:v>
                </c:pt>
                <c:pt idx="229">
                  <c:v>61.959999999999994</c:v>
                </c:pt>
                <c:pt idx="230">
                  <c:v>54.2</c:v>
                </c:pt>
                <c:pt idx="231">
                  <c:v>58.347999999999999</c:v>
                </c:pt>
                <c:pt idx="232">
                  <c:v>70.400000000000006</c:v>
                </c:pt>
                <c:pt idx="233">
                  <c:v>29.2</c:v>
                </c:pt>
                <c:pt idx="234">
                  <c:v>73.599999999999994</c:v>
                </c:pt>
                <c:pt idx="235">
                  <c:v>62.561999999999991</c:v>
                </c:pt>
                <c:pt idx="236">
                  <c:v>69.099999999999994</c:v>
                </c:pt>
                <c:pt idx="237">
                  <c:v>81.893999402171573</c:v>
                </c:pt>
                <c:pt idx="238">
                  <c:v>119.81628309928958</c:v>
                </c:pt>
                <c:pt idx="239">
                  <c:v>54.3</c:v>
                </c:pt>
                <c:pt idx="240">
                  <c:v>73.3</c:v>
                </c:pt>
                <c:pt idx="241">
                  <c:v>51.545399999999994</c:v>
                </c:pt>
                <c:pt idx="242">
                  <c:v>32.461999999999996</c:v>
                </c:pt>
                <c:pt idx="243">
                  <c:v>50</c:v>
                </c:pt>
                <c:pt idx="244">
                  <c:v>61</c:v>
                </c:pt>
                <c:pt idx="245">
                  <c:v>39.299999999999997</c:v>
                </c:pt>
                <c:pt idx="246">
                  <c:v>51.2</c:v>
                </c:pt>
                <c:pt idx="247">
                  <c:v>71.3</c:v>
                </c:pt>
                <c:pt idx="248">
                  <c:v>69.7</c:v>
                </c:pt>
                <c:pt idx="249">
                  <c:v>55.63</c:v>
                </c:pt>
                <c:pt idx="250">
                  <c:v>59.250999999999998</c:v>
                </c:pt>
                <c:pt idx="251">
                  <c:v>66</c:v>
                </c:pt>
                <c:pt idx="252">
                  <c:v>56.3</c:v>
                </c:pt>
                <c:pt idx="253">
                  <c:v>73.099999999999994</c:v>
                </c:pt>
                <c:pt idx="254">
                  <c:v>33</c:v>
                </c:pt>
                <c:pt idx="255">
                  <c:v>30.7</c:v>
                </c:pt>
                <c:pt idx="256">
                  <c:v>33.75</c:v>
                </c:pt>
                <c:pt idx="257">
                  <c:v>51.4</c:v>
                </c:pt>
                <c:pt idx="258">
                  <c:v>48</c:v>
                </c:pt>
                <c:pt idx="259">
                  <c:v>37.4</c:v>
                </c:pt>
                <c:pt idx="260">
                  <c:v>74.400000000000006</c:v>
                </c:pt>
                <c:pt idx="261">
                  <c:v>72.599999999999994</c:v>
                </c:pt>
                <c:pt idx="262">
                  <c:v>68</c:v>
                </c:pt>
                <c:pt idx="263">
                  <c:v>30.294800000000002</c:v>
                </c:pt>
                <c:pt idx="264">
                  <c:v>100.6</c:v>
                </c:pt>
                <c:pt idx="265">
                  <c:v>74.599999999999994</c:v>
                </c:pt>
                <c:pt idx="266">
                  <c:v>90.4</c:v>
                </c:pt>
                <c:pt idx="267">
                  <c:v>56.541999999999994</c:v>
                </c:pt>
                <c:pt idx="268">
                  <c:v>65.7</c:v>
                </c:pt>
                <c:pt idx="269">
                  <c:v>74.400000000000006</c:v>
                </c:pt>
                <c:pt idx="270">
                  <c:v>64</c:v>
                </c:pt>
                <c:pt idx="271">
                  <c:v>57.3</c:v>
                </c:pt>
                <c:pt idx="272">
                  <c:v>70.900000000000006</c:v>
                </c:pt>
                <c:pt idx="273">
                  <c:v>64.099999999999994</c:v>
                </c:pt>
                <c:pt idx="274">
                  <c:v>57.143999999999991</c:v>
                </c:pt>
                <c:pt idx="275">
                  <c:v>56.1</c:v>
                </c:pt>
                <c:pt idx="276">
                  <c:v>30.76</c:v>
                </c:pt>
                <c:pt idx="277">
                  <c:v>46.1</c:v>
                </c:pt>
                <c:pt idx="278">
                  <c:v>51.2</c:v>
                </c:pt>
                <c:pt idx="279">
                  <c:v>36.976999999999997</c:v>
                </c:pt>
                <c:pt idx="280">
                  <c:v>75.3</c:v>
                </c:pt>
                <c:pt idx="281">
                  <c:v>77</c:v>
                </c:pt>
                <c:pt idx="282">
                  <c:v>72.2</c:v>
                </c:pt>
                <c:pt idx="283">
                  <c:v>98.5</c:v>
                </c:pt>
                <c:pt idx="284">
                  <c:v>64.8</c:v>
                </c:pt>
                <c:pt idx="285">
                  <c:v>65.33</c:v>
                </c:pt>
                <c:pt idx="286">
                  <c:v>98.3</c:v>
                </c:pt>
                <c:pt idx="287">
                  <c:v>116</c:v>
                </c:pt>
                <c:pt idx="288">
                  <c:v>101</c:v>
                </c:pt>
                <c:pt idx="289">
                  <c:v>34.6</c:v>
                </c:pt>
                <c:pt idx="290">
                  <c:v>64.430000000000007</c:v>
                </c:pt>
                <c:pt idx="291">
                  <c:v>55.5</c:v>
                </c:pt>
                <c:pt idx="292">
                  <c:v>56</c:v>
                </c:pt>
                <c:pt idx="293">
                  <c:v>50.6</c:v>
                </c:pt>
                <c:pt idx="294">
                  <c:v>58</c:v>
                </c:pt>
                <c:pt idx="295">
                  <c:v>74</c:v>
                </c:pt>
                <c:pt idx="296">
                  <c:v>57.3</c:v>
                </c:pt>
                <c:pt idx="297">
                  <c:v>66</c:v>
                </c:pt>
                <c:pt idx="298">
                  <c:v>40.049999999999997</c:v>
                </c:pt>
                <c:pt idx="299">
                  <c:v>49</c:v>
                </c:pt>
                <c:pt idx="300">
                  <c:v>55</c:v>
                </c:pt>
                <c:pt idx="301">
                  <c:v>48.3</c:v>
                </c:pt>
                <c:pt idx="302">
                  <c:v>58.9</c:v>
                </c:pt>
                <c:pt idx="303">
                  <c:v>79.7</c:v>
                </c:pt>
                <c:pt idx="304">
                  <c:v>80.400000000000006</c:v>
                </c:pt>
                <c:pt idx="305">
                  <c:v>71.900000000000006</c:v>
                </c:pt>
                <c:pt idx="306">
                  <c:v>63.5</c:v>
                </c:pt>
                <c:pt idx="307">
                  <c:v>50.1</c:v>
                </c:pt>
                <c:pt idx="308">
                  <c:v>70.8</c:v>
                </c:pt>
                <c:pt idx="309">
                  <c:v>61.1</c:v>
                </c:pt>
                <c:pt idx="310">
                  <c:v>37.578999999999994</c:v>
                </c:pt>
                <c:pt idx="311">
                  <c:v>37.700000000000003</c:v>
                </c:pt>
                <c:pt idx="312">
                  <c:v>79.8</c:v>
                </c:pt>
                <c:pt idx="313">
                  <c:v>93.5</c:v>
                </c:pt>
                <c:pt idx="314">
                  <c:v>79</c:v>
                </c:pt>
                <c:pt idx="315">
                  <c:v>86.6</c:v>
                </c:pt>
                <c:pt idx="316">
                  <c:v>118.1</c:v>
                </c:pt>
                <c:pt idx="317">
                  <c:v>73.569999999999993</c:v>
                </c:pt>
                <c:pt idx="318">
                  <c:v>101.5</c:v>
                </c:pt>
                <c:pt idx="319">
                  <c:v>60</c:v>
                </c:pt>
                <c:pt idx="320">
                  <c:v>50.3</c:v>
                </c:pt>
                <c:pt idx="321">
                  <c:v>34.200000000000003</c:v>
                </c:pt>
                <c:pt idx="322">
                  <c:v>60.8</c:v>
                </c:pt>
                <c:pt idx="323">
                  <c:v>66.173999999999992</c:v>
                </c:pt>
                <c:pt idx="324">
                  <c:v>61.7</c:v>
                </c:pt>
                <c:pt idx="325">
                  <c:v>60.002000000000002</c:v>
                </c:pt>
                <c:pt idx="326">
                  <c:v>58.5</c:v>
                </c:pt>
                <c:pt idx="327">
                  <c:v>71.7</c:v>
                </c:pt>
                <c:pt idx="328">
                  <c:v>71</c:v>
                </c:pt>
                <c:pt idx="329">
                  <c:v>60.2</c:v>
                </c:pt>
                <c:pt idx="330">
                  <c:v>88</c:v>
                </c:pt>
                <c:pt idx="331">
                  <c:v>32</c:v>
                </c:pt>
                <c:pt idx="332">
                  <c:v>56.85</c:v>
                </c:pt>
                <c:pt idx="333">
                  <c:v>45.2</c:v>
                </c:pt>
                <c:pt idx="334">
                  <c:v>66.599999999999994</c:v>
                </c:pt>
                <c:pt idx="335">
                  <c:v>70.400000000000006</c:v>
                </c:pt>
                <c:pt idx="336">
                  <c:v>74</c:v>
                </c:pt>
                <c:pt idx="337">
                  <c:v>76.599999999999994</c:v>
                </c:pt>
                <c:pt idx="338">
                  <c:v>64.900000000000006</c:v>
                </c:pt>
                <c:pt idx="339">
                  <c:v>72.599999999999994</c:v>
                </c:pt>
                <c:pt idx="340">
                  <c:v>78.816000000000003</c:v>
                </c:pt>
                <c:pt idx="341">
                  <c:v>39.299999999999997</c:v>
                </c:pt>
                <c:pt idx="342">
                  <c:v>101.9</c:v>
                </c:pt>
                <c:pt idx="343">
                  <c:v>99.4</c:v>
                </c:pt>
                <c:pt idx="344">
                  <c:v>90.5</c:v>
                </c:pt>
                <c:pt idx="345">
                  <c:v>87.6</c:v>
                </c:pt>
                <c:pt idx="346">
                  <c:v>83.8</c:v>
                </c:pt>
                <c:pt idx="347">
                  <c:v>75.2</c:v>
                </c:pt>
                <c:pt idx="348">
                  <c:v>67.5</c:v>
                </c:pt>
                <c:pt idx="349">
                  <c:v>91</c:v>
                </c:pt>
                <c:pt idx="350">
                  <c:v>48</c:v>
                </c:pt>
                <c:pt idx="351">
                  <c:v>40.1</c:v>
                </c:pt>
                <c:pt idx="352">
                  <c:v>34.159999999999997</c:v>
                </c:pt>
                <c:pt idx="353">
                  <c:v>71.7</c:v>
                </c:pt>
                <c:pt idx="354">
                  <c:v>69</c:v>
                </c:pt>
                <c:pt idx="355">
                  <c:v>58</c:v>
                </c:pt>
                <c:pt idx="356">
                  <c:v>76.2</c:v>
                </c:pt>
                <c:pt idx="357">
                  <c:v>80.400000000000006</c:v>
                </c:pt>
                <c:pt idx="358">
                  <c:v>54.133999999999993</c:v>
                </c:pt>
                <c:pt idx="359">
                  <c:v>35.1</c:v>
                </c:pt>
                <c:pt idx="360">
                  <c:v>100.6</c:v>
                </c:pt>
                <c:pt idx="361">
                  <c:v>100.9</c:v>
                </c:pt>
                <c:pt idx="362">
                  <c:v>67.5</c:v>
                </c:pt>
                <c:pt idx="363">
                  <c:v>80.900000000000006</c:v>
                </c:pt>
                <c:pt idx="364">
                  <c:v>55.3</c:v>
                </c:pt>
                <c:pt idx="365">
                  <c:v>33.4</c:v>
                </c:pt>
                <c:pt idx="366">
                  <c:v>93.3</c:v>
                </c:pt>
                <c:pt idx="367">
                  <c:v>86.66</c:v>
                </c:pt>
                <c:pt idx="368">
                  <c:v>84.8</c:v>
                </c:pt>
                <c:pt idx="369">
                  <c:v>75.7</c:v>
                </c:pt>
                <c:pt idx="370">
                  <c:v>66.319999999999993</c:v>
                </c:pt>
                <c:pt idx="371">
                  <c:v>75</c:v>
                </c:pt>
                <c:pt idx="372">
                  <c:v>78.8</c:v>
                </c:pt>
                <c:pt idx="373">
                  <c:v>94.2</c:v>
                </c:pt>
                <c:pt idx="374">
                  <c:v>92.3</c:v>
                </c:pt>
                <c:pt idx="375">
                  <c:v>57.5</c:v>
                </c:pt>
                <c:pt idx="376">
                  <c:v>49.919999999999995</c:v>
                </c:pt>
                <c:pt idx="377">
                  <c:v>28.849999999999998</c:v>
                </c:pt>
                <c:pt idx="378">
                  <c:v>40.799999999999997</c:v>
                </c:pt>
                <c:pt idx="379">
                  <c:v>72.5</c:v>
                </c:pt>
                <c:pt idx="380">
                  <c:v>66.7</c:v>
                </c:pt>
                <c:pt idx="381">
                  <c:v>60.5</c:v>
                </c:pt>
                <c:pt idx="382">
                  <c:v>105.3</c:v>
                </c:pt>
                <c:pt idx="383">
                  <c:v>93</c:v>
                </c:pt>
                <c:pt idx="384">
                  <c:v>103</c:v>
                </c:pt>
                <c:pt idx="385">
                  <c:v>92.1</c:v>
                </c:pt>
                <c:pt idx="386">
                  <c:v>94</c:v>
                </c:pt>
                <c:pt idx="387">
                  <c:v>105.4</c:v>
                </c:pt>
                <c:pt idx="388">
                  <c:v>65</c:v>
                </c:pt>
                <c:pt idx="389">
                  <c:v>1</c:v>
                </c:pt>
                <c:pt idx="390">
                  <c:v>84.1</c:v>
                </c:pt>
                <c:pt idx="391">
                  <c:v>52.3</c:v>
                </c:pt>
                <c:pt idx="392">
                  <c:v>80</c:v>
                </c:pt>
                <c:pt idx="393">
                  <c:v>60.16</c:v>
                </c:pt>
                <c:pt idx="394">
                  <c:v>51.4</c:v>
                </c:pt>
                <c:pt idx="395">
                  <c:v>60.4</c:v>
                </c:pt>
                <c:pt idx="396">
                  <c:v>91.3</c:v>
                </c:pt>
                <c:pt idx="397">
                  <c:v>77.2</c:v>
                </c:pt>
                <c:pt idx="398">
                  <c:v>92.2</c:v>
                </c:pt>
                <c:pt idx="399">
                  <c:v>70.150000000000006</c:v>
                </c:pt>
                <c:pt idx="400">
                  <c:v>51.8</c:v>
                </c:pt>
                <c:pt idx="401">
                  <c:v>39.299999999999997</c:v>
                </c:pt>
                <c:pt idx="402">
                  <c:v>46.5</c:v>
                </c:pt>
                <c:pt idx="403">
                  <c:v>62.5</c:v>
                </c:pt>
                <c:pt idx="404">
                  <c:v>38.33</c:v>
                </c:pt>
                <c:pt idx="405">
                  <c:v>45.9</c:v>
                </c:pt>
                <c:pt idx="406">
                  <c:v>36.4</c:v>
                </c:pt>
                <c:pt idx="407">
                  <c:v>30.75</c:v>
                </c:pt>
                <c:pt idx="408">
                  <c:v>99.1</c:v>
                </c:pt>
                <c:pt idx="409">
                  <c:v>84.2</c:v>
                </c:pt>
                <c:pt idx="410">
                  <c:v>63</c:v>
                </c:pt>
                <c:pt idx="411">
                  <c:v>70.7</c:v>
                </c:pt>
                <c:pt idx="412">
                  <c:v>62.8</c:v>
                </c:pt>
                <c:pt idx="413">
                  <c:v>71.2</c:v>
                </c:pt>
                <c:pt idx="414">
                  <c:v>73.900000000000006</c:v>
                </c:pt>
                <c:pt idx="415">
                  <c:v>103.9</c:v>
                </c:pt>
                <c:pt idx="416">
                  <c:v>74.7</c:v>
                </c:pt>
                <c:pt idx="417">
                  <c:v>94.3</c:v>
                </c:pt>
                <c:pt idx="418">
                  <c:v>92</c:v>
                </c:pt>
                <c:pt idx="419">
                  <c:v>70.599999999999994</c:v>
                </c:pt>
                <c:pt idx="420">
                  <c:v>39.200000000000003</c:v>
                </c:pt>
                <c:pt idx="421">
                  <c:v>36.1</c:v>
                </c:pt>
                <c:pt idx="422">
                  <c:v>54.1</c:v>
                </c:pt>
                <c:pt idx="423">
                  <c:v>71.2</c:v>
                </c:pt>
                <c:pt idx="424">
                  <c:v>32.299999999999997</c:v>
                </c:pt>
                <c:pt idx="425">
                  <c:v>44.3</c:v>
                </c:pt>
                <c:pt idx="426">
                  <c:v>28.9</c:v>
                </c:pt>
              </c:numCache>
            </c:numRef>
          </c:xVal>
          <c:yVal>
            <c:numRef>
              <c:f>ISSCC!$R$2:$R$428</c:f>
              <c:numCache>
                <c:formatCode>0.00E+00</c:formatCode>
                <c:ptCount val="427"/>
                <c:pt idx="0">
                  <c:v>100000</c:v>
                </c:pt>
                <c:pt idx="1">
                  <c:v>25000000</c:v>
                </c:pt>
                <c:pt idx="2">
                  <c:v>25000000</c:v>
                </c:pt>
                <c:pt idx="3">
                  <c:v>64000000</c:v>
                </c:pt>
                <c:pt idx="4">
                  <c:v>2500000</c:v>
                </c:pt>
                <c:pt idx="5">
                  <c:v>1250000</c:v>
                </c:pt>
                <c:pt idx="6">
                  <c:v>1000</c:v>
                </c:pt>
                <c:pt idx="7">
                  <c:v>200000</c:v>
                </c:pt>
                <c:pt idx="8">
                  <c:v>62600000</c:v>
                </c:pt>
                <c:pt idx="9">
                  <c:v>200000</c:v>
                </c:pt>
                <c:pt idx="10">
                  <c:v>48000</c:v>
                </c:pt>
                <c:pt idx="11">
                  <c:v>20000</c:v>
                </c:pt>
                <c:pt idx="12">
                  <c:v>100000</c:v>
                </c:pt>
                <c:pt idx="13">
                  <c:v>16000</c:v>
                </c:pt>
                <c:pt idx="14">
                  <c:v>10000000</c:v>
                </c:pt>
                <c:pt idx="15">
                  <c:v>20000000</c:v>
                </c:pt>
                <c:pt idx="16">
                  <c:v>20000000</c:v>
                </c:pt>
                <c:pt idx="17">
                  <c:v>5000000</c:v>
                </c:pt>
                <c:pt idx="18">
                  <c:v>37500000</c:v>
                </c:pt>
                <c:pt idx="19">
                  <c:v>175000000</c:v>
                </c:pt>
                <c:pt idx="20">
                  <c:v>200000000</c:v>
                </c:pt>
                <c:pt idx="21">
                  <c:v>20000</c:v>
                </c:pt>
                <c:pt idx="22">
                  <c:v>100000</c:v>
                </c:pt>
                <c:pt idx="23">
                  <c:v>9000000</c:v>
                </c:pt>
                <c:pt idx="24">
                  <c:v>200000</c:v>
                </c:pt>
                <c:pt idx="25">
                  <c:v>40000</c:v>
                </c:pt>
                <c:pt idx="26">
                  <c:v>62500</c:v>
                </c:pt>
                <c:pt idx="27">
                  <c:v>12500000</c:v>
                </c:pt>
                <c:pt idx="28">
                  <c:v>20000000</c:v>
                </c:pt>
                <c:pt idx="29">
                  <c:v>10000000</c:v>
                </c:pt>
                <c:pt idx="30">
                  <c:v>250000000</c:v>
                </c:pt>
                <c:pt idx="31">
                  <c:v>100000000</c:v>
                </c:pt>
                <c:pt idx="32">
                  <c:v>50000000</c:v>
                </c:pt>
                <c:pt idx="33">
                  <c:v>20000000</c:v>
                </c:pt>
                <c:pt idx="34">
                  <c:v>32500000</c:v>
                </c:pt>
                <c:pt idx="35">
                  <c:v>25000000</c:v>
                </c:pt>
                <c:pt idx="36">
                  <c:v>40000000</c:v>
                </c:pt>
                <c:pt idx="37">
                  <c:v>10000000</c:v>
                </c:pt>
                <c:pt idx="38">
                  <c:v>1250000</c:v>
                </c:pt>
                <c:pt idx="39">
                  <c:v>1250000</c:v>
                </c:pt>
                <c:pt idx="40">
                  <c:v>200000</c:v>
                </c:pt>
                <c:pt idx="41">
                  <c:v>2000000</c:v>
                </c:pt>
                <c:pt idx="42">
                  <c:v>5000000</c:v>
                </c:pt>
                <c:pt idx="43">
                  <c:v>189000</c:v>
                </c:pt>
                <c:pt idx="44">
                  <c:v>2000000</c:v>
                </c:pt>
                <c:pt idx="45">
                  <c:v>650000000</c:v>
                </c:pt>
                <c:pt idx="46">
                  <c:v>550000000</c:v>
                </c:pt>
                <c:pt idx="47">
                  <c:v>50000000</c:v>
                </c:pt>
                <c:pt idx="48">
                  <c:v>27000000</c:v>
                </c:pt>
                <c:pt idx="49">
                  <c:v>37500000</c:v>
                </c:pt>
                <c:pt idx="50">
                  <c:v>20000000</c:v>
                </c:pt>
                <c:pt idx="51">
                  <c:v>1000000000</c:v>
                </c:pt>
                <c:pt idx="52">
                  <c:v>660000000</c:v>
                </c:pt>
                <c:pt idx="53">
                  <c:v>225000000</c:v>
                </c:pt>
                <c:pt idx="54">
                  <c:v>1000000</c:v>
                </c:pt>
                <c:pt idx="55">
                  <c:v>15000000</c:v>
                </c:pt>
                <c:pt idx="56">
                  <c:v>10000000</c:v>
                </c:pt>
                <c:pt idx="57">
                  <c:v>1000000</c:v>
                </c:pt>
                <c:pt idx="58">
                  <c:v>330000</c:v>
                </c:pt>
                <c:pt idx="59">
                  <c:v>3840000</c:v>
                </c:pt>
                <c:pt idx="60">
                  <c:v>2000000</c:v>
                </c:pt>
                <c:pt idx="61">
                  <c:v>2000000</c:v>
                </c:pt>
                <c:pt idx="62">
                  <c:v>962000</c:v>
                </c:pt>
                <c:pt idx="63">
                  <c:v>2000000</c:v>
                </c:pt>
                <c:pt idx="64">
                  <c:v>11000000</c:v>
                </c:pt>
                <c:pt idx="65">
                  <c:v>8000</c:v>
                </c:pt>
                <c:pt idx="66">
                  <c:v>10000</c:v>
                </c:pt>
                <c:pt idx="67">
                  <c:v>25000000</c:v>
                </c:pt>
                <c:pt idx="68">
                  <c:v>1000000</c:v>
                </c:pt>
                <c:pt idx="69">
                  <c:v>8000</c:v>
                </c:pt>
                <c:pt idx="70">
                  <c:v>2000000</c:v>
                </c:pt>
                <c:pt idx="71">
                  <c:v>20000</c:v>
                </c:pt>
                <c:pt idx="72">
                  <c:v>1920000</c:v>
                </c:pt>
                <c:pt idx="73">
                  <c:v>1230000</c:v>
                </c:pt>
                <c:pt idx="74">
                  <c:v>1100000</c:v>
                </c:pt>
                <c:pt idx="75">
                  <c:v>1000000</c:v>
                </c:pt>
                <c:pt idx="76">
                  <c:v>20000000</c:v>
                </c:pt>
                <c:pt idx="77">
                  <c:v>6000000000</c:v>
                </c:pt>
                <c:pt idx="78">
                  <c:v>1000000000</c:v>
                </c:pt>
                <c:pt idx="79">
                  <c:v>40000000</c:v>
                </c:pt>
                <c:pt idx="80">
                  <c:v>75000000</c:v>
                </c:pt>
                <c:pt idx="81">
                  <c:v>37500000</c:v>
                </c:pt>
                <c:pt idx="82">
                  <c:v>35000000</c:v>
                </c:pt>
                <c:pt idx="83">
                  <c:v>12000000</c:v>
                </c:pt>
                <c:pt idx="84">
                  <c:v>10000000</c:v>
                </c:pt>
                <c:pt idx="85">
                  <c:v>12500000</c:v>
                </c:pt>
                <c:pt idx="86">
                  <c:v>1100000</c:v>
                </c:pt>
                <c:pt idx="87">
                  <c:v>1920000</c:v>
                </c:pt>
                <c:pt idx="88">
                  <c:v>20000</c:v>
                </c:pt>
                <c:pt idx="89">
                  <c:v>1100000</c:v>
                </c:pt>
                <c:pt idx="90">
                  <c:v>2500000</c:v>
                </c:pt>
                <c:pt idx="91">
                  <c:v>1000000</c:v>
                </c:pt>
                <c:pt idx="92">
                  <c:v>800000000</c:v>
                </c:pt>
                <c:pt idx="93">
                  <c:v>300000000</c:v>
                </c:pt>
                <c:pt idx="94">
                  <c:v>110000000</c:v>
                </c:pt>
                <c:pt idx="95">
                  <c:v>75000000</c:v>
                </c:pt>
                <c:pt idx="96">
                  <c:v>62500000</c:v>
                </c:pt>
                <c:pt idx="97">
                  <c:v>13000000000</c:v>
                </c:pt>
                <c:pt idx="98">
                  <c:v>300000000</c:v>
                </c:pt>
                <c:pt idx="99">
                  <c:v>20000000</c:v>
                </c:pt>
                <c:pt idx="100">
                  <c:v>10000000</c:v>
                </c:pt>
                <c:pt idx="101">
                  <c:v>25000000</c:v>
                </c:pt>
                <c:pt idx="102">
                  <c:v>5000000</c:v>
                </c:pt>
                <c:pt idx="103">
                  <c:v>40000000</c:v>
                </c:pt>
                <c:pt idx="104">
                  <c:v>40000000</c:v>
                </c:pt>
                <c:pt idx="105">
                  <c:v>15000000</c:v>
                </c:pt>
                <c:pt idx="106">
                  <c:v>24000</c:v>
                </c:pt>
                <c:pt idx="107">
                  <c:v>2000000</c:v>
                </c:pt>
                <c:pt idx="108">
                  <c:v>1940000</c:v>
                </c:pt>
                <c:pt idx="109">
                  <c:v>1000000</c:v>
                </c:pt>
                <c:pt idx="110">
                  <c:v>10000000</c:v>
                </c:pt>
                <c:pt idx="111">
                  <c:v>20000</c:v>
                </c:pt>
                <c:pt idx="112">
                  <c:v>20000</c:v>
                </c:pt>
                <c:pt idx="113">
                  <c:v>6000000</c:v>
                </c:pt>
                <c:pt idx="114">
                  <c:v>25000000</c:v>
                </c:pt>
                <c:pt idx="115">
                  <c:v>62500000</c:v>
                </c:pt>
                <c:pt idx="116">
                  <c:v>100000000</c:v>
                </c:pt>
                <c:pt idx="117">
                  <c:v>2000000</c:v>
                </c:pt>
                <c:pt idx="118">
                  <c:v>428000</c:v>
                </c:pt>
                <c:pt idx="119">
                  <c:v>600000</c:v>
                </c:pt>
                <c:pt idx="120">
                  <c:v>600000</c:v>
                </c:pt>
                <c:pt idx="121">
                  <c:v>1000000</c:v>
                </c:pt>
                <c:pt idx="122">
                  <c:v>23000000</c:v>
                </c:pt>
                <c:pt idx="123">
                  <c:v>20000000</c:v>
                </c:pt>
                <c:pt idx="124">
                  <c:v>8500000</c:v>
                </c:pt>
                <c:pt idx="125">
                  <c:v>200000</c:v>
                </c:pt>
                <c:pt idx="126">
                  <c:v>2200000</c:v>
                </c:pt>
                <c:pt idx="127">
                  <c:v>1100000</c:v>
                </c:pt>
                <c:pt idx="128">
                  <c:v>25000</c:v>
                </c:pt>
                <c:pt idx="129">
                  <c:v>10000</c:v>
                </c:pt>
                <c:pt idx="130">
                  <c:v>3200000</c:v>
                </c:pt>
                <c:pt idx="131">
                  <c:v>32000000</c:v>
                </c:pt>
                <c:pt idx="132">
                  <c:v>25000000</c:v>
                </c:pt>
                <c:pt idx="133">
                  <c:v>20000000</c:v>
                </c:pt>
                <c:pt idx="134">
                  <c:v>4000000</c:v>
                </c:pt>
                <c:pt idx="135">
                  <c:v>50000</c:v>
                </c:pt>
                <c:pt idx="136">
                  <c:v>50000000</c:v>
                </c:pt>
                <c:pt idx="137">
                  <c:v>25000000</c:v>
                </c:pt>
                <c:pt idx="138">
                  <c:v>20000000</c:v>
                </c:pt>
                <c:pt idx="139">
                  <c:v>625000000</c:v>
                </c:pt>
                <c:pt idx="140">
                  <c:v>500000000</c:v>
                </c:pt>
                <c:pt idx="141">
                  <c:v>2000000000</c:v>
                </c:pt>
                <c:pt idx="142">
                  <c:v>11000000000</c:v>
                </c:pt>
                <c:pt idx="143">
                  <c:v>300000000</c:v>
                </c:pt>
                <c:pt idx="144">
                  <c:v>500000000</c:v>
                </c:pt>
                <c:pt idx="145">
                  <c:v>20000000</c:v>
                </c:pt>
                <c:pt idx="146">
                  <c:v>10000000</c:v>
                </c:pt>
                <c:pt idx="147">
                  <c:v>200000</c:v>
                </c:pt>
                <c:pt idx="148">
                  <c:v>614000</c:v>
                </c:pt>
                <c:pt idx="149">
                  <c:v>10000000</c:v>
                </c:pt>
                <c:pt idx="150">
                  <c:v>960000</c:v>
                </c:pt>
                <c:pt idx="151">
                  <c:v>40000000</c:v>
                </c:pt>
                <c:pt idx="152">
                  <c:v>80000000</c:v>
                </c:pt>
                <c:pt idx="153">
                  <c:v>15000000</c:v>
                </c:pt>
                <c:pt idx="154">
                  <c:v>102500000</c:v>
                </c:pt>
                <c:pt idx="155">
                  <c:v>100000000</c:v>
                </c:pt>
                <c:pt idx="156">
                  <c:v>102500000</c:v>
                </c:pt>
                <c:pt idx="157">
                  <c:v>400000000</c:v>
                </c:pt>
                <c:pt idx="158">
                  <c:v>20000000</c:v>
                </c:pt>
                <c:pt idx="159">
                  <c:v>125000000</c:v>
                </c:pt>
                <c:pt idx="160">
                  <c:v>75000000</c:v>
                </c:pt>
                <c:pt idx="161">
                  <c:v>500000</c:v>
                </c:pt>
                <c:pt idx="162">
                  <c:v>50000</c:v>
                </c:pt>
                <c:pt idx="163">
                  <c:v>50000000</c:v>
                </c:pt>
                <c:pt idx="164">
                  <c:v>50000000</c:v>
                </c:pt>
                <c:pt idx="165">
                  <c:v>875000000</c:v>
                </c:pt>
                <c:pt idx="166">
                  <c:v>20000</c:v>
                </c:pt>
                <c:pt idx="167">
                  <c:v>200000</c:v>
                </c:pt>
                <c:pt idx="168">
                  <c:v>2500000</c:v>
                </c:pt>
                <c:pt idx="169">
                  <c:v>20000000</c:v>
                </c:pt>
                <c:pt idx="170">
                  <c:v>10000000</c:v>
                </c:pt>
                <c:pt idx="171">
                  <c:v>8000000</c:v>
                </c:pt>
                <c:pt idx="172">
                  <c:v>20000</c:v>
                </c:pt>
                <c:pt idx="173">
                  <c:v>10000000</c:v>
                </c:pt>
                <c:pt idx="174">
                  <c:v>450000000</c:v>
                </c:pt>
                <c:pt idx="175">
                  <c:v>12000000000</c:v>
                </c:pt>
                <c:pt idx="176">
                  <c:v>60000000</c:v>
                </c:pt>
                <c:pt idx="177">
                  <c:v>150000000</c:v>
                </c:pt>
                <c:pt idx="178">
                  <c:v>200000</c:v>
                </c:pt>
                <c:pt idx="179">
                  <c:v>1100000000</c:v>
                </c:pt>
                <c:pt idx="180">
                  <c:v>497770000</c:v>
                </c:pt>
                <c:pt idx="181">
                  <c:v>400000000</c:v>
                </c:pt>
                <c:pt idx="182">
                  <c:v>300000000</c:v>
                </c:pt>
                <c:pt idx="183">
                  <c:v>233000000</c:v>
                </c:pt>
                <c:pt idx="184">
                  <c:v>62500000</c:v>
                </c:pt>
                <c:pt idx="185">
                  <c:v>50000000</c:v>
                </c:pt>
                <c:pt idx="186">
                  <c:v>25000000</c:v>
                </c:pt>
                <c:pt idx="187">
                  <c:v>25000000</c:v>
                </c:pt>
                <c:pt idx="188">
                  <c:v>300000</c:v>
                </c:pt>
                <c:pt idx="189">
                  <c:v>20000000</c:v>
                </c:pt>
                <c:pt idx="190">
                  <c:v>2000000</c:v>
                </c:pt>
                <c:pt idx="191">
                  <c:v>20000000</c:v>
                </c:pt>
                <c:pt idx="192">
                  <c:v>2000000</c:v>
                </c:pt>
                <c:pt idx="193">
                  <c:v>5000000000</c:v>
                </c:pt>
                <c:pt idx="194">
                  <c:v>125000000</c:v>
                </c:pt>
                <c:pt idx="195">
                  <c:v>80000000</c:v>
                </c:pt>
                <c:pt idx="196">
                  <c:v>1100000000</c:v>
                </c:pt>
                <c:pt idx="197">
                  <c:v>4500000</c:v>
                </c:pt>
                <c:pt idx="198">
                  <c:v>50000000</c:v>
                </c:pt>
                <c:pt idx="199">
                  <c:v>5000000</c:v>
                </c:pt>
                <c:pt idx="200">
                  <c:v>6250000</c:v>
                </c:pt>
                <c:pt idx="201">
                  <c:v>22500000</c:v>
                </c:pt>
                <c:pt idx="202">
                  <c:v>20000000</c:v>
                </c:pt>
                <c:pt idx="203">
                  <c:v>25000000</c:v>
                </c:pt>
                <c:pt idx="204">
                  <c:v>50000000</c:v>
                </c:pt>
                <c:pt idx="205">
                  <c:v>5120000</c:v>
                </c:pt>
                <c:pt idx="206">
                  <c:v>18000000000</c:v>
                </c:pt>
                <c:pt idx="207">
                  <c:v>1300000000</c:v>
                </c:pt>
                <c:pt idx="208">
                  <c:v>500000000</c:v>
                </c:pt>
                <c:pt idx="209">
                  <c:v>400000000</c:v>
                </c:pt>
                <c:pt idx="210">
                  <c:v>40000000</c:v>
                </c:pt>
                <c:pt idx="211">
                  <c:v>200000000</c:v>
                </c:pt>
                <c:pt idx="212">
                  <c:v>10000</c:v>
                </c:pt>
                <c:pt idx="213">
                  <c:v>125000000</c:v>
                </c:pt>
                <c:pt idx="214">
                  <c:v>25000000</c:v>
                </c:pt>
                <c:pt idx="215">
                  <c:v>1041666.6666666666</c:v>
                </c:pt>
                <c:pt idx="216">
                  <c:v>10000</c:v>
                </c:pt>
                <c:pt idx="217">
                  <c:v>50000</c:v>
                </c:pt>
                <c:pt idx="218">
                  <c:v>20000000</c:v>
                </c:pt>
                <c:pt idx="219">
                  <c:v>24000960.038401537</c:v>
                </c:pt>
                <c:pt idx="220">
                  <c:v>150000037.50000939</c:v>
                </c:pt>
                <c:pt idx="221">
                  <c:v>4000000</c:v>
                </c:pt>
                <c:pt idx="222">
                  <c:v>25000000</c:v>
                </c:pt>
                <c:pt idx="223">
                  <c:v>36000000</c:v>
                </c:pt>
                <c:pt idx="224">
                  <c:v>60000000</c:v>
                </c:pt>
                <c:pt idx="225">
                  <c:v>10000000000</c:v>
                </c:pt>
                <c:pt idx="226">
                  <c:v>10000000</c:v>
                </c:pt>
                <c:pt idx="227">
                  <c:v>100000000</c:v>
                </c:pt>
                <c:pt idx="228">
                  <c:v>125000000</c:v>
                </c:pt>
                <c:pt idx="229">
                  <c:v>11000000</c:v>
                </c:pt>
                <c:pt idx="230">
                  <c:v>40000000</c:v>
                </c:pt>
                <c:pt idx="231">
                  <c:v>2000000</c:v>
                </c:pt>
                <c:pt idx="232">
                  <c:v>15000000</c:v>
                </c:pt>
                <c:pt idx="233">
                  <c:v>5000000000</c:v>
                </c:pt>
                <c:pt idx="234">
                  <c:v>18000000</c:v>
                </c:pt>
                <c:pt idx="235">
                  <c:v>20000</c:v>
                </c:pt>
                <c:pt idx="236">
                  <c:v>25000000</c:v>
                </c:pt>
                <c:pt idx="237">
                  <c:v>666.66666666666663</c:v>
                </c:pt>
                <c:pt idx="238">
                  <c:v>12.5</c:v>
                </c:pt>
                <c:pt idx="239">
                  <c:v>250000</c:v>
                </c:pt>
                <c:pt idx="240">
                  <c:v>30000000</c:v>
                </c:pt>
                <c:pt idx="241">
                  <c:v>100000</c:v>
                </c:pt>
                <c:pt idx="242">
                  <c:v>5000000000</c:v>
                </c:pt>
                <c:pt idx="243">
                  <c:v>1800000000</c:v>
                </c:pt>
                <c:pt idx="244">
                  <c:v>1000000000</c:v>
                </c:pt>
                <c:pt idx="245">
                  <c:v>600000000</c:v>
                </c:pt>
                <c:pt idx="246">
                  <c:v>450000000</c:v>
                </c:pt>
                <c:pt idx="247">
                  <c:v>40000000</c:v>
                </c:pt>
                <c:pt idx="248">
                  <c:v>16000</c:v>
                </c:pt>
                <c:pt idx="249">
                  <c:v>100000</c:v>
                </c:pt>
                <c:pt idx="250">
                  <c:v>2000</c:v>
                </c:pt>
                <c:pt idx="251">
                  <c:v>40000000</c:v>
                </c:pt>
                <c:pt idx="252">
                  <c:v>50000000</c:v>
                </c:pt>
                <c:pt idx="253">
                  <c:v>25000000</c:v>
                </c:pt>
                <c:pt idx="254">
                  <c:v>19900000000</c:v>
                </c:pt>
                <c:pt idx="255">
                  <c:v>10000000000</c:v>
                </c:pt>
                <c:pt idx="256">
                  <c:v>4800000000</c:v>
                </c:pt>
                <c:pt idx="257">
                  <c:v>500000000</c:v>
                </c:pt>
                <c:pt idx="258">
                  <c:v>750000000</c:v>
                </c:pt>
                <c:pt idx="259">
                  <c:v>1100000000</c:v>
                </c:pt>
                <c:pt idx="260">
                  <c:v>2000000</c:v>
                </c:pt>
                <c:pt idx="261">
                  <c:v>45700000</c:v>
                </c:pt>
                <c:pt idx="262">
                  <c:v>500000000</c:v>
                </c:pt>
                <c:pt idx="263">
                  <c:v>5000000000</c:v>
                </c:pt>
                <c:pt idx="264">
                  <c:v>100</c:v>
                </c:pt>
                <c:pt idx="265">
                  <c:v>50000000</c:v>
                </c:pt>
                <c:pt idx="266">
                  <c:v>2200000</c:v>
                </c:pt>
                <c:pt idx="267">
                  <c:v>40000</c:v>
                </c:pt>
                <c:pt idx="268">
                  <c:v>125000000</c:v>
                </c:pt>
                <c:pt idx="269">
                  <c:v>17400000</c:v>
                </c:pt>
                <c:pt idx="270">
                  <c:v>250000000</c:v>
                </c:pt>
                <c:pt idx="271">
                  <c:v>50000</c:v>
                </c:pt>
                <c:pt idx="272">
                  <c:v>25000000</c:v>
                </c:pt>
                <c:pt idx="273">
                  <c:v>3200000</c:v>
                </c:pt>
                <c:pt idx="274">
                  <c:v>400000000</c:v>
                </c:pt>
                <c:pt idx="275">
                  <c:v>790000000</c:v>
                </c:pt>
                <c:pt idx="276">
                  <c:v>2500000000</c:v>
                </c:pt>
                <c:pt idx="277">
                  <c:v>2350000000</c:v>
                </c:pt>
                <c:pt idx="278">
                  <c:v>880000000</c:v>
                </c:pt>
                <c:pt idx="279">
                  <c:v>8000000000</c:v>
                </c:pt>
                <c:pt idx="280">
                  <c:v>5000000</c:v>
                </c:pt>
                <c:pt idx="281">
                  <c:v>2500000</c:v>
                </c:pt>
                <c:pt idx="282">
                  <c:v>1000000</c:v>
                </c:pt>
                <c:pt idx="283">
                  <c:v>6000</c:v>
                </c:pt>
                <c:pt idx="284">
                  <c:v>70000000</c:v>
                </c:pt>
                <c:pt idx="285">
                  <c:v>30000000</c:v>
                </c:pt>
                <c:pt idx="286">
                  <c:v>1000</c:v>
                </c:pt>
                <c:pt idx="287">
                  <c:v>110</c:v>
                </c:pt>
                <c:pt idx="288">
                  <c:v>1000</c:v>
                </c:pt>
                <c:pt idx="289">
                  <c:v>500000000</c:v>
                </c:pt>
                <c:pt idx="290">
                  <c:v>50000000</c:v>
                </c:pt>
                <c:pt idx="291">
                  <c:v>182000000</c:v>
                </c:pt>
                <c:pt idx="292">
                  <c:v>1900000000</c:v>
                </c:pt>
                <c:pt idx="293">
                  <c:v>1300000000</c:v>
                </c:pt>
                <c:pt idx="294">
                  <c:v>265000000</c:v>
                </c:pt>
                <c:pt idx="295">
                  <c:v>203</c:v>
                </c:pt>
                <c:pt idx="296">
                  <c:v>1900000000</c:v>
                </c:pt>
                <c:pt idx="297">
                  <c:v>1000000000</c:v>
                </c:pt>
                <c:pt idx="298">
                  <c:v>1200000000</c:v>
                </c:pt>
                <c:pt idx="299">
                  <c:v>3820000000</c:v>
                </c:pt>
                <c:pt idx="300">
                  <c:v>4000000000</c:v>
                </c:pt>
                <c:pt idx="301">
                  <c:v>500</c:v>
                </c:pt>
                <c:pt idx="302">
                  <c:v>2000000</c:v>
                </c:pt>
                <c:pt idx="303">
                  <c:v>5000000</c:v>
                </c:pt>
                <c:pt idx="304">
                  <c:v>15000000</c:v>
                </c:pt>
                <c:pt idx="305">
                  <c:v>40000000</c:v>
                </c:pt>
                <c:pt idx="306">
                  <c:v>165000000</c:v>
                </c:pt>
                <c:pt idx="307">
                  <c:v>750000000</c:v>
                </c:pt>
                <c:pt idx="308">
                  <c:v>37500000</c:v>
                </c:pt>
                <c:pt idx="309">
                  <c:v>80000000</c:v>
                </c:pt>
                <c:pt idx="310">
                  <c:v>8000000000</c:v>
                </c:pt>
                <c:pt idx="311">
                  <c:v>100000000</c:v>
                </c:pt>
                <c:pt idx="312">
                  <c:v>50000000</c:v>
                </c:pt>
                <c:pt idx="313">
                  <c:v>1000</c:v>
                </c:pt>
                <c:pt idx="314">
                  <c:v>625000</c:v>
                </c:pt>
                <c:pt idx="315">
                  <c:v>100000</c:v>
                </c:pt>
                <c:pt idx="316">
                  <c:v>1000</c:v>
                </c:pt>
                <c:pt idx="317">
                  <c:v>135000</c:v>
                </c:pt>
                <c:pt idx="318">
                  <c:v>1000</c:v>
                </c:pt>
                <c:pt idx="319">
                  <c:v>3000</c:v>
                </c:pt>
                <c:pt idx="320">
                  <c:v>5000</c:v>
                </c:pt>
                <c:pt idx="321">
                  <c:v>20000000000</c:v>
                </c:pt>
                <c:pt idx="322">
                  <c:v>7000</c:v>
                </c:pt>
                <c:pt idx="323">
                  <c:v>500</c:v>
                </c:pt>
                <c:pt idx="324">
                  <c:v>1600000000</c:v>
                </c:pt>
                <c:pt idx="325">
                  <c:v>500000000</c:v>
                </c:pt>
                <c:pt idx="326">
                  <c:v>2400000000</c:v>
                </c:pt>
                <c:pt idx="327">
                  <c:v>1000000</c:v>
                </c:pt>
                <c:pt idx="328">
                  <c:v>10000000</c:v>
                </c:pt>
                <c:pt idx="329">
                  <c:v>300000000</c:v>
                </c:pt>
                <c:pt idx="330">
                  <c:v>4000000</c:v>
                </c:pt>
                <c:pt idx="331">
                  <c:v>14000000000</c:v>
                </c:pt>
                <c:pt idx="332">
                  <c:v>5000000</c:v>
                </c:pt>
                <c:pt idx="333">
                  <c:v>2500000000</c:v>
                </c:pt>
                <c:pt idx="334">
                  <c:v>9.9610000000000003</c:v>
                </c:pt>
                <c:pt idx="335">
                  <c:v>6000000</c:v>
                </c:pt>
                <c:pt idx="336">
                  <c:v>7000000</c:v>
                </c:pt>
                <c:pt idx="337">
                  <c:v>6000000</c:v>
                </c:pt>
                <c:pt idx="338">
                  <c:v>10000000</c:v>
                </c:pt>
                <c:pt idx="339">
                  <c:v>18000000</c:v>
                </c:pt>
                <c:pt idx="340">
                  <c:v>150</c:v>
                </c:pt>
                <c:pt idx="341">
                  <c:v>10000000</c:v>
                </c:pt>
                <c:pt idx="342">
                  <c:v>2000</c:v>
                </c:pt>
                <c:pt idx="343">
                  <c:v>12000</c:v>
                </c:pt>
                <c:pt idx="344">
                  <c:v>40000</c:v>
                </c:pt>
                <c:pt idx="345">
                  <c:v>100000</c:v>
                </c:pt>
                <c:pt idx="346">
                  <c:v>625000</c:v>
                </c:pt>
                <c:pt idx="347">
                  <c:v>2000000</c:v>
                </c:pt>
                <c:pt idx="348">
                  <c:v>168460</c:v>
                </c:pt>
                <c:pt idx="349">
                  <c:v>22.05</c:v>
                </c:pt>
                <c:pt idx="350">
                  <c:v>8000000000</c:v>
                </c:pt>
                <c:pt idx="351">
                  <c:v>5000000000</c:v>
                </c:pt>
                <c:pt idx="352">
                  <c:v>1650000000</c:v>
                </c:pt>
                <c:pt idx="353">
                  <c:v>50000000</c:v>
                </c:pt>
                <c:pt idx="354">
                  <c:v>19100000</c:v>
                </c:pt>
                <c:pt idx="355">
                  <c:v>800000000</c:v>
                </c:pt>
                <c:pt idx="356">
                  <c:v>40000000</c:v>
                </c:pt>
                <c:pt idx="357">
                  <c:v>10000</c:v>
                </c:pt>
                <c:pt idx="358">
                  <c:v>33</c:v>
                </c:pt>
                <c:pt idx="359">
                  <c:v>19390000000</c:v>
                </c:pt>
                <c:pt idx="360">
                  <c:v>24000</c:v>
                </c:pt>
                <c:pt idx="361">
                  <c:v>24000</c:v>
                </c:pt>
                <c:pt idx="362">
                  <c:v>10000000</c:v>
                </c:pt>
                <c:pt idx="363">
                  <c:v>3000000</c:v>
                </c:pt>
                <c:pt idx="364">
                  <c:v>300000000</c:v>
                </c:pt>
                <c:pt idx="365">
                  <c:v>450000000</c:v>
                </c:pt>
                <c:pt idx="366">
                  <c:v>0.05</c:v>
                </c:pt>
                <c:pt idx="367">
                  <c:v>3000</c:v>
                </c:pt>
                <c:pt idx="368">
                  <c:v>100000</c:v>
                </c:pt>
                <c:pt idx="369">
                  <c:v>18000000</c:v>
                </c:pt>
                <c:pt idx="370">
                  <c:v>12000000</c:v>
                </c:pt>
                <c:pt idx="371">
                  <c:v>2000000</c:v>
                </c:pt>
                <c:pt idx="372">
                  <c:v>55600000</c:v>
                </c:pt>
                <c:pt idx="373">
                  <c:v>500</c:v>
                </c:pt>
                <c:pt idx="374">
                  <c:v>500</c:v>
                </c:pt>
                <c:pt idx="375">
                  <c:v>1000</c:v>
                </c:pt>
                <c:pt idx="376">
                  <c:v>5000</c:v>
                </c:pt>
                <c:pt idx="377">
                  <c:v>10000000000</c:v>
                </c:pt>
                <c:pt idx="378">
                  <c:v>2500000000</c:v>
                </c:pt>
                <c:pt idx="379">
                  <c:v>64000000</c:v>
                </c:pt>
                <c:pt idx="380">
                  <c:v>99500000</c:v>
                </c:pt>
                <c:pt idx="381">
                  <c:v>129070000</c:v>
                </c:pt>
                <c:pt idx="382">
                  <c:v>100000</c:v>
                </c:pt>
                <c:pt idx="383">
                  <c:v>1351.3513513513515</c:v>
                </c:pt>
                <c:pt idx="384">
                  <c:v>9900</c:v>
                </c:pt>
                <c:pt idx="385">
                  <c:v>322</c:v>
                </c:pt>
                <c:pt idx="386">
                  <c:v>278.5</c:v>
                </c:pt>
                <c:pt idx="387">
                  <c:v>3000</c:v>
                </c:pt>
                <c:pt idx="388">
                  <c:v>115000000</c:v>
                </c:pt>
                <c:pt idx="389">
                  <c:v>38800000</c:v>
                </c:pt>
                <c:pt idx="390">
                  <c:v>50000</c:v>
                </c:pt>
                <c:pt idx="391">
                  <c:v>10000000</c:v>
                </c:pt>
                <c:pt idx="392">
                  <c:v>8000</c:v>
                </c:pt>
                <c:pt idx="393">
                  <c:v>896480000</c:v>
                </c:pt>
                <c:pt idx="394">
                  <c:v>1300000000</c:v>
                </c:pt>
                <c:pt idx="395">
                  <c:v>991500000</c:v>
                </c:pt>
                <c:pt idx="396">
                  <c:v>4040000</c:v>
                </c:pt>
                <c:pt idx="397">
                  <c:v>3500000</c:v>
                </c:pt>
                <c:pt idx="398">
                  <c:v>20000</c:v>
                </c:pt>
                <c:pt idx="399">
                  <c:v>13000000</c:v>
                </c:pt>
                <c:pt idx="400">
                  <c:v>1381200000</c:v>
                </c:pt>
                <c:pt idx="401">
                  <c:v>1250000000</c:v>
                </c:pt>
                <c:pt idx="402">
                  <c:v>7240000000</c:v>
                </c:pt>
                <c:pt idx="403">
                  <c:v>500000000</c:v>
                </c:pt>
                <c:pt idx="404">
                  <c:v>3955000000</c:v>
                </c:pt>
                <c:pt idx="405">
                  <c:v>1250000000</c:v>
                </c:pt>
                <c:pt idx="406">
                  <c:v>4873050000</c:v>
                </c:pt>
                <c:pt idx="407">
                  <c:v>19700000000</c:v>
                </c:pt>
                <c:pt idx="408">
                  <c:v>1000</c:v>
                </c:pt>
                <c:pt idx="409">
                  <c:v>2500</c:v>
                </c:pt>
                <c:pt idx="410">
                  <c:v>100000</c:v>
                </c:pt>
                <c:pt idx="411">
                  <c:v>94300000</c:v>
                </c:pt>
                <c:pt idx="412">
                  <c:v>199800000</c:v>
                </c:pt>
                <c:pt idx="413">
                  <c:v>20000000</c:v>
                </c:pt>
                <c:pt idx="414">
                  <c:v>23200000</c:v>
                </c:pt>
                <c:pt idx="415">
                  <c:v>20000</c:v>
                </c:pt>
                <c:pt idx="416">
                  <c:v>625000</c:v>
                </c:pt>
                <c:pt idx="417">
                  <c:v>9012</c:v>
                </c:pt>
                <c:pt idx="418">
                  <c:v>1000000</c:v>
                </c:pt>
                <c:pt idx="419">
                  <c:v>981000</c:v>
                </c:pt>
                <c:pt idx="420">
                  <c:v>20900000000</c:v>
                </c:pt>
                <c:pt idx="421">
                  <c:v>20000000000</c:v>
                </c:pt>
                <c:pt idx="422">
                  <c:v>5710000000</c:v>
                </c:pt>
                <c:pt idx="423">
                  <c:v>229000000</c:v>
                </c:pt>
                <c:pt idx="424">
                  <c:v>20000000000</c:v>
                </c:pt>
                <c:pt idx="425">
                  <c:v>2400000000</c:v>
                </c:pt>
                <c:pt idx="426">
                  <c:v>20800000000</c:v>
                </c:pt>
              </c:numCache>
            </c:numRef>
          </c:yVal>
          <c:smooth val="0"/>
          <c:extLst>
            <c:ext xmlns:c16="http://schemas.microsoft.com/office/drawing/2014/chart" uri="{C3380CC4-5D6E-409C-BE32-E72D297353CC}">
              <c16:uniqueId val="{00000002-EE4C-4284-89A2-DD5452AF3207}"/>
            </c:ext>
          </c:extLst>
        </c:ser>
        <c:ser>
          <c:idx val="1"/>
          <c:order val="3"/>
          <c:tx>
            <c:v>VLSI 1997-2024</c:v>
          </c:tx>
          <c:spPr>
            <a:ln w="28575">
              <a:noFill/>
            </a:ln>
          </c:spPr>
          <c:marker>
            <c:symbol val="x"/>
            <c:size val="7"/>
            <c:spPr>
              <a:noFill/>
              <a:ln>
                <a:solidFill>
                  <a:srgbClr val="000000"/>
                </a:solidFill>
                <a:prstDash val="solid"/>
              </a:ln>
            </c:spPr>
          </c:marker>
          <c:xVal>
            <c:numRef>
              <c:f>VLSI!$X$2:$X$280</c:f>
              <c:numCache>
                <c:formatCode>0.0</c:formatCode>
                <c:ptCount val="279"/>
                <c:pt idx="0">
                  <c:v>91.5</c:v>
                </c:pt>
                <c:pt idx="1">
                  <c:v>24.034000000000002</c:v>
                </c:pt>
                <c:pt idx="2">
                  <c:v>58.5</c:v>
                </c:pt>
                <c:pt idx="3">
                  <c:v>43.3</c:v>
                </c:pt>
                <c:pt idx="4">
                  <c:v>53</c:v>
                </c:pt>
                <c:pt idx="5">
                  <c:v>45</c:v>
                </c:pt>
                <c:pt idx="6">
                  <c:v>33.5</c:v>
                </c:pt>
                <c:pt idx="7">
                  <c:v>42.3</c:v>
                </c:pt>
                <c:pt idx="8">
                  <c:v>78</c:v>
                </c:pt>
                <c:pt idx="9">
                  <c:v>68</c:v>
                </c:pt>
                <c:pt idx="10">
                  <c:v>40.200000000000003</c:v>
                </c:pt>
                <c:pt idx="11">
                  <c:v>45</c:v>
                </c:pt>
                <c:pt idx="12">
                  <c:v>67</c:v>
                </c:pt>
                <c:pt idx="13">
                  <c:v>31</c:v>
                </c:pt>
                <c:pt idx="14">
                  <c:v>54.916599999999995</c:v>
                </c:pt>
                <c:pt idx="15">
                  <c:v>55</c:v>
                </c:pt>
                <c:pt idx="16">
                  <c:v>85.7</c:v>
                </c:pt>
                <c:pt idx="17">
                  <c:v>78.400000000000006</c:v>
                </c:pt>
                <c:pt idx="18">
                  <c:v>77.400000000000006</c:v>
                </c:pt>
                <c:pt idx="19">
                  <c:v>76</c:v>
                </c:pt>
                <c:pt idx="20">
                  <c:v>55</c:v>
                </c:pt>
                <c:pt idx="21">
                  <c:v>61</c:v>
                </c:pt>
                <c:pt idx="22">
                  <c:v>72</c:v>
                </c:pt>
                <c:pt idx="23">
                  <c:v>55</c:v>
                </c:pt>
                <c:pt idx="24">
                  <c:v>52</c:v>
                </c:pt>
                <c:pt idx="25">
                  <c:v>30</c:v>
                </c:pt>
                <c:pt idx="26">
                  <c:v>40</c:v>
                </c:pt>
                <c:pt idx="27">
                  <c:v>60.394799999999996</c:v>
                </c:pt>
                <c:pt idx="28">
                  <c:v>57.2</c:v>
                </c:pt>
                <c:pt idx="29">
                  <c:v>55</c:v>
                </c:pt>
                <c:pt idx="30">
                  <c:v>69</c:v>
                </c:pt>
                <c:pt idx="31">
                  <c:v>88</c:v>
                </c:pt>
                <c:pt idx="32">
                  <c:v>66.099999999999994</c:v>
                </c:pt>
                <c:pt idx="33">
                  <c:v>22.5</c:v>
                </c:pt>
                <c:pt idx="34">
                  <c:v>58.8</c:v>
                </c:pt>
                <c:pt idx="35">
                  <c:v>56.5</c:v>
                </c:pt>
                <c:pt idx="36">
                  <c:v>70.400000000000006</c:v>
                </c:pt>
                <c:pt idx="37">
                  <c:v>60</c:v>
                </c:pt>
                <c:pt idx="38">
                  <c:v>56</c:v>
                </c:pt>
                <c:pt idx="39">
                  <c:v>33.700000000000003</c:v>
                </c:pt>
                <c:pt idx="40">
                  <c:v>41.5</c:v>
                </c:pt>
                <c:pt idx="41">
                  <c:v>44.5</c:v>
                </c:pt>
                <c:pt idx="42">
                  <c:v>33.6</c:v>
                </c:pt>
                <c:pt idx="43">
                  <c:v>26</c:v>
                </c:pt>
                <c:pt idx="44">
                  <c:v>89</c:v>
                </c:pt>
                <c:pt idx="45">
                  <c:v>84</c:v>
                </c:pt>
                <c:pt idx="46">
                  <c:v>63</c:v>
                </c:pt>
                <c:pt idx="47">
                  <c:v>76</c:v>
                </c:pt>
                <c:pt idx="48">
                  <c:v>48.113999999999997</c:v>
                </c:pt>
                <c:pt idx="49">
                  <c:v>31.18</c:v>
                </c:pt>
                <c:pt idx="50">
                  <c:v>40.889999999999993</c:v>
                </c:pt>
                <c:pt idx="51">
                  <c:v>36</c:v>
                </c:pt>
                <c:pt idx="52">
                  <c:v>70.7</c:v>
                </c:pt>
                <c:pt idx="53">
                  <c:v>62</c:v>
                </c:pt>
                <c:pt idx="54">
                  <c:v>48.1</c:v>
                </c:pt>
                <c:pt idx="55">
                  <c:v>67</c:v>
                </c:pt>
                <c:pt idx="56">
                  <c:v>63</c:v>
                </c:pt>
                <c:pt idx="57">
                  <c:v>84</c:v>
                </c:pt>
                <c:pt idx="58">
                  <c:v>86.3</c:v>
                </c:pt>
                <c:pt idx="59">
                  <c:v>60</c:v>
                </c:pt>
                <c:pt idx="60">
                  <c:v>44.2</c:v>
                </c:pt>
                <c:pt idx="61">
                  <c:v>70</c:v>
                </c:pt>
                <c:pt idx="62">
                  <c:v>33.665999999999997</c:v>
                </c:pt>
                <c:pt idx="63">
                  <c:v>30</c:v>
                </c:pt>
                <c:pt idx="64">
                  <c:v>32</c:v>
                </c:pt>
                <c:pt idx="65">
                  <c:v>32.4</c:v>
                </c:pt>
                <c:pt idx="66">
                  <c:v>95</c:v>
                </c:pt>
                <c:pt idx="67">
                  <c:v>84</c:v>
                </c:pt>
                <c:pt idx="68">
                  <c:v>61</c:v>
                </c:pt>
                <c:pt idx="69">
                  <c:v>68</c:v>
                </c:pt>
                <c:pt idx="70">
                  <c:v>47.7</c:v>
                </c:pt>
                <c:pt idx="71">
                  <c:v>54.3</c:v>
                </c:pt>
                <c:pt idx="72">
                  <c:v>64</c:v>
                </c:pt>
                <c:pt idx="73">
                  <c:v>65.900000000000006</c:v>
                </c:pt>
                <c:pt idx="74">
                  <c:v>62.5</c:v>
                </c:pt>
                <c:pt idx="75">
                  <c:v>65</c:v>
                </c:pt>
                <c:pt idx="76">
                  <c:v>56.3</c:v>
                </c:pt>
                <c:pt idx="77">
                  <c:v>75.400000000000006</c:v>
                </c:pt>
                <c:pt idx="78">
                  <c:v>52</c:v>
                </c:pt>
                <c:pt idx="79">
                  <c:v>32</c:v>
                </c:pt>
                <c:pt idx="80">
                  <c:v>63</c:v>
                </c:pt>
                <c:pt idx="81">
                  <c:v>53.8</c:v>
                </c:pt>
                <c:pt idx="82">
                  <c:v>33.6</c:v>
                </c:pt>
                <c:pt idx="83">
                  <c:v>24.5</c:v>
                </c:pt>
                <c:pt idx="84">
                  <c:v>39</c:v>
                </c:pt>
                <c:pt idx="85">
                  <c:v>53.8</c:v>
                </c:pt>
                <c:pt idx="86">
                  <c:v>82</c:v>
                </c:pt>
                <c:pt idx="87">
                  <c:v>76</c:v>
                </c:pt>
                <c:pt idx="88">
                  <c:v>75</c:v>
                </c:pt>
                <c:pt idx="89">
                  <c:v>72</c:v>
                </c:pt>
                <c:pt idx="90">
                  <c:v>58</c:v>
                </c:pt>
                <c:pt idx="91">
                  <c:v>64</c:v>
                </c:pt>
                <c:pt idx="92">
                  <c:v>25.1</c:v>
                </c:pt>
                <c:pt idx="93">
                  <c:v>28</c:v>
                </c:pt>
                <c:pt idx="94">
                  <c:v>63.163999999999987</c:v>
                </c:pt>
                <c:pt idx="95">
                  <c:v>64.367999999999995</c:v>
                </c:pt>
                <c:pt idx="96">
                  <c:v>60.29</c:v>
                </c:pt>
                <c:pt idx="97">
                  <c:v>54.073799999999991</c:v>
                </c:pt>
                <c:pt idx="98">
                  <c:v>73.7</c:v>
                </c:pt>
                <c:pt idx="99">
                  <c:v>63</c:v>
                </c:pt>
                <c:pt idx="100">
                  <c:v>73.3</c:v>
                </c:pt>
                <c:pt idx="101">
                  <c:v>41</c:v>
                </c:pt>
                <c:pt idx="102">
                  <c:v>78</c:v>
                </c:pt>
                <c:pt idx="103">
                  <c:v>51</c:v>
                </c:pt>
                <c:pt idx="104">
                  <c:v>56</c:v>
                </c:pt>
                <c:pt idx="105">
                  <c:v>33.064</c:v>
                </c:pt>
                <c:pt idx="106">
                  <c:v>50</c:v>
                </c:pt>
                <c:pt idx="107">
                  <c:v>40</c:v>
                </c:pt>
                <c:pt idx="108">
                  <c:v>60.3</c:v>
                </c:pt>
                <c:pt idx="109">
                  <c:v>45.103999999999999</c:v>
                </c:pt>
                <c:pt idx="110">
                  <c:v>46.91</c:v>
                </c:pt>
                <c:pt idx="111">
                  <c:v>44.501999999999995</c:v>
                </c:pt>
                <c:pt idx="112">
                  <c:v>30</c:v>
                </c:pt>
                <c:pt idx="113">
                  <c:v>38.9</c:v>
                </c:pt>
                <c:pt idx="114">
                  <c:v>59.1</c:v>
                </c:pt>
                <c:pt idx="115">
                  <c:v>33.1</c:v>
                </c:pt>
                <c:pt idx="116">
                  <c:v>50</c:v>
                </c:pt>
                <c:pt idx="117">
                  <c:v>52.4</c:v>
                </c:pt>
                <c:pt idx="118">
                  <c:v>61.5</c:v>
                </c:pt>
                <c:pt idx="119">
                  <c:v>48.2</c:v>
                </c:pt>
                <c:pt idx="120">
                  <c:v>42.75</c:v>
                </c:pt>
                <c:pt idx="121">
                  <c:v>43.297999999999995</c:v>
                </c:pt>
                <c:pt idx="122">
                  <c:v>52.94</c:v>
                </c:pt>
                <c:pt idx="123">
                  <c:v>56.3</c:v>
                </c:pt>
                <c:pt idx="124">
                  <c:v>70</c:v>
                </c:pt>
                <c:pt idx="125">
                  <c:v>70.7</c:v>
                </c:pt>
                <c:pt idx="126">
                  <c:v>67</c:v>
                </c:pt>
                <c:pt idx="127">
                  <c:v>70</c:v>
                </c:pt>
                <c:pt idx="128">
                  <c:v>75.099999999999994</c:v>
                </c:pt>
                <c:pt idx="129">
                  <c:v>69</c:v>
                </c:pt>
                <c:pt idx="130">
                  <c:v>66</c:v>
                </c:pt>
                <c:pt idx="131">
                  <c:v>58.5</c:v>
                </c:pt>
                <c:pt idx="132">
                  <c:v>73.900000000000006</c:v>
                </c:pt>
                <c:pt idx="133">
                  <c:v>50</c:v>
                </c:pt>
                <c:pt idx="134">
                  <c:v>75.900000000000006</c:v>
                </c:pt>
                <c:pt idx="135">
                  <c:v>65.2</c:v>
                </c:pt>
                <c:pt idx="136">
                  <c:v>57.6</c:v>
                </c:pt>
                <c:pt idx="137">
                  <c:v>52.2</c:v>
                </c:pt>
                <c:pt idx="138">
                  <c:v>36.979999999999997</c:v>
                </c:pt>
                <c:pt idx="139">
                  <c:v>30.9</c:v>
                </c:pt>
                <c:pt idx="140">
                  <c:v>44.2</c:v>
                </c:pt>
                <c:pt idx="141">
                  <c:v>55</c:v>
                </c:pt>
                <c:pt idx="142">
                  <c:v>27</c:v>
                </c:pt>
                <c:pt idx="143">
                  <c:v>98.6</c:v>
                </c:pt>
                <c:pt idx="144">
                  <c:v>53.7</c:v>
                </c:pt>
                <c:pt idx="145">
                  <c:v>72</c:v>
                </c:pt>
                <c:pt idx="146">
                  <c:v>37.4</c:v>
                </c:pt>
                <c:pt idx="147">
                  <c:v>64</c:v>
                </c:pt>
                <c:pt idx="148">
                  <c:v>67.5</c:v>
                </c:pt>
                <c:pt idx="149">
                  <c:v>90</c:v>
                </c:pt>
                <c:pt idx="150">
                  <c:v>67.2</c:v>
                </c:pt>
                <c:pt idx="151">
                  <c:v>65</c:v>
                </c:pt>
                <c:pt idx="152">
                  <c:v>60.1</c:v>
                </c:pt>
                <c:pt idx="153">
                  <c:v>67.099999999999994</c:v>
                </c:pt>
                <c:pt idx="154">
                  <c:v>65.3</c:v>
                </c:pt>
                <c:pt idx="155">
                  <c:v>46.9</c:v>
                </c:pt>
                <c:pt idx="156">
                  <c:v>68.099999999999994</c:v>
                </c:pt>
                <c:pt idx="157">
                  <c:v>58</c:v>
                </c:pt>
                <c:pt idx="158">
                  <c:v>68</c:v>
                </c:pt>
                <c:pt idx="159">
                  <c:v>29.7</c:v>
                </c:pt>
                <c:pt idx="160">
                  <c:v>40</c:v>
                </c:pt>
                <c:pt idx="161">
                  <c:v>25.2</c:v>
                </c:pt>
                <c:pt idx="162">
                  <c:v>64.900000000000006</c:v>
                </c:pt>
                <c:pt idx="163">
                  <c:v>71.5</c:v>
                </c:pt>
                <c:pt idx="164">
                  <c:v>75.3</c:v>
                </c:pt>
                <c:pt idx="165">
                  <c:v>67.7</c:v>
                </c:pt>
                <c:pt idx="166">
                  <c:v>66.900000000000006</c:v>
                </c:pt>
                <c:pt idx="167">
                  <c:v>69.099999999999994</c:v>
                </c:pt>
                <c:pt idx="168">
                  <c:v>80.5</c:v>
                </c:pt>
                <c:pt idx="169">
                  <c:v>85</c:v>
                </c:pt>
                <c:pt idx="170">
                  <c:v>97.99</c:v>
                </c:pt>
                <c:pt idx="171">
                  <c:v>96.8</c:v>
                </c:pt>
                <c:pt idx="172">
                  <c:v>74.3</c:v>
                </c:pt>
                <c:pt idx="173">
                  <c:v>67.599999999999994</c:v>
                </c:pt>
                <c:pt idx="174">
                  <c:v>31.5</c:v>
                </c:pt>
                <c:pt idx="175">
                  <c:v>75</c:v>
                </c:pt>
                <c:pt idx="176">
                  <c:v>69.099999999999994</c:v>
                </c:pt>
                <c:pt idx="177">
                  <c:v>65</c:v>
                </c:pt>
                <c:pt idx="178">
                  <c:v>60.8</c:v>
                </c:pt>
                <c:pt idx="179">
                  <c:v>74.12</c:v>
                </c:pt>
                <c:pt idx="180">
                  <c:v>58.709199999999996</c:v>
                </c:pt>
                <c:pt idx="181">
                  <c:v>29.3918</c:v>
                </c:pt>
                <c:pt idx="182">
                  <c:v>29</c:v>
                </c:pt>
                <c:pt idx="183">
                  <c:v>50.3</c:v>
                </c:pt>
                <c:pt idx="184">
                  <c:v>58</c:v>
                </c:pt>
                <c:pt idx="185">
                  <c:v>74.400000000000006</c:v>
                </c:pt>
                <c:pt idx="186">
                  <c:v>68.599999999999994</c:v>
                </c:pt>
                <c:pt idx="187">
                  <c:v>64</c:v>
                </c:pt>
                <c:pt idx="188">
                  <c:v>88.5</c:v>
                </c:pt>
                <c:pt idx="189">
                  <c:v>64</c:v>
                </c:pt>
                <c:pt idx="190">
                  <c:v>56.6</c:v>
                </c:pt>
                <c:pt idx="191">
                  <c:v>56.3</c:v>
                </c:pt>
                <c:pt idx="192">
                  <c:v>73.2</c:v>
                </c:pt>
                <c:pt idx="193">
                  <c:v>69.099999999999994</c:v>
                </c:pt>
                <c:pt idx="194">
                  <c:v>80</c:v>
                </c:pt>
                <c:pt idx="195">
                  <c:v>69.099999999999994</c:v>
                </c:pt>
                <c:pt idx="196">
                  <c:v>84.8</c:v>
                </c:pt>
                <c:pt idx="197">
                  <c:v>60.45</c:v>
                </c:pt>
                <c:pt idx="198">
                  <c:v>50.1</c:v>
                </c:pt>
                <c:pt idx="199">
                  <c:v>100</c:v>
                </c:pt>
                <c:pt idx="200">
                  <c:v>78</c:v>
                </c:pt>
                <c:pt idx="201">
                  <c:v>40.700000000000003</c:v>
                </c:pt>
                <c:pt idx="202">
                  <c:v>66.599999999999994</c:v>
                </c:pt>
                <c:pt idx="203">
                  <c:v>54.56</c:v>
                </c:pt>
                <c:pt idx="204">
                  <c:v>45</c:v>
                </c:pt>
                <c:pt idx="205">
                  <c:v>45</c:v>
                </c:pt>
                <c:pt idx="206">
                  <c:v>57</c:v>
                </c:pt>
                <c:pt idx="207">
                  <c:v>94.1</c:v>
                </c:pt>
                <c:pt idx="208">
                  <c:v>70.400000000000006</c:v>
                </c:pt>
                <c:pt idx="209">
                  <c:v>77.099999999999994</c:v>
                </c:pt>
                <c:pt idx="210">
                  <c:v>96.6</c:v>
                </c:pt>
                <c:pt idx="211">
                  <c:v>100.8</c:v>
                </c:pt>
                <c:pt idx="212">
                  <c:v>91.3</c:v>
                </c:pt>
                <c:pt idx="213">
                  <c:v>37.799999999999997</c:v>
                </c:pt>
                <c:pt idx="214">
                  <c:v>75.8</c:v>
                </c:pt>
                <c:pt idx="215">
                  <c:v>103</c:v>
                </c:pt>
                <c:pt idx="216">
                  <c:v>62.1</c:v>
                </c:pt>
                <c:pt idx="217">
                  <c:v>56.361399999999996</c:v>
                </c:pt>
                <c:pt idx="218">
                  <c:v>48.5</c:v>
                </c:pt>
                <c:pt idx="219">
                  <c:v>49.8</c:v>
                </c:pt>
                <c:pt idx="220">
                  <c:v>106.4</c:v>
                </c:pt>
                <c:pt idx="221">
                  <c:v>103.5</c:v>
                </c:pt>
                <c:pt idx="222">
                  <c:v>71.400000000000006</c:v>
                </c:pt>
                <c:pt idx="223">
                  <c:v>77.5</c:v>
                </c:pt>
                <c:pt idx="224">
                  <c:v>29.4</c:v>
                </c:pt>
                <c:pt idx="225">
                  <c:v>59.5</c:v>
                </c:pt>
                <c:pt idx="226">
                  <c:v>56.3</c:v>
                </c:pt>
                <c:pt idx="227">
                  <c:v>45.465199999999996</c:v>
                </c:pt>
                <c:pt idx="228">
                  <c:v>106.5</c:v>
                </c:pt>
                <c:pt idx="229">
                  <c:v>86.1</c:v>
                </c:pt>
                <c:pt idx="230">
                  <c:v>74.400000000000006</c:v>
                </c:pt>
                <c:pt idx="231">
                  <c:v>63.6</c:v>
                </c:pt>
                <c:pt idx="232">
                  <c:v>59.6</c:v>
                </c:pt>
                <c:pt idx="233">
                  <c:v>32.5</c:v>
                </c:pt>
                <c:pt idx="234">
                  <c:v>83</c:v>
                </c:pt>
                <c:pt idx="235">
                  <c:v>71.5</c:v>
                </c:pt>
                <c:pt idx="236">
                  <c:v>37.04</c:v>
                </c:pt>
                <c:pt idx="237">
                  <c:v>62.3</c:v>
                </c:pt>
                <c:pt idx="238">
                  <c:v>38.799999999999997</c:v>
                </c:pt>
                <c:pt idx="239">
                  <c:v>42.4</c:v>
                </c:pt>
                <c:pt idx="240">
                  <c:v>59.28</c:v>
                </c:pt>
                <c:pt idx="241">
                  <c:v>57.745999999999995</c:v>
                </c:pt>
                <c:pt idx="242">
                  <c:v>94.5</c:v>
                </c:pt>
                <c:pt idx="243">
                  <c:v>81.599999999999994</c:v>
                </c:pt>
                <c:pt idx="244">
                  <c:v>98.3</c:v>
                </c:pt>
                <c:pt idx="245">
                  <c:v>77.3</c:v>
                </c:pt>
                <c:pt idx="246">
                  <c:v>65</c:v>
                </c:pt>
                <c:pt idx="247">
                  <c:v>62</c:v>
                </c:pt>
                <c:pt idx="248">
                  <c:v>44.8</c:v>
                </c:pt>
                <c:pt idx="249">
                  <c:v>67.53</c:v>
                </c:pt>
                <c:pt idx="250">
                  <c:v>60.153999999999989</c:v>
                </c:pt>
                <c:pt idx="251">
                  <c:v>32.799999999999997</c:v>
                </c:pt>
                <c:pt idx="252">
                  <c:v>38</c:v>
                </c:pt>
                <c:pt idx="253">
                  <c:v>48</c:v>
                </c:pt>
                <c:pt idx="254">
                  <c:v>48</c:v>
                </c:pt>
                <c:pt idx="255">
                  <c:v>60</c:v>
                </c:pt>
                <c:pt idx="256">
                  <c:v>84.2</c:v>
                </c:pt>
                <c:pt idx="257">
                  <c:v>72.8</c:v>
                </c:pt>
                <c:pt idx="258">
                  <c:v>62</c:v>
                </c:pt>
                <c:pt idx="259">
                  <c:v>57.3</c:v>
                </c:pt>
                <c:pt idx="260">
                  <c:v>76.900000000000006</c:v>
                </c:pt>
                <c:pt idx="261">
                  <c:v>67.900000000000006</c:v>
                </c:pt>
                <c:pt idx="262">
                  <c:v>74</c:v>
                </c:pt>
                <c:pt idx="263">
                  <c:v>61.4</c:v>
                </c:pt>
                <c:pt idx="264">
                  <c:v>79.900000000000006</c:v>
                </c:pt>
                <c:pt idx="265">
                  <c:v>58</c:v>
                </c:pt>
                <c:pt idx="266">
                  <c:v>83.47</c:v>
                </c:pt>
                <c:pt idx="267">
                  <c:v>100.7</c:v>
                </c:pt>
                <c:pt idx="268">
                  <c:v>99.2</c:v>
                </c:pt>
                <c:pt idx="269">
                  <c:v>89</c:v>
                </c:pt>
                <c:pt idx="270">
                  <c:v>62</c:v>
                </c:pt>
                <c:pt idx="271">
                  <c:v>93.8</c:v>
                </c:pt>
                <c:pt idx="272">
                  <c:v>81.8</c:v>
                </c:pt>
                <c:pt idx="273">
                  <c:v>65.900000000000006</c:v>
                </c:pt>
                <c:pt idx="274">
                  <c:v>67.45</c:v>
                </c:pt>
                <c:pt idx="275">
                  <c:v>44.48</c:v>
                </c:pt>
                <c:pt idx="276">
                  <c:v>34.299999999999997</c:v>
                </c:pt>
                <c:pt idx="277">
                  <c:v>50.2</c:v>
                </c:pt>
                <c:pt idx="278">
                  <c:v>51</c:v>
                </c:pt>
              </c:numCache>
            </c:numRef>
          </c:xVal>
          <c:yVal>
            <c:numRef>
              <c:f>VLSI!$R$2:$R$280</c:f>
              <c:numCache>
                <c:formatCode>0.00E+00</c:formatCode>
                <c:ptCount val="279"/>
                <c:pt idx="0">
                  <c:v>20000</c:v>
                </c:pt>
                <c:pt idx="1">
                  <c:v>4000000000</c:v>
                </c:pt>
                <c:pt idx="2">
                  <c:v>7150000</c:v>
                </c:pt>
                <c:pt idx="3">
                  <c:v>50000000</c:v>
                </c:pt>
                <c:pt idx="4">
                  <c:v>4000000</c:v>
                </c:pt>
                <c:pt idx="5">
                  <c:v>250000000</c:v>
                </c:pt>
                <c:pt idx="6">
                  <c:v>25000000</c:v>
                </c:pt>
                <c:pt idx="7">
                  <c:v>50000000</c:v>
                </c:pt>
                <c:pt idx="8">
                  <c:v>1000000</c:v>
                </c:pt>
                <c:pt idx="9">
                  <c:v>52500000</c:v>
                </c:pt>
                <c:pt idx="10">
                  <c:v>62500000</c:v>
                </c:pt>
                <c:pt idx="11">
                  <c:v>15000000</c:v>
                </c:pt>
                <c:pt idx="12">
                  <c:v>25500000</c:v>
                </c:pt>
                <c:pt idx="13">
                  <c:v>200000000</c:v>
                </c:pt>
                <c:pt idx="14">
                  <c:v>50000000</c:v>
                </c:pt>
                <c:pt idx="15">
                  <c:v>500000</c:v>
                </c:pt>
                <c:pt idx="16">
                  <c:v>500000</c:v>
                </c:pt>
                <c:pt idx="17">
                  <c:v>270000</c:v>
                </c:pt>
                <c:pt idx="18">
                  <c:v>250000</c:v>
                </c:pt>
                <c:pt idx="19">
                  <c:v>200000</c:v>
                </c:pt>
                <c:pt idx="20">
                  <c:v>5000000</c:v>
                </c:pt>
                <c:pt idx="21">
                  <c:v>12000000</c:v>
                </c:pt>
                <c:pt idx="22">
                  <c:v>200000</c:v>
                </c:pt>
                <c:pt idx="23">
                  <c:v>1000000</c:v>
                </c:pt>
                <c:pt idx="24">
                  <c:v>1250000</c:v>
                </c:pt>
                <c:pt idx="25">
                  <c:v>2000000000</c:v>
                </c:pt>
                <c:pt idx="26">
                  <c:v>300000000</c:v>
                </c:pt>
                <c:pt idx="27">
                  <c:v>90000000</c:v>
                </c:pt>
                <c:pt idx="28">
                  <c:v>25000000</c:v>
                </c:pt>
                <c:pt idx="29">
                  <c:v>2000000</c:v>
                </c:pt>
                <c:pt idx="30">
                  <c:v>8000</c:v>
                </c:pt>
                <c:pt idx="31">
                  <c:v>500000</c:v>
                </c:pt>
                <c:pt idx="33">
                  <c:v>3000000000</c:v>
                </c:pt>
                <c:pt idx="34">
                  <c:v>5000000</c:v>
                </c:pt>
                <c:pt idx="35">
                  <c:v>40000000</c:v>
                </c:pt>
                <c:pt idx="36">
                  <c:v>10000000</c:v>
                </c:pt>
                <c:pt idx="37">
                  <c:v>20835</c:v>
                </c:pt>
                <c:pt idx="38">
                  <c:v>5000000</c:v>
                </c:pt>
                <c:pt idx="39">
                  <c:v>400000000</c:v>
                </c:pt>
                <c:pt idx="40">
                  <c:v>50000000</c:v>
                </c:pt>
                <c:pt idx="41">
                  <c:v>20000000</c:v>
                </c:pt>
                <c:pt idx="42">
                  <c:v>400000000</c:v>
                </c:pt>
                <c:pt idx="43">
                  <c:v>250000000</c:v>
                </c:pt>
                <c:pt idx="44">
                  <c:v>24000</c:v>
                </c:pt>
                <c:pt idx="45">
                  <c:v>500000</c:v>
                </c:pt>
                <c:pt idx="46">
                  <c:v>20480000</c:v>
                </c:pt>
                <c:pt idx="47">
                  <c:v>1000000</c:v>
                </c:pt>
                <c:pt idx="48">
                  <c:v>675000000</c:v>
                </c:pt>
                <c:pt idx="49">
                  <c:v>1750000000</c:v>
                </c:pt>
                <c:pt idx="50">
                  <c:v>550000000</c:v>
                </c:pt>
                <c:pt idx="51">
                  <c:v>11000000</c:v>
                </c:pt>
                <c:pt idx="52">
                  <c:v>15000000</c:v>
                </c:pt>
                <c:pt idx="53">
                  <c:v>20000000</c:v>
                </c:pt>
                <c:pt idx="54">
                  <c:v>5000000</c:v>
                </c:pt>
                <c:pt idx="55">
                  <c:v>7500000</c:v>
                </c:pt>
                <c:pt idx="56">
                  <c:v>8000</c:v>
                </c:pt>
                <c:pt idx="57">
                  <c:v>1250000</c:v>
                </c:pt>
                <c:pt idx="58">
                  <c:v>500000</c:v>
                </c:pt>
                <c:pt idx="59">
                  <c:v>20000000</c:v>
                </c:pt>
                <c:pt idx="60">
                  <c:v>400000000</c:v>
                </c:pt>
                <c:pt idx="61">
                  <c:v>50000000</c:v>
                </c:pt>
                <c:pt idx="62">
                  <c:v>400000000</c:v>
                </c:pt>
                <c:pt idx="63">
                  <c:v>875000000</c:v>
                </c:pt>
                <c:pt idx="64">
                  <c:v>2500000000</c:v>
                </c:pt>
                <c:pt idx="65">
                  <c:v>5150000000</c:v>
                </c:pt>
                <c:pt idx="66">
                  <c:v>25000</c:v>
                </c:pt>
                <c:pt idx="67">
                  <c:v>100000</c:v>
                </c:pt>
                <c:pt idx="68">
                  <c:v>1920000</c:v>
                </c:pt>
                <c:pt idx="69">
                  <c:v>11500000</c:v>
                </c:pt>
                <c:pt idx="70">
                  <c:v>25000000</c:v>
                </c:pt>
                <c:pt idx="71">
                  <c:v>13000000</c:v>
                </c:pt>
                <c:pt idx="72">
                  <c:v>25000000</c:v>
                </c:pt>
                <c:pt idx="73">
                  <c:v>125000000</c:v>
                </c:pt>
                <c:pt idx="74">
                  <c:v>10000000</c:v>
                </c:pt>
                <c:pt idx="75">
                  <c:v>10000000</c:v>
                </c:pt>
                <c:pt idx="76">
                  <c:v>15000000</c:v>
                </c:pt>
                <c:pt idx="77">
                  <c:v>5000000</c:v>
                </c:pt>
                <c:pt idx="78">
                  <c:v>50000000</c:v>
                </c:pt>
                <c:pt idx="79">
                  <c:v>16000000</c:v>
                </c:pt>
                <c:pt idx="80">
                  <c:v>5500000</c:v>
                </c:pt>
                <c:pt idx="81">
                  <c:v>50000</c:v>
                </c:pt>
                <c:pt idx="82">
                  <c:v>1350000000</c:v>
                </c:pt>
                <c:pt idx="83">
                  <c:v>3835000000</c:v>
                </c:pt>
                <c:pt idx="84">
                  <c:v>20000000</c:v>
                </c:pt>
                <c:pt idx="85">
                  <c:v>40000000</c:v>
                </c:pt>
                <c:pt idx="86">
                  <c:v>200000</c:v>
                </c:pt>
                <c:pt idx="87">
                  <c:v>500000</c:v>
                </c:pt>
                <c:pt idx="88">
                  <c:v>2000000</c:v>
                </c:pt>
                <c:pt idx="89">
                  <c:v>4000000</c:v>
                </c:pt>
                <c:pt idx="90">
                  <c:v>20000000</c:v>
                </c:pt>
                <c:pt idx="91">
                  <c:v>30000000</c:v>
                </c:pt>
                <c:pt idx="92">
                  <c:v>8000000000</c:v>
                </c:pt>
                <c:pt idx="93">
                  <c:v>3000000000</c:v>
                </c:pt>
                <c:pt idx="94">
                  <c:v>50000000</c:v>
                </c:pt>
                <c:pt idx="95">
                  <c:v>25000000</c:v>
                </c:pt>
                <c:pt idx="96">
                  <c:v>5000000</c:v>
                </c:pt>
                <c:pt idx="97">
                  <c:v>75000000</c:v>
                </c:pt>
                <c:pt idx="98">
                  <c:v>5333333.333333333</c:v>
                </c:pt>
                <c:pt idx="99">
                  <c:v>20000000</c:v>
                </c:pt>
                <c:pt idx="100">
                  <c:v>1950000</c:v>
                </c:pt>
                <c:pt idx="101">
                  <c:v>80000000</c:v>
                </c:pt>
                <c:pt idx="102">
                  <c:v>1920000</c:v>
                </c:pt>
                <c:pt idx="103">
                  <c:v>1500000000</c:v>
                </c:pt>
                <c:pt idx="104">
                  <c:v>150000000</c:v>
                </c:pt>
                <c:pt idx="105">
                  <c:v>650000000</c:v>
                </c:pt>
                <c:pt idx="106">
                  <c:v>100000000</c:v>
                </c:pt>
                <c:pt idx="107">
                  <c:v>500000000</c:v>
                </c:pt>
                <c:pt idx="108">
                  <c:v>15625</c:v>
                </c:pt>
                <c:pt idx="109">
                  <c:v>15625</c:v>
                </c:pt>
                <c:pt idx="110">
                  <c:v>550000</c:v>
                </c:pt>
                <c:pt idx="111">
                  <c:v>20000000</c:v>
                </c:pt>
                <c:pt idx="112">
                  <c:v>105000000</c:v>
                </c:pt>
                <c:pt idx="113">
                  <c:v>500000000</c:v>
                </c:pt>
                <c:pt idx="114">
                  <c:v>8000000</c:v>
                </c:pt>
                <c:pt idx="115">
                  <c:v>1500000000</c:v>
                </c:pt>
                <c:pt idx="116">
                  <c:v>10000</c:v>
                </c:pt>
                <c:pt idx="117">
                  <c:v>500000000</c:v>
                </c:pt>
                <c:pt idx="118">
                  <c:v>15000000</c:v>
                </c:pt>
                <c:pt idx="119">
                  <c:v>1400000000</c:v>
                </c:pt>
                <c:pt idx="120">
                  <c:v>500000000</c:v>
                </c:pt>
                <c:pt idx="121">
                  <c:v>375000000</c:v>
                </c:pt>
                <c:pt idx="122">
                  <c:v>250000000</c:v>
                </c:pt>
                <c:pt idx="123">
                  <c:v>50000</c:v>
                </c:pt>
                <c:pt idx="124">
                  <c:v>10000000</c:v>
                </c:pt>
                <c:pt idx="125">
                  <c:v>5000000</c:v>
                </c:pt>
                <c:pt idx="126">
                  <c:v>15000000</c:v>
                </c:pt>
                <c:pt idx="127">
                  <c:v>37500000</c:v>
                </c:pt>
                <c:pt idx="128">
                  <c:v>30000000</c:v>
                </c:pt>
                <c:pt idx="129">
                  <c:v>25000000</c:v>
                </c:pt>
                <c:pt idx="130">
                  <c:v>15000000</c:v>
                </c:pt>
                <c:pt idx="131">
                  <c:v>2000</c:v>
                </c:pt>
                <c:pt idx="132">
                  <c:v>5000000</c:v>
                </c:pt>
                <c:pt idx="133">
                  <c:v>2700000000</c:v>
                </c:pt>
                <c:pt idx="134">
                  <c:v>10000000</c:v>
                </c:pt>
                <c:pt idx="135">
                  <c:v>20000000</c:v>
                </c:pt>
                <c:pt idx="136">
                  <c:v>100000000</c:v>
                </c:pt>
                <c:pt idx="137">
                  <c:v>400000000</c:v>
                </c:pt>
                <c:pt idx="138">
                  <c:v>3810000000</c:v>
                </c:pt>
                <c:pt idx="139">
                  <c:v>2500000000</c:v>
                </c:pt>
                <c:pt idx="140">
                  <c:v>12288000</c:v>
                </c:pt>
                <c:pt idx="141">
                  <c:v>205000000</c:v>
                </c:pt>
                <c:pt idx="142">
                  <c:v>5000000000</c:v>
                </c:pt>
                <c:pt idx="143">
                  <c:v>1000</c:v>
                </c:pt>
                <c:pt idx="144">
                  <c:v>125000</c:v>
                </c:pt>
                <c:pt idx="145">
                  <c:v>15000000</c:v>
                </c:pt>
                <c:pt idx="146">
                  <c:v>410000000</c:v>
                </c:pt>
                <c:pt idx="147">
                  <c:v>2000000</c:v>
                </c:pt>
                <c:pt idx="148">
                  <c:v>15000000</c:v>
                </c:pt>
                <c:pt idx="149">
                  <c:v>600000</c:v>
                </c:pt>
                <c:pt idx="150">
                  <c:v>2000000</c:v>
                </c:pt>
                <c:pt idx="151">
                  <c:v>100000000</c:v>
                </c:pt>
                <c:pt idx="152">
                  <c:v>100000000</c:v>
                </c:pt>
                <c:pt idx="153">
                  <c:v>50000000</c:v>
                </c:pt>
                <c:pt idx="154">
                  <c:v>80000000</c:v>
                </c:pt>
                <c:pt idx="155">
                  <c:v>50000</c:v>
                </c:pt>
                <c:pt idx="156">
                  <c:v>35000000</c:v>
                </c:pt>
                <c:pt idx="157">
                  <c:v>6250000</c:v>
                </c:pt>
                <c:pt idx="158">
                  <c:v>100000000</c:v>
                </c:pt>
                <c:pt idx="159">
                  <c:v>12500000000</c:v>
                </c:pt>
                <c:pt idx="160">
                  <c:v>40000000</c:v>
                </c:pt>
                <c:pt idx="161">
                  <c:v>23000000000</c:v>
                </c:pt>
                <c:pt idx="162">
                  <c:v>75000000</c:v>
                </c:pt>
                <c:pt idx="163">
                  <c:v>50000000</c:v>
                </c:pt>
                <c:pt idx="164">
                  <c:v>10000000</c:v>
                </c:pt>
                <c:pt idx="165">
                  <c:v>39000000</c:v>
                </c:pt>
                <c:pt idx="166">
                  <c:v>40000000</c:v>
                </c:pt>
                <c:pt idx="167">
                  <c:v>2000000</c:v>
                </c:pt>
                <c:pt idx="168">
                  <c:v>5000000</c:v>
                </c:pt>
                <c:pt idx="169">
                  <c:v>24000</c:v>
                </c:pt>
                <c:pt idx="170">
                  <c:v>2000</c:v>
                </c:pt>
                <c:pt idx="171">
                  <c:v>1000</c:v>
                </c:pt>
                <c:pt idx="172">
                  <c:v>1000000</c:v>
                </c:pt>
                <c:pt idx="173">
                  <c:v>19900000</c:v>
                </c:pt>
                <c:pt idx="174">
                  <c:v>14000000000</c:v>
                </c:pt>
                <c:pt idx="175">
                  <c:v>500</c:v>
                </c:pt>
                <c:pt idx="176">
                  <c:v>100000</c:v>
                </c:pt>
                <c:pt idx="177">
                  <c:v>1000000000</c:v>
                </c:pt>
                <c:pt idx="178">
                  <c:v>400000000</c:v>
                </c:pt>
                <c:pt idx="179">
                  <c:v>10000</c:v>
                </c:pt>
                <c:pt idx="180">
                  <c:v>300000</c:v>
                </c:pt>
                <c:pt idx="181">
                  <c:v>5000000000</c:v>
                </c:pt>
                <c:pt idx="182">
                  <c:v>12000000000</c:v>
                </c:pt>
                <c:pt idx="183">
                  <c:v>700000000</c:v>
                </c:pt>
                <c:pt idx="184">
                  <c:v>2000000000</c:v>
                </c:pt>
                <c:pt idx="185">
                  <c:v>10000000</c:v>
                </c:pt>
                <c:pt idx="186">
                  <c:v>6000000</c:v>
                </c:pt>
                <c:pt idx="187">
                  <c:v>100000000</c:v>
                </c:pt>
                <c:pt idx="188">
                  <c:v>5000</c:v>
                </c:pt>
                <c:pt idx="189">
                  <c:v>150000000</c:v>
                </c:pt>
                <c:pt idx="190">
                  <c:v>251000000</c:v>
                </c:pt>
                <c:pt idx="191">
                  <c:v>293000000</c:v>
                </c:pt>
                <c:pt idx="192">
                  <c:v>5900000</c:v>
                </c:pt>
                <c:pt idx="193">
                  <c:v>20000000</c:v>
                </c:pt>
                <c:pt idx="194">
                  <c:v>262000</c:v>
                </c:pt>
                <c:pt idx="195">
                  <c:v>100000</c:v>
                </c:pt>
                <c:pt idx="196">
                  <c:v>20000</c:v>
                </c:pt>
                <c:pt idx="197">
                  <c:v>146190000</c:v>
                </c:pt>
                <c:pt idx="198">
                  <c:v>1000000000</c:v>
                </c:pt>
                <c:pt idx="199">
                  <c:v>100000</c:v>
                </c:pt>
                <c:pt idx="200">
                  <c:v>100000</c:v>
                </c:pt>
                <c:pt idx="201">
                  <c:v>1000000000</c:v>
                </c:pt>
                <c:pt idx="202">
                  <c:v>500000</c:v>
                </c:pt>
                <c:pt idx="203">
                  <c:v>10000</c:v>
                </c:pt>
                <c:pt idx="204">
                  <c:v>475000000</c:v>
                </c:pt>
                <c:pt idx="205">
                  <c:v>550000000</c:v>
                </c:pt>
                <c:pt idx="206">
                  <c:v>2500000000</c:v>
                </c:pt>
                <c:pt idx="207">
                  <c:v>24000</c:v>
                </c:pt>
                <c:pt idx="208">
                  <c:v>12500000</c:v>
                </c:pt>
                <c:pt idx="209">
                  <c:v>12500000</c:v>
                </c:pt>
                <c:pt idx="210">
                  <c:v>625000</c:v>
                </c:pt>
                <c:pt idx="211">
                  <c:v>20000</c:v>
                </c:pt>
                <c:pt idx="212">
                  <c:v>10000</c:v>
                </c:pt>
                <c:pt idx="213">
                  <c:v>39800000000</c:v>
                </c:pt>
                <c:pt idx="214">
                  <c:v>12500000</c:v>
                </c:pt>
                <c:pt idx="215">
                  <c:v>250</c:v>
                </c:pt>
                <c:pt idx="216">
                  <c:v>100000000</c:v>
                </c:pt>
                <c:pt idx="217">
                  <c:v>100000</c:v>
                </c:pt>
                <c:pt idx="218">
                  <c:v>2500000000</c:v>
                </c:pt>
                <c:pt idx="219">
                  <c:v>5000000</c:v>
                </c:pt>
                <c:pt idx="220">
                  <c:v>20000</c:v>
                </c:pt>
                <c:pt idx="221">
                  <c:v>250000</c:v>
                </c:pt>
                <c:pt idx="222">
                  <c:v>30000000</c:v>
                </c:pt>
                <c:pt idx="223">
                  <c:v>40000000</c:v>
                </c:pt>
                <c:pt idx="224">
                  <c:v>13477000000</c:v>
                </c:pt>
                <c:pt idx="225">
                  <c:v>500000000</c:v>
                </c:pt>
                <c:pt idx="226">
                  <c:v>49000000</c:v>
                </c:pt>
                <c:pt idx="227">
                  <c:v>500000000</c:v>
                </c:pt>
                <c:pt idx="228">
                  <c:v>1000</c:v>
                </c:pt>
                <c:pt idx="229">
                  <c:v>1000000</c:v>
                </c:pt>
                <c:pt idx="230">
                  <c:v>6000000</c:v>
                </c:pt>
                <c:pt idx="231">
                  <c:v>60000000</c:v>
                </c:pt>
                <c:pt idx="232">
                  <c:v>4000000</c:v>
                </c:pt>
                <c:pt idx="233">
                  <c:v>1000000000</c:v>
                </c:pt>
                <c:pt idx="234">
                  <c:v>40000</c:v>
                </c:pt>
                <c:pt idx="235">
                  <c:v>200000</c:v>
                </c:pt>
                <c:pt idx="236">
                  <c:v>1514000000</c:v>
                </c:pt>
                <c:pt idx="237">
                  <c:v>249000000</c:v>
                </c:pt>
                <c:pt idx="238">
                  <c:v>10000000000</c:v>
                </c:pt>
                <c:pt idx="239">
                  <c:v>4000000000</c:v>
                </c:pt>
                <c:pt idx="240">
                  <c:v>500000000</c:v>
                </c:pt>
                <c:pt idx="241">
                  <c:v>158</c:v>
                </c:pt>
                <c:pt idx="242">
                  <c:v>500</c:v>
                </c:pt>
                <c:pt idx="243">
                  <c:v>15625000</c:v>
                </c:pt>
                <c:pt idx="244">
                  <c:v>100000</c:v>
                </c:pt>
                <c:pt idx="245">
                  <c:v>62500</c:v>
                </c:pt>
                <c:pt idx="246">
                  <c:v>24000000</c:v>
                </c:pt>
                <c:pt idx="247">
                  <c:v>100000000</c:v>
                </c:pt>
                <c:pt idx="248">
                  <c:v>1150000000</c:v>
                </c:pt>
                <c:pt idx="249">
                  <c:v>12400000</c:v>
                </c:pt>
                <c:pt idx="250">
                  <c:v>10400</c:v>
                </c:pt>
                <c:pt idx="251">
                  <c:v>26900000000</c:v>
                </c:pt>
                <c:pt idx="252">
                  <c:v>1900000000</c:v>
                </c:pt>
                <c:pt idx="253">
                  <c:v>4800000000</c:v>
                </c:pt>
                <c:pt idx="254">
                  <c:v>700000000</c:v>
                </c:pt>
                <c:pt idx="255">
                  <c:v>981000000</c:v>
                </c:pt>
                <c:pt idx="256">
                  <c:v>1000000</c:v>
                </c:pt>
                <c:pt idx="257">
                  <c:v>120000000</c:v>
                </c:pt>
                <c:pt idx="258">
                  <c:v>220000000</c:v>
                </c:pt>
                <c:pt idx="259">
                  <c:v>918000000</c:v>
                </c:pt>
                <c:pt idx="260">
                  <c:v>30000000</c:v>
                </c:pt>
                <c:pt idx="261">
                  <c:v>60000000</c:v>
                </c:pt>
                <c:pt idx="262">
                  <c:v>2000000</c:v>
                </c:pt>
                <c:pt idx="263">
                  <c:v>16000</c:v>
                </c:pt>
                <c:pt idx="264">
                  <c:v>1000000</c:v>
                </c:pt>
                <c:pt idx="265">
                  <c:v>24000000</c:v>
                </c:pt>
                <c:pt idx="266">
                  <c:v>5000</c:v>
                </c:pt>
                <c:pt idx="267">
                  <c:v>20000</c:v>
                </c:pt>
                <c:pt idx="268">
                  <c:v>24000</c:v>
                </c:pt>
                <c:pt idx="269">
                  <c:v>200000</c:v>
                </c:pt>
                <c:pt idx="270">
                  <c:v>2770000000</c:v>
                </c:pt>
                <c:pt idx="271">
                  <c:v>15332</c:v>
                </c:pt>
                <c:pt idx="272">
                  <c:v>625000</c:v>
                </c:pt>
                <c:pt idx="273">
                  <c:v>234860000</c:v>
                </c:pt>
                <c:pt idx="274">
                  <c:v>499000000</c:v>
                </c:pt>
                <c:pt idx="275">
                  <c:v>7620000000</c:v>
                </c:pt>
                <c:pt idx="276">
                  <c:v>32000000000</c:v>
                </c:pt>
                <c:pt idx="277">
                  <c:v>5000000000</c:v>
                </c:pt>
                <c:pt idx="278">
                  <c:v>5000000000</c:v>
                </c:pt>
              </c:numCache>
            </c:numRef>
          </c:yVal>
          <c:smooth val="0"/>
          <c:extLst>
            <c:ext xmlns:c16="http://schemas.microsoft.com/office/drawing/2014/chart" uri="{C3380CC4-5D6E-409C-BE32-E72D297353CC}">
              <c16:uniqueId val="{00000003-EE4C-4284-89A2-DD5452AF3207}"/>
            </c:ext>
          </c:extLst>
        </c:ser>
        <c:ser>
          <c:idx val="3"/>
          <c:order val="4"/>
          <c:tx>
            <c:v>Jitter=1psrms</c:v>
          </c:tx>
          <c:spPr>
            <a:ln w="25400">
              <a:solidFill>
                <a:srgbClr val="C00000"/>
              </a:solidFill>
              <a:prstDash val="solid"/>
            </a:ln>
          </c:spPr>
          <c:marker>
            <c:symbol val="none"/>
          </c:marker>
          <c:xVal>
            <c:numRef>
              <c:f>'Jitter and FOM lines'!$B$4:$B$11</c:f>
              <c:numCache>
                <c:formatCode>0</c:formatCode>
                <c:ptCount val="8"/>
                <c:pt idx="0">
                  <c:v>144.04080712525607</c:v>
                </c:pt>
                <c:pt idx="1">
                  <c:v>124.04080712525607</c:v>
                </c:pt>
                <c:pt idx="2">
                  <c:v>104.04080712525607</c:v>
                </c:pt>
                <c:pt idx="3">
                  <c:v>84.040807125256066</c:v>
                </c:pt>
                <c:pt idx="4">
                  <c:v>64.040807125256066</c:v>
                </c:pt>
                <c:pt idx="5">
                  <c:v>44.04080712525608</c:v>
                </c:pt>
                <c:pt idx="6">
                  <c:v>24.04080712525608</c:v>
                </c:pt>
                <c:pt idx="7">
                  <c:v>4.0408071252560775</c:v>
                </c:pt>
              </c:numCache>
            </c:numRef>
          </c:xVal>
          <c:yVal>
            <c:numRef>
              <c:f>'Jitter and FOM lines'!$A$4:$A$11</c:f>
              <c:numCache>
                <c:formatCode>0.00E+00</c:formatCode>
                <c:ptCount val="8"/>
                <c:pt idx="0">
                  <c:v>10000</c:v>
                </c:pt>
                <c:pt idx="1">
                  <c:v>100000</c:v>
                </c:pt>
                <c:pt idx="2">
                  <c:v>1000000</c:v>
                </c:pt>
                <c:pt idx="3">
                  <c:v>10000000</c:v>
                </c:pt>
                <c:pt idx="4">
                  <c:v>100000000</c:v>
                </c:pt>
                <c:pt idx="5">
                  <c:v>1000000000</c:v>
                </c:pt>
                <c:pt idx="6">
                  <c:v>10000000000</c:v>
                </c:pt>
                <c:pt idx="7">
                  <c:v>100000000000</c:v>
                </c:pt>
              </c:numCache>
            </c:numRef>
          </c:yVal>
          <c:smooth val="0"/>
          <c:extLst>
            <c:ext xmlns:c16="http://schemas.microsoft.com/office/drawing/2014/chart" uri="{C3380CC4-5D6E-409C-BE32-E72D297353CC}">
              <c16:uniqueId val="{00000004-EE4C-4284-89A2-DD5452AF3207}"/>
            </c:ext>
          </c:extLst>
        </c:ser>
        <c:ser>
          <c:idx val="2"/>
          <c:order val="5"/>
          <c:tx>
            <c:v>Jitter=0.1psrms</c:v>
          </c:tx>
          <c:spPr>
            <a:ln w="25400">
              <a:solidFill>
                <a:srgbClr val="C00000"/>
              </a:solidFill>
              <a:prstDash val="sysDash"/>
            </a:ln>
          </c:spPr>
          <c:marker>
            <c:symbol val="none"/>
          </c:marker>
          <c:xVal>
            <c:numRef>
              <c:f>'Jitter and FOM lines'!$C$4:$C$11</c:f>
              <c:numCache>
                <c:formatCode>0</c:formatCode>
                <c:ptCount val="8"/>
                <c:pt idx="0">
                  <c:v>164.04080712525604</c:v>
                </c:pt>
                <c:pt idx="1">
                  <c:v>144.04080712525607</c:v>
                </c:pt>
                <c:pt idx="2">
                  <c:v>124.04080712525607</c:v>
                </c:pt>
                <c:pt idx="3">
                  <c:v>104.04080712525607</c:v>
                </c:pt>
                <c:pt idx="4">
                  <c:v>84.040807125256066</c:v>
                </c:pt>
                <c:pt idx="5">
                  <c:v>64.040807125256066</c:v>
                </c:pt>
                <c:pt idx="6">
                  <c:v>44.040807125256066</c:v>
                </c:pt>
                <c:pt idx="7">
                  <c:v>24.040807125256073</c:v>
                </c:pt>
              </c:numCache>
            </c:numRef>
          </c:xVal>
          <c:yVal>
            <c:numRef>
              <c:f>'Jitter and FOM lines'!$A$4:$A$11</c:f>
              <c:numCache>
                <c:formatCode>0.00E+00</c:formatCode>
                <c:ptCount val="8"/>
                <c:pt idx="0">
                  <c:v>10000</c:v>
                </c:pt>
                <c:pt idx="1">
                  <c:v>100000</c:v>
                </c:pt>
                <c:pt idx="2">
                  <c:v>1000000</c:v>
                </c:pt>
                <c:pt idx="3">
                  <c:v>10000000</c:v>
                </c:pt>
                <c:pt idx="4">
                  <c:v>100000000</c:v>
                </c:pt>
                <c:pt idx="5">
                  <c:v>1000000000</c:v>
                </c:pt>
                <c:pt idx="6">
                  <c:v>10000000000</c:v>
                </c:pt>
                <c:pt idx="7">
                  <c:v>100000000000</c:v>
                </c:pt>
              </c:numCache>
            </c:numRef>
          </c:yVal>
          <c:smooth val="0"/>
          <c:extLst>
            <c:ext xmlns:c16="http://schemas.microsoft.com/office/drawing/2014/chart" uri="{C3380CC4-5D6E-409C-BE32-E72D297353CC}">
              <c16:uniqueId val="{00000005-EE4C-4284-89A2-DD5452AF3207}"/>
            </c:ext>
          </c:extLst>
        </c:ser>
        <c:dLbls>
          <c:showLegendKey val="0"/>
          <c:showVal val="0"/>
          <c:showCatName val="0"/>
          <c:showSerName val="0"/>
          <c:showPercent val="0"/>
          <c:showBubbleSize val="0"/>
        </c:dLbls>
        <c:axId val="142064543"/>
        <c:axId val="1"/>
      </c:scatterChart>
      <c:valAx>
        <c:axId val="142064543"/>
        <c:scaling>
          <c:orientation val="minMax"/>
          <c:max val="120"/>
          <c:min val="10"/>
        </c:scaling>
        <c:delete val="0"/>
        <c:axPos val="b"/>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SNDR @ 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[dB]</a:t>
                </a:r>
              </a:p>
            </c:rich>
          </c:tx>
          <c:layout>
            <c:manualLayout>
              <c:xMode val="edge"/>
              <c:yMode val="edge"/>
              <c:x val="0.43910353000990454"/>
              <c:y val="0.8912433913213373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majorUnit val="10"/>
      </c:valAx>
      <c:valAx>
        <c:axId val="1"/>
        <c:scaling>
          <c:logBase val="10"/>
          <c:orientation val="minMax"/>
          <c:max val="100000000000"/>
          <c:min val="1000000"/>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[Hz]</a:t>
                </a:r>
              </a:p>
            </c:rich>
          </c:tx>
          <c:layout>
            <c:manualLayout>
              <c:xMode val="edge"/>
              <c:yMode val="edge"/>
              <c:x val="1.1098612025717872E-3"/>
              <c:y val="0.29690062971518083"/>
            </c:manualLayout>
          </c:layout>
          <c:overlay val="0"/>
          <c:spPr>
            <a:noFill/>
            <a:ln w="25400">
              <a:noFill/>
            </a:ln>
          </c:spPr>
        </c:title>
        <c:numFmt formatCode="0.E+00" sourceLinked="0"/>
        <c:majorTickMark val="out"/>
        <c:minorTickMark val="out"/>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4543"/>
        <c:crosses val="autoZero"/>
        <c:crossBetween val="midCat"/>
      </c:valAx>
      <c:spPr>
        <a:noFill/>
        <a:ln w="25400">
          <a:solidFill>
            <a:srgbClr val="000000"/>
          </a:solidFill>
          <a:prstDash val="solid"/>
        </a:ln>
      </c:spPr>
    </c:plotArea>
    <c:legend>
      <c:legendPos val="r"/>
      <c:layout>
        <c:manualLayout>
          <c:xMode val="edge"/>
          <c:yMode val="edge"/>
          <c:x val="0.73262914742917862"/>
          <c:y val="5.3013513139198103E-2"/>
          <c:w val="0.22234573466182095"/>
          <c:h val="0.27964020493985953"/>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96491212738251"/>
          <c:y val="4.2414355628058724E-2"/>
          <c:w val="0.78357380688124312"/>
          <c:h val="0.79893205972204295"/>
        </c:manualLayout>
      </c:layout>
      <c:scatterChart>
        <c:scatterStyle val="lineMarker"/>
        <c:varyColors val="0"/>
        <c:ser>
          <c:idx val="3"/>
          <c:order val="0"/>
          <c:tx>
            <c:v>ISSCC 2025</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DF11-4372-8AD9-8B118ABEB65E}"/>
              </c:ext>
            </c:extLst>
          </c:dPt>
          <c:xVal>
            <c:numRef>
              <c:f>ISSCC!$AB$429:$AB$447</c:f>
              <c:numCache>
                <c:formatCode>0.00E+00</c:formatCode>
                <c:ptCount val="19"/>
                <c:pt idx="0">
                  <c:v>52000000000</c:v>
                </c:pt>
                <c:pt idx="1">
                  <c:v>40000</c:v>
                </c:pt>
                <c:pt idx="2">
                  <c:v>2000</c:v>
                </c:pt>
                <c:pt idx="3">
                  <c:v>2000</c:v>
                </c:pt>
                <c:pt idx="4">
                  <c:v>8000</c:v>
                </c:pt>
                <c:pt idx="5">
                  <c:v>312500</c:v>
                </c:pt>
                <c:pt idx="6">
                  <c:v>1600000</c:v>
                </c:pt>
                <c:pt idx="7">
                  <c:v>5000000</c:v>
                </c:pt>
                <c:pt idx="8" formatCode="0.00.E+00">
                  <c:v>16000000</c:v>
                </c:pt>
                <c:pt idx="9" formatCode="0.00.E+00">
                  <c:v>160000000</c:v>
                </c:pt>
                <c:pt idx="10" formatCode="0.00.E+00">
                  <c:v>800000000</c:v>
                </c:pt>
                <c:pt idx="11" formatCode="0.00.E+00">
                  <c:v>3000000000</c:v>
                </c:pt>
                <c:pt idx="12" formatCode="0.00.E+00">
                  <c:v>1000000000</c:v>
                </c:pt>
                <c:pt idx="13" formatCode="0.00.E+00">
                  <c:v>2200000000</c:v>
                </c:pt>
                <c:pt idx="14" formatCode="0.00.E+00">
                  <c:v>3000000000</c:v>
                </c:pt>
                <c:pt idx="15" formatCode="0.00.E+00">
                  <c:v>72000000000</c:v>
                </c:pt>
                <c:pt idx="16" formatCode="0.00.E+00">
                  <c:v>16000000000</c:v>
                </c:pt>
                <c:pt idx="17" formatCode="0.00.E+00">
                  <c:v>10000000000</c:v>
                </c:pt>
                <c:pt idx="18" formatCode="0.00.E+00">
                  <c:v>12000000000</c:v>
                </c:pt>
              </c:numCache>
            </c:numRef>
          </c:xVal>
          <c:yVal>
            <c:numRef>
              <c:f>ISSCC!$AF$429:$AF$447</c:f>
              <c:numCache>
                <c:formatCode>0.0</c:formatCode>
                <c:ptCount val="19"/>
                <c:pt idx="0">
                  <c:v>25.808125126963379</c:v>
                </c:pt>
                <c:pt idx="1">
                  <c:v>17.250375301271468</c:v>
                </c:pt>
                <c:pt idx="2">
                  <c:v>72.554322417292397</c:v>
                </c:pt>
                <c:pt idx="3">
                  <c:v>79.321818895577607</c:v>
                </c:pt>
                <c:pt idx="4">
                  <c:v>19.533602213366379</c:v>
                </c:pt>
                <c:pt idx="5">
                  <c:v>25.981394086095282</c:v>
                </c:pt>
                <c:pt idx="6">
                  <c:v>8.4727359316608073</c:v>
                </c:pt>
                <c:pt idx="7">
                  <c:v>20.152250005097837</c:v>
                </c:pt>
                <c:pt idx="8">
                  <c:v>13.274194520211198</c:v>
                </c:pt>
                <c:pt idx="9">
                  <c:v>11.643095588898536</c:v>
                </c:pt>
                <c:pt idx="10">
                  <c:v>40.608189899663955</c:v>
                </c:pt>
                <c:pt idx="11">
                  <c:v>15.222216513714871</c:v>
                </c:pt>
                <c:pt idx="12">
                  <c:v>7.2838397484371997</c:v>
                </c:pt>
                <c:pt idx="13">
                  <c:v>19.688243554744641</c:v>
                </c:pt>
                <c:pt idx="14">
                  <c:v>32.024130845796719</c:v>
                </c:pt>
                <c:pt idx="15">
                  <c:v>53.726858288081146</c:v>
                </c:pt>
                <c:pt idx="16">
                  <c:v>194.77331552770599</c:v>
                </c:pt>
                <c:pt idx="17">
                  <c:v>22.041701013112974</c:v>
                </c:pt>
                <c:pt idx="18">
                  <c:v>64.225551136857263</c:v>
                </c:pt>
              </c:numCache>
            </c:numRef>
          </c:yVal>
          <c:smooth val="0"/>
          <c:extLst>
            <c:ext xmlns:c16="http://schemas.microsoft.com/office/drawing/2014/chart" uri="{C3380CC4-5D6E-409C-BE32-E72D297353CC}">
              <c16:uniqueId val="{00000002-DF11-4372-8AD9-8B118ABEB65E}"/>
            </c:ext>
          </c:extLst>
        </c:ser>
        <c:ser>
          <c:idx val="4"/>
          <c:order val="1"/>
          <c:tx>
            <c:v>VLSI 2025</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DF11-4372-8AD9-8B118ABEB65E}"/>
              </c:ext>
            </c:extLst>
          </c:dPt>
          <c:xVal>
            <c:numRef>
              <c:f>VLSI!$AB$281:$AB$294</c:f>
              <c:numCache>
                <c:formatCode>0.00E+00</c:formatCode>
                <c:ptCount val="14"/>
                <c:pt idx="0">
                  <c:v>350000000</c:v>
                </c:pt>
                <c:pt idx="1">
                  <c:v>200000000</c:v>
                </c:pt>
                <c:pt idx="2">
                  <c:v>100000000</c:v>
                </c:pt>
                <c:pt idx="3">
                  <c:v>560000000</c:v>
                </c:pt>
                <c:pt idx="4">
                  <c:v>46000000000</c:v>
                </c:pt>
                <c:pt idx="5">
                  <c:v>3000000000</c:v>
                </c:pt>
                <c:pt idx="6">
                  <c:v>16000000000</c:v>
                </c:pt>
                <c:pt idx="7">
                  <c:v>10000000</c:v>
                </c:pt>
                <c:pt idx="8">
                  <c:v>20000</c:v>
                </c:pt>
                <c:pt idx="9">
                  <c:v>6000000</c:v>
                </c:pt>
                <c:pt idx="10">
                  <c:v>500000</c:v>
                </c:pt>
                <c:pt idx="11">
                  <c:v>2500000</c:v>
                </c:pt>
                <c:pt idx="12">
                  <c:v>1000000</c:v>
                </c:pt>
                <c:pt idx="13">
                  <c:v>10000000</c:v>
                </c:pt>
              </c:numCache>
            </c:numRef>
          </c:xVal>
          <c:yVal>
            <c:numRef>
              <c:f>VLSI!$AF$281:$AF$294</c:f>
              <c:numCache>
                <c:formatCode>0.0</c:formatCode>
                <c:ptCount val="14"/>
                <c:pt idx="0">
                  <c:v>12.233760106886695</c:v>
                </c:pt>
                <c:pt idx="1">
                  <c:v>57.044366826222898</c:v>
                </c:pt>
                <c:pt idx="2">
                  <c:v>26.927307876791666</c:v>
                </c:pt>
                <c:pt idx="3">
                  <c:v>5.2712196130400031</c:v>
                </c:pt>
                <c:pt idx="4">
                  <c:v>77.963633459977785</c:v>
                </c:pt>
                <c:pt idx="5">
                  <c:v>39.256290823496052</c:v>
                </c:pt>
                <c:pt idx="6">
                  <c:v>25.761370874603678</c:v>
                </c:pt>
                <c:pt idx="7">
                  <c:v>2.0514864101560346</c:v>
                </c:pt>
                <c:pt idx="8">
                  <c:v>33.375577094167795</c:v>
                </c:pt>
                <c:pt idx="9">
                  <c:v>8.5135932746770457</c:v>
                </c:pt>
                <c:pt idx="10">
                  <c:v>26.416204184578518</c:v>
                </c:pt>
                <c:pt idx="11">
                  <c:v>28.627235511238709</c:v>
                </c:pt>
                <c:pt idx="12">
                  <c:v>26.719451426493322</c:v>
                </c:pt>
                <c:pt idx="13">
                  <c:v>22.375945014808828</c:v>
                </c:pt>
              </c:numCache>
            </c:numRef>
          </c:yVal>
          <c:smooth val="0"/>
          <c:extLst>
            <c:ext xmlns:c16="http://schemas.microsoft.com/office/drawing/2014/chart" uri="{C3380CC4-5D6E-409C-BE32-E72D297353CC}">
              <c16:uniqueId val="{00000005-DF11-4372-8AD9-8B118ABEB65E}"/>
            </c:ext>
          </c:extLst>
        </c:ser>
        <c:ser>
          <c:idx val="0"/>
          <c:order val="2"/>
          <c:tx>
            <c:v>ISSCC 1997-2024</c:v>
          </c:tx>
          <c:spPr>
            <a:ln w="28575">
              <a:noFill/>
            </a:ln>
          </c:spPr>
          <c:marker>
            <c:symbol val="circle"/>
            <c:size val="7"/>
            <c:spPr>
              <a:noFill/>
              <a:ln>
                <a:solidFill>
                  <a:srgbClr val="000000"/>
                </a:solidFill>
                <a:prstDash val="solid"/>
              </a:ln>
            </c:spPr>
          </c:marker>
          <c:xVal>
            <c:numRef>
              <c:f>ISSCC!$AB$2:$AB$428</c:f>
              <c:numCache>
                <c:formatCode>0.00E+00</c:formatCode>
                <c:ptCount val="427"/>
                <c:pt idx="0">
                  <c:v>200000</c:v>
                </c:pt>
                <c:pt idx="1">
                  <c:v>50000000</c:v>
                </c:pt>
                <c:pt idx="2">
                  <c:v>50000000</c:v>
                </c:pt>
                <c:pt idx="3">
                  <c:v>128000000</c:v>
                </c:pt>
                <c:pt idx="4">
                  <c:v>5000000</c:v>
                </c:pt>
                <c:pt idx="5">
                  <c:v>2500000</c:v>
                </c:pt>
                <c:pt idx="6">
                  <c:v>2000</c:v>
                </c:pt>
                <c:pt idx="7">
                  <c:v>400000</c:v>
                </c:pt>
                <c:pt idx="8">
                  <c:v>125200000</c:v>
                </c:pt>
                <c:pt idx="9">
                  <c:v>400000</c:v>
                </c:pt>
                <c:pt idx="10">
                  <c:v>96000</c:v>
                </c:pt>
                <c:pt idx="11">
                  <c:v>40000</c:v>
                </c:pt>
                <c:pt idx="12">
                  <c:v>200000</c:v>
                </c:pt>
                <c:pt idx="13">
                  <c:v>32000</c:v>
                </c:pt>
                <c:pt idx="14">
                  <c:v>20000000</c:v>
                </c:pt>
                <c:pt idx="15">
                  <c:v>40000000</c:v>
                </c:pt>
                <c:pt idx="16">
                  <c:v>40000000</c:v>
                </c:pt>
                <c:pt idx="17">
                  <c:v>10000000</c:v>
                </c:pt>
                <c:pt idx="18">
                  <c:v>75000000</c:v>
                </c:pt>
                <c:pt idx="19">
                  <c:v>350000000</c:v>
                </c:pt>
                <c:pt idx="20">
                  <c:v>400000000</c:v>
                </c:pt>
                <c:pt idx="21">
                  <c:v>40000</c:v>
                </c:pt>
                <c:pt idx="22">
                  <c:v>200000</c:v>
                </c:pt>
                <c:pt idx="23">
                  <c:v>18000000</c:v>
                </c:pt>
                <c:pt idx="24">
                  <c:v>400000</c:v>
                </c:pt>
                <c:pt idx="25">
                  <c:v>80000</c:v>
                </c:pt>
                <c:pt idx="26">
                  <c:v>125000</c:v>
                </c:pt>
                <c:pt idx="27">
                  <c:v>25000000</c:v>
                </c:pt>
                <c:pt idx="28">
                  <c:v>40000000</c:v>
                </c:pt>
                <c:pt idx="29">
                  <c:v>20000000</c:v>
                </c:pt>
                <c:pt idx="30">
                  <c:v>500000000</c:v>
                </c:pt>
                <c:pt idx="31">
                  <c:v>500000000</c:v>
                </c:pt>
                <c:pt idx="32">
                  <c:v>100000000</c:v>
                </c:pt>
                <c:pt idx="33">
                  <c:v>40000000</c:v>
                </c:pt>
                <c:pt idx="34">
                  <c:v>65000000</c:v>
                </c:pt>
                <c:pt idx="35">
                  <c:v>50000000</c:v>
                </c:pt>
                <c:pt idx="36">
                  <c:v>80000000</c:v>
                </c:pt>
                <c:pt idx="37">
                  <c:v>20000000</c:v>
                </c:pt>
                <c:pt idx="38">
                  <c:v>2500000</c:v>
                </c:pt>
                <c:pt idx="39">
                  <c:v>2500000</c:v>
                </c:pt>
                <c:pt idx="40">
                  <c:v>400000</c:v>
                </c:pt>
                <c:pt idx="41">
                  <c:v>4000000</c:v>
                </c:pt>
                <c:pt idx="42">
                  <c:v>10000000</c:v>
                </c:pt>
                <c:pt idx="43">
                  <c:v>378000</c:v>
                </c:pt>
                <c:pt idx="44">
                  <c:v>4000000</c:v>
                </c:pt>
                <c:pt idx="45">
                  <c:v>1300000000</c:v>
                </c:pt>
                <c:pt idx="46">
                  <c:v>1100000000</c:v>
                </c:pt>
                <c:pt idx="47">
                  <c:v>100000000</c:v>
                </c:pt>
                <c:pt idx="48">
                  <c:v>54000000</c:v>
                </c:pt>
                <c:pt idx="49">
                  <c:v>75000000</c:v>
                </c:pt>
                <c:pt idx="50">
                  <c:v>40000000</c:v>
                </c:pt>
                <c:pt idx="51">
                  <c:v>4000000000</c:v>
                </c:pt>
                <c:pt idx="52">
                  <c:v>1320000000</c:v>
                </c:pt>
                <c:pt idx="53">
                  <c:v>450000000</c:v>
                </c:pt>
                <c:pt idx="54">
                  <c:v>120000000</c:v>
                </c:pt>
                <c:pt idx="55">
                  <c:v>30000000</c:v>
                </c:pt>
                <c:pt idx="56">
                  <c:v>20000000</c:v>
                </c:pt>
                <c:pt idx="57">
                  <c:v>2000000</c:v>
                </c:pt>
                <c:pt idx="58">
                  <c:v>660000</c:v>
                </c:pt>
                <c:pt idx="59">
                  <c:v>7680000</c:v>
                </c:pt>
                <c:pt idx="60">
                  <c:v>4000000</c:v>
                </c:pt>
                <c:pt idx="61">
                  <c:v>4000000</c:v>
                </c:pt>
                <c:pt idx="62">
                  <c:v>1924000</c:v>
                </c:pt>
                <c:pt idx="63">
                  <c:v>4000000</c:v>
                </c:pt>
                <c:pt idx="64">
                  <c:v>22000000</c:v>
                </c:pt>
                <c:pt idx="65">
                  <c:v>16000</c:v>
                </c:pt>
                <c:pt idx="66">
                  <c:v>21000000</c:v>
                </c:pt>
                <c:pt idx="67">
                  <c:v>50000000</c:v>
                </c:pt>
                <c:pt idx="68">
                  <c:v>2000000</c:v>
                </c:pt>
                <c:pt idx="69">
                  <c:v>16000</c:v>
                </c:pt>
                <c:pt idx="70">
                  <c:v>4000000</c:v>
                </c:pt>
                <c:pt idx="71">
                  <c:v>40000</c:v>
                </c:pt>
                <c:pt idx="72">
                  <c:v>3840000</c:v>
                </c:pt>
                <c:pt idx="73">
                  <c:v>2460000</c:v>
                </c:pt>
                <c:pt idx="74">
                  <c:v>2200000</c:v>
                </c:pt>
                <c:pt idx="75">
                  <c:v>2000000</c:v>
                </c:pt>
                <c:pt idx="76">
                  <c:v>40000000</c:v>
                </c:pt>
                <c:pt idx="77">
                  <c:v>20000000000</c:v>
                </c:pt>
                <c:pt idx="78">
                  <c:v>2000000000</c:v>
                </c:pt>
                <c:pt idx="79">
                  <c:v>80000000</c:v>
                </c:pt>
                <c:pt idx="80">
                  <c:v>150000000</c:v>
                </c:pt>
                <c:pt idx="81">
                  <c:v>75000000</c:v>
                </c:pt>
                <c:pt idx="82">
                  <c:v>70000000</c:v>
                </c:pt>
                <c:pt idx="83">
                  <c:v>24000000</c:v>
                </c:pt>
                <c:pt idx="84">
                  <c:v>20000000</c:v>
                </c:pt>
                <c:pt idx="85">
                  <c:v>25000000</c:v>
                </c:pt>
                <c:pt idx="86">
                  <c:v>2200000</c:v>
                </c:pt>
                <c:pt idx="87">
                  <c:v>3840000</c:v>
                </c:pt>
                <c:pt idx="88">
                  <c:v>40000</c:v>
                </c:pt>
                <c:pt idx="89">
                  <c:v>2200000</c:v>
                </c:pt>
                <c:pt idx="90">
                  <c:v>5000000</c:v>
                </c:pt>
                <c:pt idx="91">
                  <c:v>2000000</c:v>
                </c:pt>
                <c:pt idx="92">
                  <c:v>1600000000</c:v>
                </c:pt>
                <c:pt idx="93">
                  <c:v>600000000</c:v>
                </c:pt>
                <c:pt idx="94">
                  <c:v>220000000</c:v>
                </c:pt>
                <c:pt idx="95">
                  <c:v>150000000</c:v>
                </c:pt>
                <c:pt idx="96">
                  <c:v>125000000</c:v>
                </c:pt>
                <c:pt idx="97">
                  <c:v>40000000000</c:v>
                </c:pt>
                <c:pt idx="98">
                  <c:v>600000000</c:v>
                </c:pt>
                <c:pt idx="99">
                  <c:v>40000000</c:v>
                </c:pt>
                <c:pt idx="100">
                  <c:v>20000000</c:v>
                </c:pt>
                <c:pt idx="101">
                  <c:v>50000000</c:v>
                </c:pt>
                <c:pt idx="102">
                  <c:v>10000000</c:v>
                </c:pt>
                <c:pt idx="103">
                  <c:v>80000000</c:v>
                </c:pt>
                <c:pt idx="104">
                  <c:v>80000000</c:v>
                </c:pt>
                <c:pt idx="105">
                  <c:v>30000000</c:v>
                </c:pt>
                <c:pt idx="106">
                  <c:v>48000</c:v>
                </c:pt>
                <c:pt idx="107">
                  <c:v>4000000</c:v>
                </c:pt>
                <c:pt idx="108">
                  <c:v>3880000</c:v>
                </c:pt>
                <c:pt idx="109">
                  <c:v>2000000</c:v>
                </c:pt>
                <c:pt idx="110">
                  <c:v>20000000</c:v>
                </c:pt>
                <c:pt idx="111">
                  <c:v>40000</c:v>
                </c:pt>
                <c:pt idx="112">
                  <c:v>40000</c:v>
                </c:pt>
                <c:pt idx="113">
                  <c:v>12000000</c:v>
                </c:pt>
                <c:pt idx="114">
                  <c:v>50000000</c:v>
                </c:pt>
                <c:pt idx="115">
                  <c:v>125000000</c:v>
                </c:pt>
                <c:pt idx="116">
                  <c:v>200000000</c:v>
                </c:pt>
                <c:pt idx="117">
                  <c:v>4000000</c:v>
                </c:pt>
                <c:pt idx="118">
                  <c:v>856000</c:v>
                </c:pt>
                <c:pt idx="119">
                  <c:v>1200000</c:v>
                </c:pt>
                <c:pt idx="120">
                  <c:v>1200000</c:v>
                </c:pt>
                <c:pt idx="121">
                  <c:v>2000000</c:v>
                </c:pt>
                <c:pt idx="122">
                  <c:v>46000000</c:v>
                </c:pt>
                <c:pt idx="123">
                  <c:v>40000000</c:v>
                </c:pt>
                <c:pt idx="124">
                  <c:v>17000000</c:v>
                </c:pt>
                <c:pt idx="125">
                  <c:v>400000</c:v>
                </c:pt>
                <c:pt idx="126">
                  <c:v>4400000</c:v>
                </c:pt>
                <c:pt idx="127">
                  <c:v>2200000</c:v>
                </c:pt>
                <c:pt idx="128">
                  <c:v>50000</c:v>
                </c:pt>
                <c:pt idx="129">
                  <c:v>20000</c:v>
                </c:pt>
                <c:pt idx="130">
                  <c:v>6400000</c:v>
                </c:pt>
                <c:pt idx="131">
                  <c:v>64000000</c:v>
                </c:pt>
                <c:pt idx="132">
                  <c:v>50000000</c:v>
                </c:pt>
                <c:pt idx="133">
                  <c:v>40000000</c:v>
                </c:pt>
                <c:pt idx="134">
                  <c:v>8000000</c:v>
                </c:pt>
                <c:pt idx="135">
                  <c:v>100000</c:v>
                </c:pt>
                <c:pt idx="136">
                  <c:v>100000000</c:v>
                </c:pt>
                <c:pt idx="137">
                  <c:v>50000000</c:v>
                </c:pt>
                <c:pt idx="138">
                  <c:v>40000000</c:v>
                </c:pt>
                <c:pt idx="139">
                  <c:v>1250000000</c:v>
                </c:pt>
                <c:pt idx="140">
                  <c:v>1000000000</c:v>
                </c:pt>
                <c:pt idx="141">
                  <c:v>4000000000</c:v>
                </c:pt>
                <c:pt idx="142">
                  <c:v>22000000000</c:v>
                </c:pt>
                <c:pt idx="143">
                  <c:v>600000000</c:v>
                </c:pt>
                <c:pt idx="144">
                  <c:v>1000000000</c:v>
                </c:pt>
                <c:pt idx="145">
                  <c:v>40000000</c:v>
                </c:pt>
                <c:pt idx="146">
                  <c:v>20000000</c:v>
                </c:pt>
                <c:pt idx="147">
                  <c:v>400000</c:v>
                </c:pt>
                <c:pt idx="148">
                  <c:v>1228000</c:v>
                </c:pt>
                <c:pt idx="149">
                  <c:v>20000000</c:v>
                </c:pt>
                <c:pt idx="150">
                  <c:v>5000000</c:v>
                </c:pt>
                <c:pt idx="151">
                  <c:v>80000000</c:v>
                </c:pt>
                <c:pt idx="152">
                  <c:v>160000000</c:v>
                </c:pt>
                <c:pt idx="153">
                  <c:v>30000000</c:v>
                </c:pt>
                <c:pt idx="154">
                  <c:v>205000000</c:v>
                </c:pt>
                <c:pt idx="155">
                  <c:v>200000000</c:v>
                </c:pt>
                <c:pt idx="156">
                  <c:v>205000000</c:v>
                </c:pt>
                <c:pt idx="157">
                  <c:v>800000000</c:v>
                </c:pt>
                <c:pt idx="158">
                  <c:v>40000000</c:v>
                </c:pt>
                <c:pt idx="159">
                  <c:v>250000000</c:v>
                </c:pt>
                <c:pt idx="160">
                  <c:v>150000000</c:v>
                </c:pt>
                <c:pt idx="161">
                  <c:v>1000000</c:v>
                </c:pt>
                <c:pt idx="162">
                  <c:v>100000</c:v>
                </c:pt>
                <c:pt idx="163">
                  <c:v>100000000</c:v>
                </c:pt>
                <c:pt idx="164">
                  <c:v>100000000</c:v>
                </c:pt>
                <c:pt idx="165">
                  <c:v>1750000000</c:v>
                </c:pt>
                <c:pt idx="166">
                  <c:v>40000</c:v>
                </c:pt>
                <c:pt idx="167">
                  <c:v>400000</c:v>
                </c:pt>
                <c:pt idx="168">
                  <c:v>5000000</c:v>
                </c:pt>
                <c:pt idx="169">
                  <c:v>40000000</c:v>
                </c:pt>
                <c:pt idx="170">
                  <c:v>20000000</c:v>
                </c:pt>
                <c:pt idx="171">
                  <c:v>16000000</c:v>
                </c:pt>
                <c:pt idx="172">
                  <c:v>40000</c:v>
                </c:pt>
                <c:pt idx="173">
                  <c:v>20000000</c:v>
                </c:pt>
                <c:pt idx="174">
                  <c:v>1250000000</c:v>
                </c:pt>
                <c:pt idx="175">
                  <c:v>24000000000</c:v>
                </c:pt>
                <c:pt idx="176">
                  <c:v>200000000</c:v>
                </c:pt>
                <c:pt idx="177">
                  <c:v>300000000</c:v>
                </c:pt>
                <c:pt idx="178">
                  <c:v>400000</c:v>
                </c:pt>
                <c:pt idx="179">
                  <c:v>2200000000</c:v>
                </c:pt>
                <c:pt idx="180">
                  <c:v>995540000</c:v>
                </c:pt>
                <c:pt idx="181">
                  <c:v>800000000</c:v>
                </c:pt>
                <c:pt idx="182">
                  <c:v>600000000</c:v>
                </c:pt>
                <c:pt idx="183">
                  <c:v>500000000</c:v>
                </c:pt>
                <c:pt idx="184">
                  <c:v>125000000</c:v>
                </c:pt>
                <c:pt idx="185">
                  <c:v>100000000</c:v>
                </c:pt>
                <c:pt idx="186">
                  <c:v>50000000</c:v>
                </c:pt>
                <c:pt idx="187">
                  <c:v>50000000</c:v>
                </c:pt>
                <c:pt idx="188">
                  <c:v>600000</c:v>
                </c:pt>
                <c:pt idx="189">
                  <c:v>40000000</c:v>
                </c:pt>
                <c:pt idx="190">
                  <c:v>4000000</c:v>
                </c:pt>
                <c:pt idx="191">
                  <c:v>40000000</c:v>
                </c:pt>
                <c:pt idx="192">
                  <c:v>4000000</c:v>
                </c:pt>
                <c:pt idx="193">
                  <c:v>10300000000</c:v>
                </c:pt>
                <c:pt idx="194">
                  <c:v>250000000</c:v>
                </c:pt>
                <c:pt idx="195">
                  <c:v>160000000</c:v>
                </c:pt>
                <c:pt idx="196">
                  <c:v>2200000000</c:v>
                </c:pt>
                <c:pt idx="197">
                  <c:v>9000000</c:v>
                </c:pt>
                <c:pt idx="198">
                  <c:v>100000000</c:v>
                </c:pt>
                <c:pt idx="199">
                  <c:v>10000000</c:v>
                </c:pt>
                <c:pt idx="200">
                  <c:v>12500000</c:v>
                </c:pt>
                <c:pt idx="201">
                  <c:v>45000000</c:v>
                </c:pt>
                <c:pt idx="202">
                  <c:v>40000000</c:v>
                </c:pt>
                <c:pt idx="203">
                  <c:v>50000000</c:v>
                </c:pt>
                <c:pt idx="204">
                  <c:v>100000000</c:v>
                </c:pt>
                <c:pt idx="205">
                  <c:v>10240000</c:v>
                </c:pt>
                <c:pt idx="206">
                  <c:v>40000000000</c:v>
                </c:pt>
                <c:pt idx="207">
                  <c:v>2600000000</c:v>
                </c:pt>
                <c:pt idx="208">
                  <c:v>1000000000</c:v>
                </c:pt>
                <c:pt idx="209">
                  <c:v>800000000</c:v>
                </c:pt>
                <c:pt idx="210">
                  <c:v>80000000</c:v>
                </c:pt>
                <c:pt idx="211">
                  <c:v>400000000</c:v>
                </c:pt>
                <c:pt idx="212">
                  <c:v>20000</c:v>
                </c:pt>
                <c:pt idx="213">
                  <c:v>250000000</c:v>
                </c:pt>
                <c:pt idx="214">
                  <c:v>50000000</c:v>
                </c:pt>
                <c:pt idx="215">
                  <c:v>2083333.3333333333</c:v>
                </c:pt>
                <c:pt idx="216">
                  <c:v>20000</c:v>
                </c:pt>
                <c:pt idx="217">
                  <c:v>100000</c:v>
                </c:pt>
                <c:pt idx="218">
                  <c:v>40000000</c:v>
                </c:pt>
                <c:pt idx="219">
                  <c:v>48001920.076803073</c:v>
                </c:pt>
                <c:pt idx="220">
                  <c:v>300000075.00001878</c:v>
                </c:pt>
                <c:pt idx="221">
                  <c:v>20000000</c:v>
                </c:pt>
                <c:pt idx="222">
                  <c:v>50000000</c:v>
                </c:pt>
                <c:pt idx="223">
                  <c:v>72000000</c:v>
                </c:pt>
                <c:pt idx="224">
                  <c:v>120000000</c:v>
                </c:pt>
                <c:pt idx="225">
                  <c:v>25000000000</c:v>
                </c:pt>
                <c:pt idx="226">
                  <c:v>20000000</c:v>
                </c:pt>
                <c:pt idx="227">
                  <c:v>200000000</c:v>
                </c:pt>
                <c:pt idx="228">
                  <c:v>250000000</c:v>
                </c:pt>
                <c:pt idx="229">
                  <c:v>22000000</c:v>
                </c:pt>
                <c:pt idx="230">
                  <c:v>80000000</c:v>
                </c:pt>
                <c:pt idx="231">
                  <c:v>4000000</c:v>
                </c:pt>
                <c:pt idx="232">
                  <c:v>30000000</c:v>
                </c:pt>
                <c:pt idx="233">
                  <c:v>10000000000</c:v>
                </c:pt>
                <c:pt idx="234">
                  <c:v>36000000</c:v>
                </c:pt>
                <c:pt idx="235">
                  <c:v>40000</c:v>
                </c:pt>
                <c:pt idx="236">
                  <c:v>50000000</c:v>
                </c:pt>
                <c:pt idx="237">
                  <c:v>1333.3333333333333</c:v>
                </c:pt>
                <c:pt idx="238">
                  <c:v>25</c:v>
                </c:pt>
                <c:pt idx="239">
                  <c:v>500000</c:v>
                </c:pt>
                <c:pt idx="240">
                  <c:v>60000000</c:v>
                </c:pt>
                <c:pt idx="241">
                  <c:v>200000</c:v>
                </c:pt>
                <c:pt idx="242">
                  <c:v>10000000000</c:v>
                </c:pt>
                <c:pt idx="243">
                  <c:v>3600000000</c:v>
                </c:pt>
                <c:pt idx="244">
                  <c:v>2500000000</c:v>
                </c:pt>
                <c:pt idx="245">
                  <c:v>1200000000</c:v>
                </c:pt>
                <c:pt idx="246">
                  <c:v>900000000</c:v>
                </c:pt>
                <c:pt idx="247">
                  <c:v>80000000</c:v>
                </c:pt>
                <c:pt idx="248">
                  <c:v>32000</c:v>
                </c:pt>
                <c:pt idx="249">
                  <c:v>200000</c:v>
                </c:pt>
                <c:pt idx="250">
                  <c:v>4000</c:v>
                </c:pt>
                <c:pt idx="251">
                  <c:v>80000000</c:v>
                </c:pt>
                <c:pt idx="252">
                  <c:v>100000000</c:v>
                </c:pt>
                <c:pt idx="253">
                  <c:v>48000000</c:v>
                </c:pt>
                <c:pt idx="254">
                  <c:v>90000000000</c:v>
                </c:pt>
                <c:pt idx="255">
                  <c:v>20000000000</c:v>
                </c:pt>
                <c:pt idx="256">
                  <c:v>10000000000</c:v>
                </c:pt>
                <c:pt idx="257">
                  <c:v>1000000000</c:v>
                </c:pt>
                <c:pt idx="258">
                  <c:v>1620000000</c:v>
                </c:pt>
                <c:pt idx="259">
                  <c:v>2200000000</c:v>
                </c:pt>
                <c:pt idx="260">
                  <c:v>4000000</c:v>
                </c:pt>
                <c:pt idx="261">
                  <c:v>91428571.428571433</c:v>
                </c:pt>
                <c:pt idx="262">
                  <c:v>1000000000</c:v>
                </c:pt>
                <c:pt idx="263">
                  <c:v>10000000000</c:v>
                </c:pt>
                <c:pt idx="264">
                  <c:v>200</c:v>
                </c:pt>
                <c:pt idx="265">
                  <c:v>100000000</c:v>
                </c:pt>
                <c:pt idx="266">
                  <c:v>4400000</c:v>
                </c:pt>
                <c:pt idx="267">
                  <c:v>80000</c:v>
                </c:pt>
                <c:pt idx="268">
                  <c:v>250000000</c:v>
                </c:pt>
                <c:pt idx="269">
                  <c:v>35000000</c:v>
                </c:pt>
                <c:pt idx="270">
                  <c:v>500000000</c:v>
                </c:pt>
                <c:pt idx="271">
                  <c:v>100000</c:v>
                </c:pt>
                <c:pt idx="272">
                  <c:v>50000000</c:v>
                </c:pt>
                <c:pt idx="273">
                  <c:v>6400000</c:v>
                </c:pt>
                <c:pt idx="274">
                  <c:v>800000000</c:v>
                </c:pt>
                <c:pt idx="275">
                  <c:v>1600000000</c:v>
                </c:pt>
                <c:pt idx="276">
                  <c:v>5000000000</c:v>
                </c:pt>
                <c:pt idx="277">
                  <c:v>5000000000</c:v>
                </c:pt>
                <c:pt idx="278">
                  <c:v>1700000000</c:v>
                </c:pt>
                <c:pt idx="279">
                  <c:v>16000000000</c:v>
                </c:pt>
                <c:pt idx="280">
                  <c:v>90000000</c:v>
                </c:pt>
                <c:pt idx="281">
                  <c:v>50000000</c:v>
                </c:pt>
                <c:pt idx="282">
                  <c:v>20000000</c:v>
                </c:pt>
                <c:pt idx="283">
                  <c:v>48000</c:v>
                </c:pt>
                <c:pt idx="284">
                  <c:v>700000000</c:v>
                </c:pt>
                <c:pt idx="285">
                  <c:v>320000000</c:v>
                </c:pt>
                <c:pt idx="286">
                  <c:v>40000</c:v>
                </c:pt>
                <c:pt idx="287">
                  <c:v>2000</c:v>
                </c:pt>
                <c:pt idx="288">
                  <c:v>2000</c:v>
                </c:pt>
                <c:pt idx="289">
                  <c:v>1000000000</c:v>
                </c:pt>
                <c:pt idx="290">
                  <c:v>100000000</c:v>
                </c:pt>
                <c:pt idx="291">
                  <c:v>4000000000</c:v>
                </c:pt>
                <c:pt idx="292">
                  <c:v>4000000000</c:v>
                </c:pt>
                <c:pt idx="293">
                  <c:v>2600000000</c:v>
                </c:pt>
                <c:pt idx="294">
                  <c:v>600000000</c:v>
                </c:pt>
                <c:pt idx="295">
                  <c:v>400</c:v>
                </c:pt>
                <c:pt idx="296">
                  <c:v>4000000000</c:v>
                </c:pt>
                <c:pt idx="297">
                  <c:v>2000000000</c:v>
                </c:pt>
                <c:pt idx="298">
                  <c:v>2400000000</c:v>
                </c:pt>
                <c:pt idx="299">
                  <c:v>8000000000</c:v>
                </c:pt>
                <c:pt idx="300">
                  <c:v>10000000000</c:v>
                </c:pt>
                <c:pt idx="301">
                  <c:v>1000</c:v>
                </c:pt>
                <c:pt idx="302">
                  <c:v>20000000</c:v>
                </c:pt>
                <c:pt idx="303">
                  <c:v>10000000</c:v>
                </c:pt>
                <c:pt idx="304">
                  <c:v>30000000</c:v>
                </c:pt>
                <c:pt idx="305">
                  <c:v>250000000</c:v>
                </c:pt>
                <c:pt idx="306">
                  <c:v>330000000</c:v>
                </c:pt>
                <c:pt idx="307">
                  <c:v>1500000000</c:v>
                </c:pt>
                <c:pt idx="308">
                  <c:v>75000000</c:v>
                </c:pt>
                <c:pt idx="309">
                  <c:v>160000000</c:v>
                </c:pt>
                <c:pt idx="310">
                  <c:v>64000000000</c:v>
                </c:pt>
                <c:pt idx="311">
                  <c:v>200000000</c:v>
                </c:pt>
                <c:pt idx="312">
                  <c:v>100000000</c:v>
                </c:pt>
                <c:pt idx="313">
                  <c:v>10000</c:v>
                </c:pt>
                <c:pt idx="314">
                  <c:v>1250000</c:v>
                </c:pt>
                <c:pt idx="315">
                  <c:v>200000</c:v>
                </c:pt>
                <c:pt idx="316">
                  <c:v>2000</c:v>
                </c:pt>
                <c:pt idx="317">
                  <c:v>270000</c:v>
                </c:pt>
                <c:pt idx="318">
                  <c:v>1000000</c:v>
                </c:pt>
                <c:pt idx="319">
                  <c:v>6000</c:v>
                </c:pt>
                <c:pt idx="320">
                  <c:v>10000</c:v>
                </c:pt>
                <c:pt idx="321">
                  <c:v>72000000000</c:v>
                </c:pt>
                <c:pt idx="322">
                  <c:v>20000</c:v>
                </c:pt>
                <c:pt idx="323">
                  <c:v>1000</c:v>
                </c:pt>
                <c:pt idx="324">
                  <c:v>3200000000</c:v>
                </c:pt>
                <c:pt idx="325">
                  <c:v>1000000000</c:v>
                </c:pt>
                <c:pt idx="326">
                  <c:v>5000000000</c:v>
                </c:pt>
                <c:pt idx="327">
                  <c:v>2000000</c:v>
                </c:pt>
                <c:pt idx="328">
                  <c:v>20000000</c:v>
                </c:pt>
                <c:pt idx="329">
                  <c:v>600000000</c:v>
                </c:pt>
                <c:pt idx="330">
                  <c:v>15000000</c:v>
                </c:pt>
                <c:pt idx="331">
                  <c:v>30000000000</c:v>
                </c:pt>
                <c:pt idx="332">
                  <c:v>20000000</c:v>
                </c:pt>
                <c:pt idx="333">
                  <c:v>5000000000</c:v>
                </c:pt>
                <c:pt idx="334">
                  <c:v>80000000</c:v>
                </c:pt>
                <c:pt idx="335">
                  <c:v>100000000</c:v>
                </c:pt>
                <c:pt idx="336">
                  <c:v>50000000</c:v>
                </c:pt>
                <c:pt idx="337">
                  <c:v>100000000</c:v>
                </c:pt>
                <c:pt idx="338">
                  <c:v>160000000</c:v>
                </c:pt>
                <c:pt idx="339">
                  <c:v>200000000</c:v>
                </c:pt>
                <c:pt idx="340">
                  <c:v>300</c:v>
                </c:pt>
                <c:pt idx="341">
                  <c:v>200000000</c:v>
                </c:pt>
                <c:pt idx="342">
                  <c:v>4000</c:v>
                </c:pt>
                <c:pt idx="343">
                  <c:v>48000</c:v>
                </c:pt>
                <c:pt idx="344">
                  <c:v>80000</c:v>
                </c:pt>
                <c:pt idx="345">
                  <c:v>200000</c:v>
                </c:pt>
                <c:pt idx="346">
                  <c:v>1250000</c:v>
                </c:pt>
                <c:pt idx="347">
                  <c:v>80000000</c:v>
                </c:pt>
                <c:pt idx="348">
                  <c:v>30000000</c:v>
                </c:pt>
                <c:pt idx="349">
                  <c:v>44100</c:v>
                </c:pt>
                <c:pt idx="350">
                  <c:v>18000000000</c:v>
                </c:pt>
                <c:pt idx="351">
                  <c:v>10000000000</c:v>
                </c:pt>
                <c:pt idx="352">
                  <c:v>3300000000</c:v>
                </c:pt>
                <c:pt idx="353">
                  <c:v>100000000</c:v>
                </c:pt>
                <c:pt idx="354">
                  <c:v>40000000</c:v>
                </c:pt>
                <c:pt idx="355">
                  <c:v>1600000000</c:v>
                </c:pt>
                <c:pt idx="356">
                  <c:v>80000000</c:v>
                </c:pt>
                <c:pt idx="357">
                  <c:v>20000</c:v>
                </c:pt>
                <c:pt idx="358">
                  <c:v>25000</c:v>
                </c:pt>
                <c:pt idx="359">
                  <c:v>100000000000</c:v>
                </c:pt>
                <c:pt idx="360">
                  <c:v>48000</c:v>
                </c:pt>
                <c:pt idx="361" formatCode="0.00.E+00">
                  <c:v>48000</c:v>
                </c:pt>
                <c:pt idx="362">
                  <c:v>200000000</c:v>
                </c:pt>
                <c:pt idx="363">
                  <c:v>25000000</c:v>
                </c:pt>
                <c:pt idx="364">
                  <c:v>600000000</c:v>
                </c:pt>
                <c:pt idx="365">
                  <c:v>900000000</c:v>
                </c:pt>
                <c:pt idx="366">
                  <c:v>500000</c:v>
                </c:pt>
                <c:pt idx="367">
                  <c:v>6000</c:v>
                </c:pt>
                <c:pt idx="368">
                  <c:v>1250000</c:v>
                </c:pt>
                <c:pt idx="369">
                  <c:v>40000000</c:v>
                </c:pt>
                <c:pt idx="370">
                  <c:v>160000000</c:v>
                </c:pt>
                <c:pt idx="371">
                  <c:v>50000000</c:v>
                </c:pt>
                <c:pt idx="372">
                  <c:v>7000000</c:v>
                </c:pt>
                <c:pt idx="373">
                  <c:v>1000</c:v>
                </c:pt>
                <c:pt idx="374">
                  <c:v>2000</c:v>
                </c:pt>
                <c:pt idx="375">
                  <c:v>20000</c:v>
                </c:pt>
                <c:pt idx="376">
                  <c:v>20000</c:v>
                </c:pt>
                <c:pt idx="377">
                  <c:v>112000000000</c:v>
                </c:pt>
                <c:pt idx="378" formatCode="0.00.E+00">
                  <c:v>5000000000</c:v>
                </c:pt>
                <c:pt idx="379" formatCode="0.00.E+00">
                  <c:v>130000000</c:v>
                </c:pt>
                <c:pt idx="380" formatCode="0.00.E+00">
                  <c:v>200000000</c:v>
                </c:pt>
                <c:pt idx="381" formatCode="0.00.E+00">
                  <c:v>260000000</c:v>
                </c:pt>
                <c:pt idx="382" formatCode="0.00.E+00">
                  <c:v>2000000</c:v>
                </c:pt>
                <c:pt idx="383" formatCode="0.00.E+00">
                  <c:v>2702.7027027027029</c:v>
                </c:pt>
                <c:pt idx="384" formatCode="0.00.E+00">
                  <c:v>20000</c:v>
                </c:pt>
                <c:pt idx="385" formatCode="0.00.E+00">
                  <c:v>5000</c:v>
                </c:pt>
                <c:pt idx="386">
                  <c:v>2000</c:v>
                </c:pt>
                <c:pt idx="387">
                  <c:v>40000</c:v>
                </c:pt>
                <c:pt idx="388">
                  <c:v>720000000</c:v>
                </c:pt>
                <c:pt idx="389">
                  <c:v>240000000</c:v>
                </c:pt>
                <c:pt idx="390">
                  <c:v>1000000</c:v>
                </c:pt>
                <c:pt idx="391">
                  <c:v>24000000</c:v>
                </c:pt>
                <c:pt idx="392">
                  <c:v>16000</c:v>
                </c:pt>
                <c:pt idx="393">
                  <c:v>1800000000</c:v>
                </c:pt>
                <c:pt idx="394">
                  <c:v>2600000000</c:v>
                </c:pt>
                <c:pt idx="395">
                  <c:v>2000000000</c:v>
                </c:pt>
                <c:pt idx="396">
                  <c:v>12000000</c:v>
                </c:pt>
                <c:pt idx="397">
                  <c:v>50000000</c:v>
                </c:pt>
                <c:pt idx="398">
                  <c:v>300000</c:v>
                </c:pt>
                <c:pt idx="399">
                  <c:v>200000000</c:v>
                </c:pt>
                <c:pt idx="400">
                  <c:v>2800000000</c:v>
                </c:pt>
                <c:pt idx="401">
                  <c:v>1250000000</c:v>
                </c:pt>
                <c:pt idx="402">
                  <c:v>24000000000</c:v>
                </c:pt>
                <c:pt idx="403">
                  <c:v>1000000000</c:v>
                </c:pt>
                <c:pt idx="404">
                  <c:v>4500000000</c:v>
                </c:pt>
                <c:pt idx="405">
                  <c:v>2700000000</c:v>
                </c:pt>
                <c:pt idx="406">
                  <c:v>10000000000</c:v>
                </c:pt>
                <c:pt idx="407">
                  <c:v>40000000000</c:v>
                </c:pt>
                <c:pt idx="408">
                  <c:v>2000</c:v>
                </c:pt>
                <c:pt idx="409">
                  <c:v>5000</c:v>
                </c:pt>
                <c:pt idx="410" formatCode="0.00.E+00">
                  <c:v>2000000</c:v>
                </c:pt>
                <c:pt idx="411" formatCode="0.00.E+00">
                  <c:v>200000000</c:v>
                </c:pt>
                <c:pt idx="412" formatCode="0.00.E+00">
                  <c:v>400000000</c:v>
                </c:pt>
                <c:pt idx="413" formatCode="0.00.E+00">
                  <c:v>400000000</c:v>
                </c:pt>
                <c:pt idx="414">
                  <c:v>50000000</c:v>
                </c:pt>
                <c:pt idx="415">
                  <c:v>40000</c:v>
                </c:pt>
                <c:pt idx="416">
                  <c:v>8000000</c:v>
                </c:pt>
                <c:pt idx="417">
                  <c:v>200000</c:v>
                </c:pt>
                <c:pt idx="418">
                  <c:v>40000000</c:v>
                </c:pt>
                <c:pt idx="419">
                  <c:v>2000000</c:v>
                </c:pt>
                <c:pt idx="420" formatCode="0.00.E+00">
                  <c:v>105000000000</c:v>
                </c:pt>
                <c:pt idx="421" formatCode="0.00.E+00">
                  <c:v>200000000000</c:v>
                </c:pt>
                <c:pt idx="422" formatCode="0.00.E+00">
                  <c:v>12000000000</c:v>
                </c:pt>
                <c:pt idx="423" formatCode="0.00.E+00">
                  <c:v>6400000000</c:v>
                </c:pt>
                <c:pt idx="424" formatCode="0.00.E+00">
                  <c:v>40000000000</c:v>
                </c:pt>
                <c:pt idx="425" formatCode="0.00.E+00">
                  <c:v>4800000000</c:v>
                </c:pt>
                <c:pt idx="426" formatCode="0.00.E+00">
                  <c:v>42000000000</c:v>
                </c:pt>
              </c:numCache>
            </c:numRef>
          </c:xVal>
          <c:yVal>
            <c:numRef>
              <c:f>ISSCC!$AF$2:$AF$428</c:f>
              <c:numCache>
                <c:formatCode>0.0</c:formatCode>
                <c:ptCount val="427"/>
                <c:pt idx="0">
                  <c:v>109339.8036957196</c:v>
                </c:pt>
                <c:pt idx="1">
                  <c:v>4632.7741547883852</c:v>
                </c:pt>
                <c:pt idx="2">
                  <c:v>8762.357219976253</c:v>
                </c:pt>
                <c:pt idx="3">
                  <c:v>65521.324450269094</c:v>
                </c:pt>
                <c:pt idx="4">
                  <c:v>1809.5020894018626</c:v>
                </c:pt>
                <c:pt idx="5">
                  <c:v>9549.661831950154</c:v>
                </c:pt>
                <c:pt idx="6">
                  <c:v>29987.334712030333</c:v>
                </c:pt>
                <c:pt idx="7">
                  <c:v>39165.851639104651</c:v>
                </c:pt>
                <c:pt idx="8">
                  <c:v>85371.466280255001</c:v>
                </c:pt>
                <c:pt idx="9">
                  <c:v>315924.42595246487</c:v>
                </c:pt>
                <c:pt idx="10">
                  <c:v>30619.848333036189</c:v>
                </c:pt>
                <c:pt idx="11">
                  <c:v>1114.8033831440021</c:v>
                </c:pt>
                <c:pt idx="12">
                  <c:v>10444.227103761239</c:v>
                </c:pt>
                <c:pt idx="13">
                  <c:v>1215.0939459710187</c:v>
                </c:pt>
                <c:pt idx="14">
                  <c:v>8214.7228554220892</c:v>
                </c:pt>
                <c:pt idx="15">
                  <c:v>30741.367249462306</c:v>
                </c:pt>
                <c:pt idx="16">
                  <c:v>25036.472550455492</c:v>
                </c:pt>
                <c:pt idx="17">
                  <c:v>14485.076882354591</c:v>
                </c:pt>
                <c:pt idx="18">
                  <c:v>7813.2153852025058</c:v>
                </c:pt>
                <c:pt idx="19">
                  <c:v>22180.369694339977</c:v>
                </c:pt>
                <c:pt idx="20">
                  <c:v>21224.295320925372</c:v>
                </c:pt>
                <c:pt idx="21">
                  <c:v>1223.7039590232371</c:v>
                </c:pt>
                <c:pt idx="22">
                  <c:v>694.75668580656588</c:v>
                </c:pt>
                <c:pt idx="23">
                  <c:v>6207.65403954676</c:v>
                </c:pt>
                <c:pt idx="24">
                  <c:v>122682.78580300682</c:v>
                </c:pt>
                <c:pt idx="25">
                  <c:v>137994.70789146892</c:v>
                </c:pt>
                <c:pt idx="26">
                  <c:v>44143.31761455474</c:v>
                </c:pt>
                <c:pt idx="27">
                  <c:v>34999.403003815918</c:v>
                </c:pt>
                <c:pt idx="28">
                  <c:v>3907.4407650107246</c:v>
                </c:pt>
                <c:pt idx="29">
                  <c:v>5330.249702406496</c:v>
                </c:pt>
                <c:pt idx="30">
                  <c:v>17677.669529663686</c:v>
                </c:pt>
                <c:pt idx="31">
                  <c:v>34073.416478507315</c:v>
                </c:pt>
                <c:pt idx="32">
                  <c:v>2719.8508082711564</c:v>
                </c:pt>
                <c:pt idx="33">
                  <c:v>12266.196257019459</c:v>
                </c:pt>
                <c:pt idx="34">
                  <c:v>2559.8533244820019</c:v>
                </c:pt>
                <c:pt idx="35">
                  <c:v>13126.19343856709</c:v>
                </c:pt>
                <c:pt idx="36">
                  <c:v>23315.141683901769</c:v>
                </c:pt>
                <c:pt idx="37">
                  <c:v>9748.7074366343604</c:v>
                </c:pt>
                <c:pt idx="38">
                  <c:v>5122.0913462278095</c:v>
                </c:pt>
                <c:pt idx="39">
                  <c:v>8337.0802296787897</c:v>
                </c:pt>
                <c:pt idx="40">
                  <c:v>4320.8094359079587</c:v>
                </c:pt>
                <c:pt idx="41">
                  <c:v>10641.25073839902</c:v>
                </c:pt>
                <c:pt idx="42">
                  <c:v>4656.8089601404463</c:v>
                </c:pt>
                <c:pt idx="43">
                  <c:v>1021.1003612677335</c:v>
                </c:pt>
                <c:pt idx="44">
                  <c:v>2049.3047423611893</c:v>
                </c:pt>
                <c:pt idx="45">
                  <c:v>9126.1483900944786</c:v>
                </c:pt>
                <c:pt idx="46">
                  <c:v>5431.3663095991287</c:v>
                </c:pt>
                <c:pt idx="47">
                  <c:v>3068.9984181125528</c:v>
                </c:pt>
                <c:pt idx="48">
                  <c:v>2986.0920197726091</c:v>
                </c:pt>
                <c:pt idx="49">
                  <c:v>1188.5347604369215</c:v>
                </c:pt>
                <c:pt idx="50">
                  <c:v>5249.0234375</c:v>
                </c:pt>
                <c:pt idx="51">
                  <c:v>15642.705434227235</c:v>
                </c:pt>
                <c:pt idx="52">
                  <c:v>8049.242424242424</c:v>
                </c:pt>
                <c:pt idx="53">
                  <c:v>2155.692863576432</c:v>
                </c:pt>
                <c:pt idx="54">
                  <c:v>3449.5334869426124</c:v>
                </c:pt>
                <c:pt idx="55">
                  <c:v>1302.3821441266882</c:v>
                </c:pt>
                <c:pt idx="56">
                  <c:v>1305.827989357691</c:v>
                </c:pt>
                <c:pt idx="57">
                  <c:v>20661.185717469445</c:v>
                </c:pt>
                <c:pt idx="58">
                  <c:v>8260.9737498706163</c:v>
                </c:pt>
                <c:pt idx="59">
                  <c:v>24109.709524431451</c:v>
                </c:pt>
                <c:pt idx="60">
                  <c:v>2478.2229306051963</c:v>
                </c:pt>
                <c:pt idx="61">
                  <c:v>319.23752215197061</c:v>
                </c:pt>
                <c:pt idx="62">
                  <c:v>5822.2796738830693</c:v>
                </c:pt>
                <c:pt idx="63">
                  <c:v>3148.4922259940768</c:v>
                </c:pt>
                <c:pt idx="64">
                  <c:v>573.03281438692875</c:v>
                </c:pt>
                <c:pt idx="65">
                  <c:v>3416.2917175364601</c:v>
                </c:pt>
                <c:pt idx="66">
                  <c:v>680.09708202028014</c:v>
                </c:pt>
                <c:pt idx="67">
                  <c:v>5533.4503839674899</c:v>
                </c:pt>
                <c:pt idx="68">
                  <c:v>2265.1610379278245</c:v>
                </c:pt>
                <c:pt idx="69">
                  <c:v>3044.738265655405</c:v>
                </c:pt>
                <c:pt idx="70">
                  <c:v>2186.0843433823516</c:v>
                </c:pt>
                <c:pt idx="71">
                  <c:v>9457.7599631776284</c:v>
                </c:pt>
                <c:pt idx="72">
                  <c:v>422.25806098331623</c:v>
                </c:pt>
                <c:pt idx="73">
                  <c:v>144.35903080290382</c:v>
                </c:pt>
                <c:pt idx="74">
                  <c:v>2440.9799753945549</c:v>
                </c:pt>
                <c:pt idx="75">
                  <c:v>482.72572146720336</c:v>
                </c:pt>
                <c:pt idx="76">
                  <c:v>5128.3246952859072</c:v>
                </c:pt>
                <c:pt idx="77">
                  <c:v>20617.311105826484</c:v>
                </c:pt>
                <c:pt idx="78">
                  <c:v>6000.5490152376597</c:v>
                </c:pt>
                <c:pt idx="79">
                  <c:v>1294.4871522079202</c:v>
                </c:pt>
                <c:pt idx="80">
                  <c:v>2520.9458848553281</c:v>
                </c:pt>
                <c:pt idx="81">
                  <c:v>2113.5458092492231</c:v>
                </c:pt>
                <c:pt idx="82">
                  <c:v>4006.3419189349675</c:v>
                </c:pt>
                <c:pt idx="83">
                  <c:v>429.00777233481517</c:v>
                </c:pt>
                <c:pt idx="84">
                  <c:v>5302.0800887231335</c:v>
                </c:pt>
                <c:pt idx="85">
                  <c:v>2458.8951161593263</c:v>
                </c:pt>
                <c:pt idx="86">
                  <c:v>470.81861318351434</c:v>
                </c:pt>
                <c:pt idx="87">
                  <c:v>1226.7546018557855</c:v>
                </c:pt>
                <c:pt idx="88">
                  <c:v>381.65698724402233</c:v>
                </c:pt>
                <c:pt idx="89">
                  <c:v>1322.2046035750379</c:v>
                </c:pt>
                <c:pt idx="90">
                  <c:v>9220.8566855974714</c:v>
                </c:pt>
                <c:pt idx="91">
                  <c:v>712.23817218562806</c:v>
                </c:pt>
                <c:pt idx="92">
                  <c:v>4978.7715902297195</c:v>
                </c:pt>
                <c:pt idx="93">
                  <c:v>1841.4239093399681</c:v>
                </c:pt>
                <c:pt idx="94">
                  <c:v>2116.7313455183853</c:v>
                </c:pt>
                <c:pt idx="95">
                  <c:v>3111.3555721233656</c:v>
                </c:pt>
                <c:pt idx="96">
                  <c:v>865.92706644471218</c:v>
                </c:pt>
                <c:pt idx="97">
                  <c:v>11631.419556155899</c:v>
                </c:pt>
                <c:pt idx="98">
                  <c:v>575.04662170511062</c:v>
                </c:pt>
                <c:pt idx="99">
                  <c:v>3027.5146117711706</c:v>
                </c:pt>
                <c:pt idx="100">
                  <c:v>2844.23828125</c:v>
                </c:pt>
                <c:pt idx="101">
                  <c:v>3394.3738087224033</c:v>
                </c:pt>
                <c:pt idx="102">
                  <c:v>2863.2552636182741</c:v>
                </c:pt>
                <c:pt idx="103">
                  <c:v>2707.0980897614513</c:v>
                </c:pt>
                <c:pt idx="104">
                  <c:v>805.6640625</c:v>
                </c:pt>
                <c:pt idx="105">
                  <c:v>12724.819081415721</c:v>
                </c:pt>
                <c:pt idx="106">
                  <c:v>2271.7677812144193</c:v>
                </c:pt>
                <c:pt idx="107">
                  <c:v>1810.9812622768402</c:v>
                </c:pt>
                <c:pt idx="108">
                  <c:v>267.94421309496329</c:v>
                </c:pt>
                <c:pt idx="109">
                  <c:v>2905.1871637674112</c:v>
                </c:pt>
                <c:pt idx="110">
                  <c:v>3103.3002000389038</c:v>
                </c:pt>
                <c:pt idx="111">
                  <c:v>7775.6725712788812</c:v>
                </c:pt>
                <c:pt idx="112">
                  <c:v>8987.5696716453676</c:v>
                </c:pt>
                <c:pt idx="113">
                  <c:v>789.00430887778373</c:v>
                </c:pt>
                <c:pt idx="114">
                  <c:v>1523.4659875839729</c:v>
                </c:pt>
                <c:pt idx="115">
                  <c:v>808.89318883853196</c:v>
                </c:pt>
                <c:pt idx="116">
                  <c:v>792.25383174013257</c:v>
                </c:pt>
                <c:pt idx="117">
                  <c:v>258.65225164778167</c:v>
                </c:pt>
                <c:pt idx="118">
                  <c:v>3542.3310103481326</c:v>
                </c:pt>
                <c:pt idx="119">
                  <c:v>275.92609441703985</c:v>
                </c:pt>
                <c:pt idx="120">
                  <c:v>1220.703125</c:v>
                </c:pt>
                <c:pt idx="121">
                  <c:v>909.34324491773441</c:v>
                </c:pt>
                <c:pt idx="122">
                  <c:v>415.31401398884969</c:v>
                </c:pt>
                <c:pt idx="123">
                  <c:v>122.07031250000001</c:v>
                </c:pt>
                <c:pt idx="124">
                  <c:v>4277.7207762721819</c:v>
                </c:pt>
                <c:pt idx="125">
                  <c:v>20310.45406717249</c:v>
                </c:pt>
                <c:pt idx="126">
                  <c:v>178.54085942734014</c:v>
                </c:pt>
                <c:pt idx="127">
                  <c:v>475.99365728701378</c:v>
                </c:pt>
                <c:pt idx="128">
                  <c:v>1464.8437499999998</c:v>
                </c:pt>
                <c:pt idx="129">
                  <c:v>1223.5174170742775</c:v>
                </c:pt>
                <c:pt idx="130">
                  <c:v>695.49666882336703</c:v>
                </c:pt>
                <c:pt idx="131">
                  <c:v>545.33547118643753</c:v>
                </c:pt>
                <c:pt idx="132">
                  <c:v>820.42562499477344</c:v>
                </c:pt>
                <c:pt idx="133">
                  <c:v>683.37377309824819</c:v>
                </c:pt>
                <c:pt idx="134">
                  <c:v>763.11453757423135</c:v>
                </c:pt>
                <c:pt idx="135">
                  <c:v>172.03820584193917</c:v>
                </c:pt>
                <c:pt idx="136">
                  <c:v>1373.8139807861796</c:v>
                </c:pt>
                <c:pt idx="137">
                  <c:v>506.80981341061516</c:v>
                </c:pt>
                <c:pt idx="138">
                  <c:v>3662.2647211990848</c:v>
                </c:pt>
                <c:pt idx="139">
                  <c:v>159.36050956356678</c:v>
                </c:pt>
                <c:pt idx="140">
                  <c:v>1374.684528198796</c:v>
                </c:pt>
                <c:pt idx="141">
                  <c:v>2163.8600362111265</c:v>
                </c:pt>
                <c:pt idx="142">
                  <c:v>16695.817544721391</c:v>
                </c:pt>
                <c:pt idx="143">
                  <c:v>242.08560201998509</c:v>
                </c:pt>
                <c:pt idx="144">
                  <c:v>768.58106245589283</c:v>
                </c:pt>
                <c:pt idx="145">
                  <c:v>607.84521332359134</c:v>
                </c:pt>
                <c:pt idx="146">
                  <c:v>888.0117795655575</c:v>
                </c:pt>
                <c:pt idx="147">
                  <c:v>349.86676667367487</c:v>
                </c:pt>
                <c:pt idx="148">
                  <c:v>245.33726399936481</c:v>
                </c:pt>
                <c:pt idx="149">
                  <c:v>85.851133650002964</c:v>
                </c:pt>
                <c:pt idx="150">
                  <c:v>1143.3235239589981</c:v>
                </c:pt>
                <c:pt idx="151">
                  <c:v>267.65541245288114</c:v>
                </c:pt>
                <c:pt idx="152">
                  <c:v>956.72328233754672</c:v>
                </c:pt>
                <c:pt idx="153">
                  <c:v>270.83286292739029</c:v>
                </c:pt>
                <c:pt idx="154">
                  <c:v>647.60575081966783</c:v>
                </c:pt>
                <c:pt idx="155">
                  <c:v>503.26526622415582</c:v>
                </c:pt>
                <c:pt idx="156">
                  <c:v>1101.8629420584023</c:v>
                </c:pt>
                <c:pt idx="157">
                  <c:v>1068.360352603924</c:v>
                </c:pt>
                <c:pt idx="158">
                  <c:v>54.26215708944153</c:v>
                </c:pt>
                <c:pt idx="159">
                  <c:v>223.41303022780005</c:v>
                </c:pt>
                <c:pt idx="160">
                  <c:v>10.894303486548832</c:v>
                </c:pt>
                <c:pt idx="161">
                  <c:v>4.4308935177296833</c:v>
                </c:pt>
                <c:pt idx="162">
                  <c:v>55.465416111778318</c:v>
                </c:pt>
                <c:pt idx="163">
                  <c:v>690.83901590346795</c:v>
                </c:pt>
                <c:pt idx="164">
                  <c:v>61.791296242776433</c:v>
                </c:pt>
                <c:pt idx="165">
                  <c:v>64.529177435626707</c:v>
                </c:pt>
                <c:pt idx="166">
                  <c:v>98.140368148462912</c:v>
                </c:pt>
                <c:pt idx="167">
                  <c:v>410.47689641125606</c:v>
                </c:pt>
                <c:pt idx="168">
                  <c:v>327.13456049487633</c:v>
                </c:pt>
                <c:pt idx="169">
                  <c:v>538.5599954941498</c:v>
                </c:pt>
                <c:pt idx="170">
                  <c:v>485.9260648245484</c:v>
                </c:pt>
                <c:pt idx="171">
                  <c:v>340.76516718216294</c:v>
                </c:pt>
                <c:pt idx="172">
                  <c:v>5492.2316950663744</c:v>
                </c:pt>
                <c:pt idx="173">
                  <c:v>309.86722852737955</c:v>
                </c:pt>
                <c:pt idx="174">
                  <c:v>787.20762017727714</c:v>
                </c:pt>
                <c:pt idx="175">
                  <c:v>4419.4173824159197</c:v>
                </c:pt>
                <c:pt idx="176">
                  <c:v>1114.173480256319</c:v>
                </c:pt>
                <c:pt idx="177">
                  <c:v>1667.9195430559043</c:v>
                </c:pt>
                <c:pt idx="178">
                  <c:v>127.61373530217575</c:v>
                </c:pt>
                <c:pt idx="179">
                  <c:v>555.11975432946429</c:v>
                </c:pt>
                <c:pt idx="180">
                  <c:v>2207.2411310986704</c:v>
                </c:pt>
                <c:pt idx="181">
                  <c:v>134.66367944553269</c:v>
                </c:pt>
                <c:pt idx="182">
                  <c:v>433.2758860726376</c:v>
                </c:pt>
                <c:pt idx="183">
                  <c:v>301.39592295537926</c:v>
                </c:pt>
                <c:pt idx="184">
                  <c:v>532.32372250386049</c:v>
                </c:pt>
                <c:pt idx="185">
                  <c:v>577.5762334077491</c:v>
                </c:pt>
                <c:pt idx="186">
                  <c:v>298.11509599451404</c:v>
                </c:pt>
                <c:pt idx="187">
                  <c:v>87.486764109913352</c:v>
                </c:pt>
                <c:pt idx="188">
                  <c:v>96.769703630543205</c:v>
                </c:pt>
                <c:pt idx="189">
                  <c:v>331.19127294087428</c:v>
                </c:pt>
                <c:pt idx="190">
                  <c:v>153.88391734370984</c:v>
                </c:pt>
                <c:pt idx="191">
                  <c:v>321.24702698434965</c:v>
                </c:pt>
                <c:pt idx="192">
                  <c:v>1175.0209459004443</c:v>
                </c:pt>
                <c:pt idx="193">
                  <c:v>1219.2105148306107</c:v>
                </c:pt>
                <c:pt idx="194">
                  <c:v>554.75538898814773</c:v>
                </c:pt>
                <c:pt idx="195">
                  <c:v>2152.9260105668764</c:v>
                </c:pt>
                <c:pt idx="196">
                  <c:v>40.309227536552257</c:v>
                </c:pt>
                <c:pt idx="197">
                  <c:v>297.73338142606161</c:v>
                </c:pt>
                <c:pt idx="198">
                  <c:v>111.16106972905051</c:v>
                </c:pt>
                <c:pt idx="199">
                  <c:v>344.30375573461475</c:v>
                </c:pt>
                <c:pt idx="200">
                  <c:v>1027.7546303423933</c:v>
                </c:pt>
                <c:pt idx="201">
                  <c:v>36.305206511176117</c:v>
                </c:pt>
                <c:pt idx="202">
                  <c:v>87.795561028110711</c:v>
                </c:pt>
                <c:pt idx="203">
                  <c:v>29.687292981388563</c:v>
                </c:pt>
                <c:pt idx="204">
                  <c:v>21.918366449221072</c:v>
                </c:pt>
                <c:pt idx="205">
                  <c:v>31.355717459161184</c:v>
                </c:pt>
                <c:pt idx="206">
                  <c:v>2511.9690528194374</c:v>
                </c:pt>
                <c:pt idx="207">
                  <c:v>849.24891264189409</c:v>
                </c:pt>
                <c:pt idx="208">
                  <c:v>789.5554519910321</c:v>
                </c:pt>
                <c:pt idx="209">
                  <c:v>180.22461404143124</c:v>
                </c:pt>
                <c:pt idx="210">
                  <c:v>271.98508082711567</c:v>
                </c:pt>
                <c:pt idx="211">
                  <c:v>116.89810464736294</c:v>
                </c:pt>
                <c:pt idx="212">
                  <c:v>22.416713817307024</c:v>
                </c:pt>
                <c:pt idx="213">
                  <c:v>704.66849112858279</c:v>
                </c:pt>
                <c:pt idx="214">
                  <c:v>130.86163818987396</c:v>
                </c:pt>
                <c:pt idx="215">
                  <c:v>209.53586058399671</c:v>
                </c:pt>
                <c:pt idx="216">
                  <c:v>409.01204190264815</c:v>
                </c:pt>
                <c:pt idx="217">
                  <c:v>108.07326223657691</c:v>
                </c:pt>
                <c:pt idx="218">
                  <c:v>193.47728615270947</c:v>
                </c:pt>
                <c:pt idx="219">
                  <c:v>385.16109371620723</c:v>
                </c:pt>
                <c:pt idx="220">
                  <c:v>447.59103393554688</c:v>
                </c:pt>
                <c:pt idx="221">
                  <c:v>123.2282010165171</c:v>
                </c:pt>
                <c:pt idx="222">
                  <c:v>87.724592753796031</c:v>
                </c:pt>
                <c:pt idx="223">
                  <c:v>72.679889931542476</c:v>
                </c:pt>
                <c:pt idx="224">
                  <c:v>190.35117825804409</c:v>
                </c:pt>
                <c:pt idx="225">
                  <c:v>1250</c:v>
                </c:pt>
                <c:pt idx="226">
                  <c:v>45.098934454859958</c:v>
                </c:pt>
                <c:pt idx="227">
                  <c:v>46.416142784683593</c:v>
                </c:pt>
                <c:pt idx="228">
                  <c:v>13.189813438469317</c:v>
                </c:pt>
                <c:pt idx="229">
                  <c:v>35.77769886363636</c:v>
                </c:pt>
                <c:pt idx="230">
                  <c:v>178.82898406470704</c:v>
                </c:pt>
                <c:pt idx="231">
                  <c:v>6.4536369433450549</c:v>
                </c:pt>
                <c:pt idx="232">
                  <c:v>31.287470385121292</c:v>
                </c:pt>
                <c:pt idx="233">
                  <c:v>590.03540992172532</c:v>
                </c:pt>
                <c:pt idx="234">
                  <c:v>27.695177401069611</c:v>
                </c:pt>
                <c:pt idx="235">
                  <c:v>2.2095751996843358</c:v>
                </c:pt>
                <c:pt idx="236">
                  <c:v>36.053194638287593</c:v>
                </c:pt>
                <c:pt idx="237">
                  <c:v>1475.6793765028942</c:v>
                </c:pt>
                <c:pt idx="238">
                  <c:v>314.7734909042959</c:v>
                </c:pt>
                <c:pt idx="239">
                  <c:v>2.3590557836783144</c:v>
                </c:pt>
                <c:pt idx="240">
                  <c:v>299.91708213411749</c:v>
                </c:pt>
                <c:pt idx="241">
                  <c:v>39.360283131427607</c:v>
                </c:pt>
                <c:pt idx="242">
                  <c:v>699.77474365260582</c:v>
                </c:pt>
                <c:pt idx="243">
                  <c:v>854.72078254765142</c:v>
                </c:pt>
                <c:pt idx="244">
                  <c:v>10427.08032157151</c:v>
                </c:pt>
                <c:pt idx="245">
                  <c:v>33.83398333511726</c:v>
                </c:pt>
                <c:pt idx="246">
                  <c:v>40.451525372830694</c:v>
                </c:pt>
                <c:pt idx="247">
                  <c:v>129.51614438814306</c:v>
                </c:pt>
                <c:pt idx="248">
                  <c:v>4.4060981035566495</c:v>
                </c:pt>
                <c:pt idx="249">
                  <c:v>0.85012125376347691</c:v>
                </c:pt>
                <c:pt idx="250">
                  <c:v>10.338683583834532</c:v>
                </c:pt>
                <c:pt idx="251">
                  <c:v>11.499558990955745</c:v>
                </c:pt>
                <c:pt idx="252">
                  <c:v>46.096011827238421</c:v>
                </c:pt>
                <c:pt idx="253">
                  <c:v>121.85884295792953</c:v>
                </c:pt>
                <c:pt idx="254">
                  <c:v>203.10829754381137</c:v>
                </c:pt>
                <c:pt idx="255">
                  <c:v>124.11109591504591</c:v>
                </c:pt>
                <c:pt idx="256">
                  <c:v>80.443430500621076</c:v>
                </c:pt>
                <c:pt idx="257">
                  <c:v>62.260766712116371</c:v>
                </c:pt>
                <c:pt idx="258">
                  <c:v>279.72902746474853</c:v>
                </c:pt>
                <c:pt idx="259">
                  <c:v>205.66022172868537</c:v>
                </c:pt>
                <c:pt idx="260">
                  <c:v>291.43927104877224</c:v>
                </c:pt>
                <c:pt idx="261">
                  <c:v>737.28085391681896</c:v>
                </c:pt>
                <c:pt idx="262">
                  <c:v>584.58974700583769</c:v>
                </c:pt>
                <c:pt idx="263">
                  <c:v>295.62755520279796</c:v>
                </c:pt>
                <c:pt idx="264">
                  <c:v>28824.972093221837</c:v>
                </c:pt>
                <c:pt idx="265">
                  <c:v>177.71810147679855</c:v>
                </c:pt>
                <c:pt idx="266">
                  <c:v>37.784890985632011</c:v>
                </c:pt>
                <c:pt idx="267">
                  <c:v>2.4145873316138085</c:v>
                </c:pt>
                <c:pt idx="268">
                  <c:v>126.21116869198528</c:v>
                </c:pt>
                <c:pt idx="269">
                  <c:v>363.05006336361339</c:v>
                </c:pt>
                <c:pt idx="270">
                  <c:v>849.34192837787077</c:v>
                </c:pt>
                <c:pt idx="271">
                  <c:v>1.4696229816166706</c:v>
                </c:pt>
                <c:pt idx="272">
                  <c:v>6.9772694334280789</c:v>
                </c:pt>
                <c:pt idx="273">
                  <c:v>5.4861444470841558</c:v>
                </c:pt>
                <c:pt idx="274">
                  <c:v>162.37808358355454</c:v>
                </c:pt>
                <c:pt idx="275">
                  <c:v>20.732676070064269</c:v>
                </c:pt>
                <c:pt idx="276">
                  <c:v>39.016489186202392</c:v>
                </c:pt>
                <c:pt idx="277">
                  <c:v>181.92832591456408</c:v>
                </c:pt>
                <c:pt idx="278">
                  <c:v>30.536935820666308</c:v>
                </c:pt>
                <c:pt idx="279">
                  <c:v>346.74046002120161</c:v>
                </c:pt>
                <c:pt idx="280">
                  <c:v>57.688336839256635</c:v>
                </c:pt>
                <c:pt idx="281">
                  <c:v>143.10520851727159</c:v>
                </c:pt>
                <c:pt idx="282">
                  <c:v>23.578635977574883</c:v>
                </c:pt>
                <c:pt idx="283">
                  <c:v>84.807599510028098</c:v>
                </c:pt>
                <c:pt idx="284">
                  <c:v>760.51826379802912</c:v>
                </c:pt>
                <c:pt idx="285">
                  <c:v>82.811998345263234</c:v>
                </c:pt>
                <c:pt idx="286">
                  <c:v>613.68135135423745</c:v>
                </c:pt>
                <c:pt idx="287">
                  <c:v>12308.482294042691</c:v>
                </c:pt>
                <c:pt idx="288">
                  <c:v>85.580570394391302</c:v>
                </c:pt>
                <c:pt idx="289">
                  <c:v>28.721486561434354</c:v>
                </c:pt>
                <c:pt idx="290">
                  <c:v>2.5719100797279011</c:v>
                </c:pt>
                <c:pt idx="291">
                  <c:v>1130.0428737326542</c:v>
                </c:pt>
                <c:pt idx="292">
                  <c:v>145.47588351252926</c:v>
                </c:pt>
                <c:pt idx="293">
                  <c:v>25.5623702827321</c:v>
                </c:pt>
                <c:pt idx="294">
                  <c:v>68.047848470468765</c:v>
                </c:pt>
                <c:pt idx="295">
                  <c:v>4272.4609375</c:v>
                </c:pt>
                <c:pt idx="296">
                  <c:v>214.18084930947501</c:v>
                </c:pt>
                <c:pt idx="297">
                  <c:v>714.50593197138357</c:v>
                </c:pt>
                <c:pt idx="298">
                  <c:v>25.355254626752252</c:v>
                </c:pt>
                <c:pt idx="299">
                  <c:v>162.85304617210741</c:v>
                </c:pt>
                <c:pt idx="300">
                  <c:v>631.15019485621724</c:v>
                </c:pt>
                <c:pt idx="301">
                  <c:v>12.709599655709148</c:v>
                </c:pt>
                <c:pt idx="302">
                  <c:v>461.85637223613446</c:v>
                </c:pt>
                <c:pt idx="303">
                  <c:v>5.825986614829235</c:v>
                </c:pt>
                <c:pt idx="304">
                  <c:v>44.400898597221001</c:v>
                </c:pt>
                <c:pt idx="305">
                  <c:v>67.159007103148866</c:v>
                </c:pt>
                <c:pt idx="306">
                  <c:v>15.440681930358231</c:v>
                </c:pt>
                <c:pt idx="307">
                  <c:v>17.65118932644711</c:v>
                </c:pt>
                <c:pt idx="308">
                  <c:v>117.16397035683583</c:v>
                </c:pt>
                <c:pt idx="309">
                  <c:v>12.803772436402847</c:v>
                </c:pt>
                <c:pt idx="310">
                  <c:v>240.11271426985093</c:v>
                </c:pt>
                <c:pt idx="311">
                  <c:v>79.761061882511044</c:v>
                </c:pt>
                <c:pt idx="312">
                  <c:v>80.504864891025207</c:v>
                </c:pt>
                <c:pt idx="313">
                  <c:v>11.634705740044655</c:v>
                </c:pt>
                <c:pt idx="314">
                  <c:v>9.2253831362878653</c:v>
                </c:pt>
                <c:pt idx="315">
                  <c:v>314.73131760668912</c:v>
                </c:pt>
                <c:pt idx="316">
                  <c:v>211.63686007733961</c:v>
                </c:pt>
                <c:pt idx="317">
                  <c:v>0.60617651860962363</c:v>
                </c:pt>
                <c:pt idx="318">
                  <c:v>202.75391780242197</c:v>
                </c:pt>
                <c:pt idx="319">
                  <c:v>36.71394594106853</c:v>
                </c:pt>
                <c:pt idx="320">
                  <c:v>18.695115198829903</c:v>
                </c:pt>
                <c:pt idx="321">
                  <c:v>77.906506144026437</c:v>
                </c:pt>
                <c:pt idx="322">
                  <c:v>245.5435350837237</c:v>
                </c:pt>
                <c:pt idx="323">
                  <c:v>480.91578646285825</c:v>
                </c:pt>
                <c:pt idx="324">
                  <c:v>19.275774413033329</c:v>
                </c:pt>
                <c:pt idx="325">
                  <c:v>9.298724734633522</c:v>
                </c:pt>
                <c:pt idx="326">
                  <c:v>46.137117961105545</c:v>
                </c:pt>
                <c:pt idx="327">
                  <c:v>4.0088707767613165</c:v>
                </c:pt>
                <c:pt idx="328">
                  <c:v>1.4139656423412064</c:v>
                </c:pt>
                <c:pt idx="329">
                  <c:v>11.959384058513221</c:v>
                </c:pt>
                <c:pt idx="330">
                  <c:v>31.820361654202916</c:v>
                </c:pt>
                <c:pt idx="331">
                  <c:v>54.838030832661879</c:v>
                </c:pt>
                <c:pt idx="332">
                  <c:v>108.16845349755975</c:v>
                </c:pt>
                <c:pt idx="333">
                  <c:v>30.537916673710392</c:v>
                </c:pt>
                <c:pt idx="334">
                  <c:v>8.9432825072381927</c:v>
                </c:pt>
                <c:pt idx="335">
                  <c:v>48.039816733060249</c:v>
                </c:pt>
                <c:pt idx="336">
                  <c:v>18.5546875</c:v>
                </c:pt>
                <c:pt idx="337">
                  <c:v>52.845735720270227</c:v>
                </c:pt>
                <c:pt idx="338">
                  <c:v>31.89109169835211</c:v>
                </c:pt>
                <c:pt idx="339">
                  <c:v>23.377853702310805</c:v>
                </c:pt>
                <c:pt idx="340">
                  <c:v>420.66590148817227</c:v>
                </c:pt>
                <c:pt idx="341">
                  <c:v>91.550778436199636</c:v>
                </c:pt>
                <c:pt idx="342">
                  <c:v>2484.2322751963397</c:v>
                </c:pt>
                <c:pt idx="343">
                  <c:v>36.591233780554667</c:v>
                </c:pt>
                <c:pt idx="344">
                  <c:v>30.770017804672932</c:v>
                </c:pt>
                <c:pt idx="345">
                  <c:v>30.600148784875163</c:v>
                </c:pt>
                <c:pt idx="346">
                  <c:v>6.7618415004471109</c:v>
                </c:pt>
                <c:pt idx="347">
                  <c:v>6.8043093667298811</c:v>
                </c:pt>
                <c:pt idx="348">
                  <c:v>326.81711025924011</c:v>
                </c:pt>
                <c:pt idx="349">
                  <c:v>4691.0278098402741</c:v>
                </c:pt>
                <c:pt idx="350">
                  <c:v>351.91716358468369</c:v>
                </c:pt>
                <c:pt idx="351">
                  <c:v>61.47133949946538</c:v>
                </c:pt>
                <c:pt idx="352">
                  <c:v>39.965689611398851</c:v>
                </c:pt>
                <c:pt idx="353">
                  <c:v>2.2271504315340644</c:v>
                </c:pt>
                <c:pt idx="354">
                  <c:v>6.4149378763257578</c:v>
                </c:pt>
                <c:pt idx="355">
                  <c:v>269.62355054336689</c:v>
                </c:pt>
                <c:pt idx="356">
                  <c:v>41.455022181053046</c:v>
                </c:pt>
                <c:pt idx="357">
                  <c:v>37.974452747623218</c:v>
                </c:pt>
                <c:pt idx="358">
                  <c:v>78.600000000000009</c:v>
                </c:pt>
                <c:pt idx="359">
                  <c:v>67</c:v>
                </c:pt>
                <c:pt idx="360">
                  <c:v>27.588257118925195</c:v>
                </c:pt>
                <c:pt idx="361">
                  <c:v>31.93593098879931</c:v>
                </c:pt>
                <c:pt idx="362">
                  <c:v>34.573810085319607</c:v>
                </c:pt>
                <c:pt idx="363">
                  <c:v>16.325533672268143</c:v>
                </c:pt>
                <c:pt idx="364">
                  <c:v>45.553875430017484</c:v>
                </c:pt>
                <c:pt idx="365">
                  <c:v>20.356254829535953</c:v>
                </c:pt>
                <c:pt idx="366">
                  <c:v>17.990896256827575</c:v>
                </c:pt>
                <c:pt idx="367">
                  <c:v>4.4327330125089821</c:v>
                </c:pt>
                <c:pt idx="368">
                  <c:v>6.7022895724194376</c:v>
                </c:pt>
                <c:pt idx="369">
                  <c:v>4.1201663162400006</c:v>
                </c:pt>
                <c:pt idx="370">
                  <c:v>9.4579780458257776</c:v>
                </c:pt>
                <c:pt idx="371">
                  <c:v>5.4832192294746518</c:v>
                </c:pt>
                <c:pt idx="372">
                  <c:v>101.14598117325755</c:v>
                </c:pt>
                <c:pt idx="373">
                  <c:v>40.072707265658202</c:v>
                </c:pt>
                <c:pt idx="374">
                  <c:v>86.088842204673895</c:v>
                </c:pt>
                <c:pt idx="375">
                  <c:v>1219.1099275894237</c:v>
                </c:pt>
                <c:pt idx="376">
                  <c:v>27.343750000000004</c:v>
                </c:pt>
                <c:pt idx="377">
                  <c:v>74.625019228794571</c:v>
                </c:pt>
                <c:pt idx="378">
                  <c:v>16.522174018357699</c:v>
                </c:pt>
                <c:pt idx="379">
                  <c:v>1.8302820736232863</c:v>
                </c:pt>
                <c:pt idx="380">
                  <c:v>3.6778141735861087</c:v>
                </c:pt>
                <c:pt idx="381">
                  <c:v>4.3102821941778817</c:v>
                </c:pt>
                <c:pt idx="382">
                  <c:v>28.240541805275416</c:v>
                </c:pt>
                <c:pt idx="383">
                  <c:v>50.260728817247276</c:v>
                </c:pt>
                <c:pt idx="384">
                  <c:v>203.49953299799301</c:v>
                </c:pt>
                <c:pt idx="385">
                  <c:v>26.732066811362451</c:v>
                </c:pt>
                <c:pt idx="386">
                  <c:v>35.026141654212928</c:v>
                </c:pt>
                <c:pt idx="387">
                  <c:v>33.418582022108517</c:v>
                </c:pt>
                <c:pt idx="388">
                  <c:v>151.01131401681326</c:v>
                </c:pt>
                <c:pt idx="389" formatCode="0.00E+00">
                  <c:v>10000000000</c:v>
                </c:pt>
                <c:pt idx="390">
                  <c:v>10.210472512743227</c:v>
                </c:pt>
                <c:pt idx="391">
                  <c:v>101.4730669032936</c:v>
                </c:pt>
                <c:pt idx="392">
                  <c:v>91.763806280570819</c:v>
                </c:pt>
                <c:pt idx="393">
                  <c:v>5.0394536908900323</c:v>
                </c:pt>
                <c:pt idx="394">
                  <c:v>17.611409387432179</c:v>
                </c:pt>
                <c:pt idx="395">
                  <c:v>15.777623372841205</c:v>
                </c:pt>
                <c:pt idx="396">
                  <c:v>26.174855846645691</c:v>
                </c:pt>
                <c:pt idx="397">
                  <c:v>6.8572524933179739</c:v>
                </c:pt>
                <c:pt idx="398">
                  <c:v>16.015780032903596</c:v>
                </c:pt>
                <c:pt idx="399">
                  <c:v>8.595431318469009</c:v>
                </c:pt>
                <c:pt idx="400">
                  <c:v>20.280088326932201</c:v>
                </c:pt>
                <c:pt idx="401">
                  <c:v>20.167707713481661</c:v>
                </c:pt>
                <c:pt idx="402">
                  <c:v>180.97854698722659</c:v>
                </c:pt>
                <c:pt idx="403">
                  <c:v>9.7275443155125814</c:v>
                </c:pt>
                <c:pt idx="404">
                  <c:v>21.627638876663973</c:v>
                </c:pt>
                <c:pt idx="405">
                  <c:v>6.8950521549394548</c:v>
                </c:pt>
                <c:pt idx="406">
                  <c:v>58.733605599730105</c:v>
                </c:pt>
                <c:pt idx="407">
                  <c:v>74.571837954458815</c:v>
                </c:pt>
                <c:pt idx="408">
                  <c:v>63.023236961787497</c:v>
                </c:pt>
                <c:pt idx="409">
                  <c:v>78.455350708440164</c:v>
                </c:pt>
                <c:pt idx="410">
                  <c:v>147.28000246453149</c:v>
                </c:pt>
                <c:pt idx="411">
                  <c:v>3.5699036497452443</c:v>
                </c:pt>
                <c:pt idx="412">
                  <c:v>4.6099817016582154</c:v>
                </c:pt>
                <c:pt idx="413">
                  <c:v>10.531834483346868</c:v>
                </c:pt>
                <c:pt idx="414">
                  <c:v>1.77816904953662</c:v>
                </c:pt>
                <c:pt idx="415">
                  <c:v>646.03950052445646</c:v>
                </c:pt>
                <c:pt idx="416">
                  <c:v>24.775889152842016</c:v>
                </c:pt>
                <c:pt idx="417">
                  <c:v>12.659959251572449</c:v>
                </c:pt>
                <c:pt idx="418">
                  <c:v>38.411421280088689</c:v>
                </c:pt>
                <c:pt idx="419">
                  <c:v>2.7264902233615023</c:v>
                </c:pt>
                <c:pt idx="420">
                  <c:v>89.2235651244997</c:v>
                </c:pt>
                <c:pt idx="421">
                  <c:v>38.358259317005036</c:v>
                </c:pt>
                <c:pt idx="422">
                  <c:v>36.169928352250047</c:v>
                </c:pt>
                <c:pt idx="423">
                  <c:v>37.01939820896424</c:v>
                </c:pt>
                <c:pt idx="424">
                  <c:v>49.089577861311007</c:v>
                </c:pt>
                <c:pt idx="425">
                  <c:v>11.968439397736242</c:v>
                </c:pt>
                <c:pt idx="426">
                  <c:v>100.43537675016375</c:v>
                </c:pt>
              </c:numCache>
            </c:numRef>
          </c:yVal>
          <c:smooth val="0"/>
          <c:extLst>
            <c:ext xmlns:c16="http://schemas.microsoft.com/office/drawing/2014/chart" uri="{C3380CC4-5D6E-409C-BE32-E72D297353CC}">
              <c16:uniqueId val="{00000006-DF11-4372-8AD9-8B118ABEB65E}"/>
            </c:ext>
          </c:extLst>
        </c:ser>
        <c:ser>
          <c:idx val="1"/>
          <c:order val="3"/>
          <c:tx>
            <c:v>VLSI 1997-2024</c:v>
          </c:tx>
          <c:spPr>
            <a:ln w="28575">
              <a:noFill/>
            </a:ln>
          </c:spPr>
          <c:marker>
            <c:symbol val="x"/>
            <c:size val="7"/>
            <c:spPr>
              <a:noFill/>
              <a:ln>
                <a:solidFill>
                  <a:srgbClr val="000000"/>
                </a:solidFill>
                <a:prstDash val="solid"/>
              </a:ln>
            </c:spPr>
          </c:marker>
          <c:xVal>
            <c:numRef>
              <c:f>VLSI!$AB$2:$AB$280</c:f>
              <c:numCache>
                <c:formatCode>0.00E+00</c:formatCode>
                <c:ptCount val="279"/>
                <c:pt idx="0">
                  <c:v>40000</c:v>
                </c:pt>
                <c:pt idx="1">
                  <c:v>8000000000</c:v>
                </c:pt>
                <c:pt idx="2">
                  <c:v>14300000</c:v>
                </c:pt>
                <c:pt idx="3">
                  <c:v>100000000</c:v>
                </c:pt>
                <c:pt idx="4">
                  <c:v>8000000</c:v>
                </c:pt>
                <c:pt idx="5">
                  <c:v>500000000</c:v>
                </c:pt>
                <c:pt idx="6">
                  <c:v>50000000</c:v>
                </c:pt>
                <c:pt idx="7">
                  <c:v>100000000</c:v>
                </c:pt>
                <c:pt idx="8">
                  <c:v>2000000</c:v>
                </c:pt>
                <c:pt idx="9">
                  <c:v>105000000</c:v>
                </c:pt>
                <c:pt idx="10">
                  <c:v>125000000</c:v>
                </c:pt>
                <c:pt idx="11">
                  <c:v>30000000</c:v>
                </c:pt>
                <c:pt idx="12">
                  <c:v>51000000</c:v>
                </c:pt>
                <c:pt idx="13">
                  <c:v>400000000</c:v>
                </c:pt>
                <c:pt idx="14">
                  <c:v>100000000</c:v>
                </c:pt>
                <c:pt idx="15">
                  <c:v>1000000</c:v>
                </c:pt>
                <c:pt idx="16">
                  <c:v>1000000</c:v>
                </c:pt>
                <c:pt idx="17">
                  <c:v>540000</c:v>
                </c:pt>
                <c:pt idx="18">
                  <c:v>500000</c:v>
                </c:pt>
                <c:pt idx="19">
                  <c:v>400000</c:v>
                </c:pt>
                <c:pt idx="20">
                  <c:v>10000000</c:v>
                </c:pt>
                <c:pt idx="21">
                  <c:v>24000000</c:v>
                </c:pt>
                <c:pt idx="22">
                  <c:v>400000</c:v>
                </c:pt>
                <c:pt idx="23">
                  <c:v>2000000</c:v>
                </c:pt>
                <c:pt idx="24">
                  <c:v>2500000</c:v>
                </c:pt>
                <c:pt idx="25">
                  <c:v>4000000000</c:v>
                </c:pt>
                <c:pt idx="26">
                  <c:v>600000000</c:v>
                </c:pt>
                <c:pt idx="27">
                  <c:v>180000000</c:v>
                </c:pt>
                <c:pt idx="28">
                  <c:v>50000000</c:v>
                </c:pt>
                <c:pt idx="29">
                  <c:v>4000000</c:v>
                </c:pt>
                <c:pt idx="30">
                  <c:v>16000</c:v>
                </c:pt>
                <c:pt idx="31">
                  <c:v>1000000</c:v>
                </c:pt>
                <c:pt idx="32">
                  <c:v>18000</c:v>
                </c:pt>
                <c:pt idx="33">
                  <c:v>6000000000</c:v>
                </c:pt>
                <c:pt idx="34">
                  <c:v>10000000</c:v>
                </c:pt>
                <c:pt idx="35">
                  <c:v>80000000</c:v>
                </c:pt>
                <c:pt idx="36">
                  <c:v>20000000</c:v>
                </c:pt>
                <c:pt idx="37">
                  <c:v>41670</c:v>
                </c:pt>
                <c:pt idx="38">
                  <c:v>10000000</c:v>
                </c:pt>
                <c:pt idx="39">
                  <c:v>800000000</c:v>
                </c:pt>
                <c:pt idx="40">
                  <c:v>100000000</c:v>
                </c:pt>
                <c:pt idx="41">
                  <c:v>40000000</c:v>
                </c:pt>
                <c:pt idx="42">
                  <c:v>800000000</c:v>
                </c:pt>
                <c:pt idx="43">
                  <c:v>500000000</c:v>
                </c:pt>
                <c:pt idx="44">
                  <c:v>48000</c:v>
                </c:pt>
                <c:pt idx="45">
                  <c:v>1000000</c:v>
                </c:pt>
                <c:pt idx="46">
                  <c:v>40960000</c:v>
                </c:pt>
                <c:pt idx="47">
                  <c:v>2000000</c:v>
                </c:pt>
                <c:pt idx="48">
                  <c:v>1350000000</c:v>
                </c:pt>
                <c:pt idx="49">
                  <c:v>3500000000</c:v>
                </c:pt>
                <c:pt idx="50">
                  <c:v>1100000000</c:v>
                </c:pt>
                <c:pt idx="51">
                  <c:v>22000000</c:v>
                </c:pt>
                <c:pt idx="52">
                  <c:v>30000000</c:v>
                </c:pt>
                <c:pt idx="53">
                  <c:v>40000000</c:v>
                </c:pt>
                <c:pt idx="54">
                  <c:v>10000000</c:v>
                </c:pt>
                <c:pt idx="55">
                  <c:v>15000000</c:v>
                </c:pt>
                <c:pt idx="56">
                  <c:v>16000</c:v>
                </c:pt>
                <c:pt idx="57">
                  <c:v>2500000</c:v>
                </c:pt>
                <c:pt idx="58">
                  <c:v>1000000</c:v>
                </c:pt>
                <c:pt idx="59">
                  <c:v>40000000</c:v>
                </c:pt>
                <c:pt idx="60">
                  <c:v>800000000</c:v>
                </c:pt>
                <c:pt idx="61">
                  <c:v>100000000</c:v>
                </c:pt>
                <c:pt idx="62">
                  <c:v>800000000</c:v>
                </c:pt>
                <c:pt idx="63">
                  <c:v>1750000000</c:v>
                </c:pt>
                <c:pt idx="64">
                  <c:v>5000000000</c:v>
                </c:pt>
                <c:pt idx="65">
                  <c:v>10300000000</c:v>
                </c:pt>
                <c:pt idx="66">
                  <c:v>50000</c:v>
                </c:pt>
                <c:pt idx="67">
                  <c:v>200000</c:v>
                </c:pt>
                <c:pt idx="68">
                  <c:v>3840000</c:v>
                </c:pt>
                <c:pt idx="69">
                  <c:v>23000000</c:v>
                </c:pt>
                <c:pt idx="70">
                  <c:v>50000000</c:v>
                </c:pt>
                <c:pt idx="71">
                  <c:v>26000000</c:v>
                </c:pt>
                <c:pt idx="72">
                  <c:v>50000000</c:v>
                </c:pt>
                <c:pt idx="73">
                  <c:v>250000000</c:v>
                </c:pt>
                <c:pt idx="74">
                  <c:v>20000000</c:v>
                </c:pt>
                <c:pt idx="75">
                  <c:v>20000000</c:v>
                </c:pt>
                <c:pt idx="76">
                  <c:v>30000000</c:v>
                </c:pt>
                <c:pt idx="77">
                  <c:v>10000000</c:v>
                </c:pt>
                <c:pt idx="78">
                  <c:v>100000000</c:v>
                </c:pt>
                <c:pt idx="79">
                  <c:v>50000000</c:v>
                </c:pt>
                <c:pt idx="80">
                  <c:v>11000000</c:v>
                </c:pt>
                <c:pt idx="81">
                  <c:v>100000</c:v>
                </c:pt>
                <c:pt idx="82">
                  <c:v>2700000000</c:v>
                </c:pt>
                <c:pt idx="83">
                  <c:v>7670000000</c:v>
                </c:pt>
                <c:pt idx="84">
                  <c:v>40000000</c:v>
                </c:pt>
                <c:pt idx="85">
                  <c:v>80000000</c:v>
                </c:pt>
                <c:pt idx="86">
                  <c:v>400000</c:v>
                </c:pt>
                <c:pt idx="87">
                  <c:v>1000000</c:v>
                </c:pt>
                <c:pt idx="88">
                  <c:v>4000000</c:v>
                </c:pt>
                <c:pt idx="89">
                  <c:v>8000000</c:v>
                </c:pt>
                <c:pt idx="90">
                  <c:v>40000000</c:v>
                </c:pt>
                <c:pt idx="91">
                  <c:v>60000000</c:v>
                </c:pt>
                <c:pt idx="92">
                  <c:v>12000000000</c:v>
                </c:pt>
                <c:pt idx="93">
                  <c:v>16000000000</c:v>
                </c:pt>
                <c:pt idx="94">
                  <c:v>100000000</c:v>
                </c:pt>
                <c:pt idx="95">
                  <c:v>50000000</c:v>
                </c:pt>
                <c:pt idx="96">
                  <c:v>10000000</c:v>
                </c:pt>
                <c:pt idx="97">
                  <c:v>150000000</c:v>
                </c:pt>
                <c:pt idx="98">
                  <c:v>10666666.666666666</c:v>
                </c:pt>
                <c:pt idx="99">
                  <c:v>40000000</c:v>
                </c:pt>
                <c:pt idx="100">
                  <c:v>3900000</c:v>
                </c:pt>
                <c:pt idx="101">
                  <c:v>160000000</c:v>
                </c:pt>
                <c:pt idx="102">
                  <c:v>3840000</c:v>
                </c:pt>
                <c:pt idx="103">
                  <c:v>3000000000</c:v>
                </c:pt>
                <c:pt idx="104">
                  <c:v>300000000</c:v>
                </c:pt>
                <c:pt idx="105">
                  <c:v>1300000000</c:v>
                </c:pt>
                <c:pt idx="106">
                  <c:v>320000000</c:v>
                </c:pt>
                <c:pt idx="107">
                  <c:v>1000000000</c:v>
                </c:pt>
                <c:pt idx="108">
                  <c:v>31250</c:v>
                </c:pt>
                <c:pt idx="109">
                  <c:v>31250</c:v>
                </c:pt>
                <c:pt idx="110">
                  <c:v>1100000</c:v>
                </c:pt>
                <c:pt idx="111">
                  <c:v>40000000</c:v>
                </c:pt>
                <c:pt idx="112">
                  <c:v>210000000</c:v>
                </c:pt>
                <c:pt idx="113">
                  <c:v>1000000000</c:v>
                </c:pt>
                <c:pt idx="114">
                  <c:v>16000000</c:v>
                </c:pt>
                <c:pt idx="115">
                  <c:v>3000000000</c:v>
                </c:pt>
                <c:pt idx="116">
                  <c:v>20000</c:v>
                </c:pt>
                <c:pt idx="117">
                  <c:v>1000000000</c:v>
                </c:pt>
                <c:pt idx="118">
                  <c:v>30000000</c:v>
                </c:pt>
                <c:pt idx="119">
                  <c:v>2800000000</c:v>
                </c:pt>
                <c:pt idx="120">
                  <c:v>1000000000</c:v>
                </c:pt>
                <c:pt idx="121">
                  <c:v>750000000</c:v>
                </c:pt>
                <c:pt idx="122">
                  <c:v>500000000</c:v>
                </c:pt>
                <c:pt idx="123">
                  <c:v>100000</c:v>
                </c:pt>
                <c:pt idx="124">
                  <c:v>20000000</c:v>
                </c:pt>
                <c:pt idx="125">
                  <c:v>10000000</c:v>
                </c:pt>
                <c:pt idx="126">
                  <c:v>30000000</c:v>
                </c:pt>
                <c:pt idx="127">
                  <c:v>75000000</c:v>
                </c:pt>
                <c:pt idx="128">
                  <c:v>60000000</c:v>
                </c:pt>
                <c:pt idx="129">
                  <c:v>50000000</c:v>
                </c:pt>
                <c:pt idx="130">
                  <c:v>30000000</c:v>
                </c:pt>
                <c:pt idx="131">
                  <c:v>4000</c:v>
                </c:pt>
                <c:pt idx="132">
                  <c:v>10000000</c:v>
                </c:pt>
                <c:pt idx="133">
                  <c:v>5400000000</c:v>
                </c:pt>
                <c:pt idx="134">
                  <c:v>20000000</c:v>
                </c:pt>
                <c:pt idx="135">
                  <c:v>70000000</c:v>
                </c:pt>
                <c:pt idx="136">
                  <c:v>200000000</c:v>
                </c:pt>
                <c:pt idx="137">
                  <c:v>800000000</c:v>
                </c:pt>
                <c:pt idx="138">
                  <c:v>8800000000</c:v>
                </c:pt>
                <c:pt idx="139">
                  <c:v>5000000000</c:v>
                </c:pt>
                <c:pt idx="140">
                  <c:v>24576000</c:v>
                </c:pt>
                <c:pt idx="141">
                  <c:v>410000000</c:v>
                </c:pt>
                <c:pt idx="142">
                  <c:v>10000000000</c:v>
                </c:pt>
                <c:pt idx="143">
                  <c:v>5000000</c:v>
                </c:pt>
                <c:pt idx="144">
                  <c:v>250000</c:v>
                </c:pt>
                <c:pt idx="145">
                  <c:v>30000000</c:v>
                </c:pt>
                <c:pt idx="146">
                  <c:v>820000000</c:v>
                </c:pt>
                <c:pt idx="147">
                  <c:v>100000000</c:v>
                </c:pt>
                <c:pt idx="148">
                  <c:v>160000000</c:v>
                </c:pt>
                <c:pt idx="149">
                  <c:v>1197916.6666666667</c:v>
                </c:pt>
                <c:pt idx="150">
                  <c:v>17000000</c:v>
                </c:pt>
                <c:pt idx="151">
                  <c:v>200000000</c:v>
                </c:pt>
                <c:pt idx="152">
                  <c:v>210000000</c:v>
                </c:pt>
                <c:pt idx="153">
                  <c:v>100000000</c:v>
                </c:pt>
                <c:pt idx="154">
                  <c:v>160000000</c:v>
                </c:pt>
                <c:pt idx="155">
                  <c:v>100000</c:v>
                </c:pt>
                <c:pt idx="156">
                  <c:v>70000000</c:v>
                </c:pt>
                <c:pt idx="157">
                  <c:v>12500000</c:v>
                </c:pt>
                <c:pt idx="158">
                  <c:v>200000000</c:v>
                </c:pt>
                <c:pt idx="159">
                  <c:v>25000000000</c:v>
                </c:pt>
                <c:pt idx="160">
                  <c:v>80000000</c:v>
                </c:pt>
                <c:pt idx="161">
                  <c:v>46000000000</c:v>
                </c:pt>
                <c:pt idx="162">
                  <c:v>150000000</c:v>
                </c:pt>
                <c:pt idx="163">
                  <c:v>100000000</c:v>
                </c:pt>
                <c:pt idx="164">
                  <c:v>20000000</c:v>
                </c:pt>
                <c:pt idx="165">
                  <c:v>78000000</c:v>
                </c:pt>
                <c:pt idx="166">
                  <c:v>80000000</c:v>
                </c:pt>
                <c:pt idx="167">
                  <c:v>4000000</c:v>
                </c:pt>
                <c:pt idx="168">
                  <c:v>10000000</c:v>
                </c:pt>
                <c:pt idx="169">
                  <c:v>48000</c:v>
                </c:pt>
                <c:pt idx="170">
                  <c:v>4000</c:v>
                </c:pt>
                <c:pt idx="171">
                  <c:v>2000</c:v>
                </c:pt>
                <c:pt idx="172">
                  <c:v>4000000</c:v>
                </c:pt>
                <c:pt idx="173">
                  <c:v>120000000</c:v>
                </c:pt>
                <c:pt idx="174">
                  <c:v>28000000000</c:v>
                </c:pt>
                <c:pt idx="175">
                  <c:v>1000</c:v>
                </c:pt>
                <c:pt idx="176">
                  <c:v>200000</c:v>
                </c:pt>
                <c:pt idx="177">
                  <c:v>1600000000</c:v>
                </c:pt>
                <c:pt idx="178">
                  <c:v>800000000</c:v>
                </c:pt>
                <c:pt idx="179">
                  <c:v>20000</c:v>
                </c:pt>
                <c:pt idx="180">
                  <c:v>600000</c:v>
                </c:pt>
                <c:pt idx="181">
                  <c:v>10312500000</c:v>
                </c:pt>
                <c:pt idx="182">
                  <c:v>24000000000</c:v>
                </c:pt>
                <c:pt idx="183">
                  <c:v>1600000000</c:v>
                </c:pt>
                <c:pt idx="184">
                  <c:v>5000000000</c:v>
                </c:pt>
                <c:pt idx="185">
                  <c:v>20000000</c:v>
                </c:pt>
                <c:pt idx="186">
                  <c:v>12000000</c:v>
                </c:pt>
                <c:pt idx="187">
                  <c:v>312000000</c:v>
                </c:pt>
                <c:pt idx="188">
                  <c:v>40000</c:v>
                </c:pt>
                <c:pt idx="189">
                  <c:v>303000000</c:v>
                </c:pt>
                <c:pt idx="190">
                  <c:v>500000000</c:v>
                </c:pt>
                <c:pt idx="191">
                  <c:v>600000000</c:v>
                </c:pt>
                <c:pt idx="192">
                  <c:v>100000000</c:v>
                </c:pt>
                <c:pt idx="193">
                  <c:v>50000000</c:v>
                </c:pt>
                <c:pt idx="194">
                  <c:v>525000</c:v>
                </c:pt>
                <c:pt idx="195">
                  <c:v>200000</c:v>
                </c:pt>
                <c:pt idx="196">
                  <c:v>80000</c:v>
                </c:pt>
                <c:pt idx="197">
                  <c:v>300000000</c:v>
                </c:pt>
                <c:pt idx="198">
                  <c:v>2000000000</c:v>
                </c:pt>
                <c:pt idx="199">
                  <c:v>2000000</c:v>
                </c:pt>
                <c:pt idx="200">
                  <c:v>16000000</c:v>
                </c:pt>
                <c:pt idx="201">
                  <c:v>2000000000</c:v>
                </c:pt>
                <c:pt idx="202">
                  <c:v>1000000</c:v>
                </c:pt>
                <c:pt idx="203">
                  <c:v>20000</c:v>
                </c:pt>
                <c:pt idx="204">
                  <c:v>950000000</c:v>
                </c:pt>
                <c:pt idx="205">
                  <c:v>1100000000</c:v>
                </c:pt>
                <c:pt idx="206">
                  <c:v>5000000000</c:v>
                </c:pt>
                <c:pt idx="207">
                  <c:v>48000</c:v>
                </c:pt>
                <c:pt idx="208">
                  <c:v>25000000</c:v>
                </c:pt>
                <c:pt idx="209">
                  <c:v>25000000</c:v>
                </c:pt>
                <c:pt idx="210">
                  <c:v>1250000</c:v>
                </c:pt>
                <c:pt idx="211">
                  <c:v>40000</c:v>
                </c:pt>
                <c:pt idx="212">
                  <c:v>200</c:v>
                </c:pt>
                <c:pt idx="213">
                  <c:v>32000000000</c:v>
                </c:pt>
                <c:pt idx="214">
                  <c:v>25000000</c:v>
                </c:pt>
                <c:pt idx="215">
                  <c:v>500</c:v>
                </c:pt>
                <c:pt idx="216">
                  <c:v>200000000</c:v>
                </c:pt>
                <c:pt idx="217">
                  <c:v>200000</c:v>
                </c:pt>
                <c:pt idx="218">
                  <c:v>5000000000</c:v>
                </c:pt>
                <c:pt idx="219">
                  <c:v>30000000</c:v>
                </c:pt>
                <c:pt idx="220">
                  <c:v>40000</c:v>
                </c:pt>
                <c:pt idx="221">
                  <c:v>500000</c:v>
                </c:pt>
                <c:pt idx="222">
                  <c:v>60000000</c:v>
                </c:pt>
                <c:pt idx="223">
                  <c:v>80000000</c:v>
                </c:pt>
                <c:pt idx="224">
                  <c:v>28000000000</c:v>
                </c:pt>
                <c:pt idx="225">
                  <c:v>1000000000</c:v>
                </c:pt>
                <c:pt idx="226">
                  <c:v>100000000</c:v>
                </c:pt>
                <c:pt idx="227">
                  <c:v>1000000000</c:v>
                </c:pt>
                <c:pt idx="228">
                  <c:v>40000</c:v>
                </c:pt>
                <c:pt idx="229">
                  <c:v>10000000</c:v>
                </c:pt>
                <c:pt idx="230">
                  <c:v>100000000</c:v>
                </c:pt>
                <c:pt idx="231">
                  <c:v>250000000</c:v>
                </c:pt>
                <c:pt idx="232">
                  <c:v>12000000</c:v>
                </c:pt>
                <c:pt idx="233">
                  <c:v>20000000000</c:v>
                </c:pt>
                <c:pt idx="234">
                  <c:v>80000</c:v>
                </c:pt>
                <c:pt idx="235">
                  <c:v>2200000</c:v>
                </c:pt>
                <c:pt idx="236">
                  <c:v>600000000</c:v>
                </c:pt>
                <c:pt idx="237">
                  <c:v>500000000</c:v>
                </c:pt>
                <c:pt idx="238">
                  <c:v>20000000000</c:v>
                </c:pt>
                <c:pt idx="239">
                  <c:v>8000000000</c:v>
                </c:pt>
                <c:pt idx="240">
                  <c:v>1000000000</c:v>
                </c:pt>
                <c:pt idx="241">
                  <c:v>1000</c:v>
                </c:pt>
                <c:pt idx="242">
                  <c:v>1000</c:v>
                </c:pt>
                <c:pt idx="243">
                  <c:v>31250000</c:v>
                </c:pt>
                <c:pt idx="244">
                  <c:v>200000</c:v>
                </c:pt>
                <c:pt idx="245">
                  <c:v>125000</c:v>
                </c:pt>
                <c:pt idx="246">
                  <c:v>50000000</c:v>
                </c:pt>
                <c:pt idx="247">
                  <c:v>250000000</c:v>
                </c:pt>
                <c:pt idx="248">
                  <c:v>2500000000</c:v>
                </c:pt>
                <c:pt idx="249">
                  <c:v>25000000</c:v>
                </c:pt>
                <c:pt idx="250">
                  <c:v>20800</c:v>
                </c:pt>
                <c:pt idx="251">
                  <c:v>56000000000</c:v>
                </c:pt>
                <c:pt idx="252">
                  <c:v>3800000000</c:v>
                </c:pt>
                <c:pt idx="253">
                  <c:v>10000000000</c:v>
                </c:pt>
                <c:pt idx="254">
                  <c:v>1400000000</c:v>
                </c:pt>
                <c:pt idx="255">
                  <c:v>2000000000</c:v>
                </c:pt>
                <c:pt idx="256">
                  <c:v>2000000</c:v>
                </c:pt>
                <c:pt idx="257">
                  <c:v>240000000</c:v>
                </c:pt>
                <c:pt idx="258">
                  <c:v>440000000</c:v>
                </c:pt>
                <c:pt idx="259">
                  <c:v>2000000000</c:v>
                </c:pt>
                <c:pt idx="260">
                  <c:v>60000000</c:v>
                </c:pt>
                <c:pt idx="261">
                  <c:v>150000000</c:v>
                </c:pt>
                <c:pt idx="262">
                  <c:v>4000000</c:v>
                </c:pt>
                <c:pt idx="263">
                  <c:v>32000</c:v>
                </c:pt>
                <c:pt idx="264">
                  <c:v>4000000</c:v>
                </c:pt>
                <c:pt idx="265">
                  <c:v>48000000</c:v>
                </c:pt>
                <c:pt idx="266">
                  <c:v>10000</c:v>
                </c:pt>
                <c:pt idx="267">
                  <c:v>40000</c:v>
                </c:pt>
                <c:pt idx="268">
                  <c:v>48000</c:v>
                </c:pt>
                <c:pt idx="269">
                  <c:v>400000</c:v>
                </c:pt>
                <c:pt idx="270">
                  <c:v>168000000</c:v>
                </c:pt>
                <c:pt idx="271">
                  <c:v>203125</c:v>
                </c:pt>
                <c:pt idx="272">
                  <c:v>1250000</c:v>
                </c:pt>
                <c:pt idx="273">
                  <c:v>475000000</c:v>
                </c:pt>
                <c:pt idx="274">
                  <c:v>1000000000</c:v>
                </c:pt>
                <c:pt idx="275">
                  <c:v>16000000000</c:v>
                </c:pt>
                <c:pt idx="276">
                  <c:v>60000000000</c:v>
                </c:pt>
                <c:pt idx="277">
                  <c:v>10000000000</c:v>
                </c:pt>
                <c:pt idx="278">
                  <c:v>10000000000</c:v>
                </c:pt>
              </c:numCache>
            </c:numRef>
          </c:xVal>
          <c:yVal>
            <c:numRef>
              <c:f>VLSI!$AF$2:$AF$280</c:f>
              <c:numCache>
                <c:formatCode>0.0</c:formatCode>
                <c:ptCount val="279"/>
                <c:pt idx="0">
                  <c:v>5289.3976830280035</c:v>
                </c:pt>
                <c:pt idx="1">
                  <c:v>120228.94661571443</c:v>
                </c:pt>
                <c:pt idx="2">
                  <c:v>3661.7083188559845</c:v>
                </c:pt>
                <c:pt idx="3">
                  <c:v>15068.343957176261</c:v>
                </c:pt>
                <c:pt idx="4">
                  <c:v>119873.3784481622</c:v>
                </c:pt>
                <c:pt idx="5">
                  <c:v>13077.904160337508</c:v>
                </c:pt>
                <c:pt idx="6">
                  <c:v>10349.082318830473</c:v>
                </c:pt>
                <c:pt idx="7">
                  <c:v>15498.224473133783</c:v>
                </c:pt>
                <c:pt idx="8">
                  <c:v>3850.8812817661601</c:v>
                </c:pt>
                <c:pt idx="9">
                  <c:v>3943.6609917060478</c:v>
                </c:pt>
                <c:pt idx="10">
                  <c:v>10526.673148610813</c:v>
                </c:pt>
                <c:pt idx="11">
                  <c:v>4129.8644716855288</c:v>
                </c:pt>
                <c:pt idx="12">
                  <c:v>6430.6667624215706</c:v>
                </c:pt>
                <c:pt idx="13">
                  <c:v>6037.9895279036618</c:v>
                </c:pt>
                <c:pt idx="14">
                  <c:v>3955.2837352340962</c:v>
                </c:pt>
                <c:pt idx="15">
                  <c:v>19587.419840365365</c:v>
                </c:pt>
                <c:pt idx="16">
                  <c:v>9520.7906102118523</c:v>
                </c:pt>
                <c:pt idx="17">
                  <c:v>1253.0898151633683</c:v>
                </c:pt>
                <c:pt idx="18">
                  <c:v>1980.6345793503306</c:v>
                </c:pt>
                <c:pt idx="19">
                  <c:v>1939.2334185767224</c:v>
                </c:pt>
                <c:pt idx="20">
                  <c:v>870.55199290512724</c:v>
                </c:pt>
                <c:pt idx="21">
                  <c:v>3181.2047703539306</c:v>
                </c:pt>
                <c:pt idx="22">
                  <c:v>28430.974780592209</c:v>
                </c:pt>
                <c:pt idx="23">
                  <c:v>40263.029671862132</c:v>
                </c:pt>
                <c:pt idx="24">
                  <c:v>45499.998897388847</c:v>
                </c:pt>
                <c:pt idx="25">
                  <c:v>9581.5218146536808</c:v>
                </c:pt>
                <c:pt idx="26">
                  <c:v>4223.0726998419632</c:v>
                </c:pt>
                <c:pt idx="27">
                  <c:v>7796.085316529483</c:v>
                </c:pt>
                <c:pt idx="28">
                  <c:v>979.83230592718951</c:v>
                </c:pt>
                <c:pt idx="29">
                  <c:v>6529.1399467884539</c:v>
                </c:pt>
                <c:pt idx="30">
                  <c:v>713.67540671475206</c:v>
                </c:pt>
                <c:pt idx="31">
                  <c:v>360.41430036903301</c:v>
                </c:pt>
                <c:pt idx="32" formatCode="0.00E+00">
                  <c:v>10000000000</c:v>
                </c:pt>
                <c:pt idx="33">
                  <c:v>11935.483363387582</c:v>
                </c:pt>
                <c:pt idx="34">
                  <c:v>11381.534193331425</c:v>
                </c:pt>
                <c:pt idx="35">
                  <c:v>2151.6177349111795</c:v>
                </c:pt>
                <c:pt idx="36">
                  <c:v>622.66993227081934</c:v>
                </c:pt>
                <c:pt idx="37">
                  <c:v>939.80183194479866</c:v>
                </c:pt>
                <c:pt idx="38">
                  <c:v>1939.6784468337237</c:v>
                </c:pt>
                <c:pt idx="39">
                  <c:v>3318.4873437943556</c:v>
                </c:pt>
                <c:pt idx="40">
                  <c:v>3089.7493068193371</c:v>
                </c:pt>
                <c:pt idx="41">
                  <c:v>5468.2492762091742</c:v>
                </c:pt>
                <c:pt idx="42">
                  <c:v>3836.4771058275901</c:v>
                </c:pt>
                <c:pt idx="43">
                  <c:v>736.30960563280303</c:v>
                </c:pt>
                <c:pt idx="44">
                  <c:v>1356.4860556747376</c:v>
                </c:pt>
                <c:pt idx="45">
                  <c:v>833.70802296787906</c:v>
                </c:pt>
                <c:pt idx="46">
                  <c:v>1649.7932261364683</c:v>
                </c:pt>
                <c:pt idx="47">
                  <c:v>746604.86615203822</c:v>
                </c:pt>
                <c:pt idx="48">
                  <c:v>600</c:v>
                </c:pt>
                <c:pt idx="49">
                  <c:v>946.26208976469104</c:v>
                </c:pt>
                <c:pt idx="50">
                  <c:v>462.02999907075565</c:v>
                </c:pt>
                <c:pt idx="51">
                  <c:v>2239.9608573344199</c:v>
                </c:pt>
                <c:pt idx="52">
                  <c:v>1213.7672409133829</c:v>
                </c:pt>
                <c:pt idx="53">
                  <c:v>388.830062710726</c:v>
                </c:pt>
                <c:pt idx="54">
                  <c:v>1107.8907571107877</c:v>
                </c:pt>
                <c:pt idx="55">
                  <c:v>2317.612301176734</c:v>
                </c:pt>
                <c:pt idx="56">
                  <c:v>303.22353448580014</c:v>
                </c:pt>
                <c:pt idx="57">
                  <c:v>1976.1967951831207</c:v>
                </c:pt>
                <c:pt idx="58">
                  <c:v>2250.9319302289005</c:v>
                </c:pt>
                <c:pt idx="59">
                  <c:v>1174.846270114193</c:v>
                </c:pt>
                <c:pt idx="60">
                  <c:v>2830.2174431829476</c:v>
                </c:pt>
                <c:pt idx="61">
                  <c:v>967.38643076354731</c:v>
                </c:pt>
                <c:pt idx="62">
                  <c:v>380.74331079198555</c:v>
                </c:pt>
                <c:pt idx="63">
                  <c:v>168.12598162509204</c:v>
                </c:pt>
                <c:pt idx="64">
                  <c:v>1968.0190504431928</c:v>
                </c:pt>
                <c:pt idx="65">
                  <c:v>4561.7353815189999</c:v>
                </c:pt>
                <c:pt idx="66">
                  <c:v>378.51636804319782</c:v>
                </c:pt>
                <c:pt idx="67">
                  <c:v>810.5494667743269</c:v>
                </c:pt>
                <c:pt idx="68">
                  <c:v>908.91564867255147</c:v>
                </c:pt>
                <c:pt idx="69">
                  <c:v>1016.6778208797177</c:v>
                </c:pt>
                <c:pt idx="70">
                  <c:v>145.26586817060729</c:v>
                </c:pt>
                <c:pt idx="71">
                  <c:v>499.93836031028894</c:v>
                </c:pt>
                <c:pt idx="72">
                  <c:v>283.52577827304918</c:v>
                </c:pt>
                <c:pt idx="73">
                  <c:v>347.43089784244324</c:v>
                </c:pt>
                <c:pt idx="74">
                  <c:v>244.10630074776853</c:v>
                </c:pt>
                <c:pt idx="75">
                  <c:v>233.97195994503721</c:v>
                </c:pt>
                <c:pt idx="76">
                  <c:v>562.14648569802955</c:v>
                </c:pt>
                <c:pt idx="77">
                  <c:v>748.05852580773956</c:v>
                </c:pt>
                <c:pt idx="78">
                  <c:v>28.283783098376855</c:v>
                </c:pt>
                <c:pt idx="79">
                  <c:v>147.60142878323947</c:v>
                </c:pt>
                <c:pt idx="80">
                  <c:v>281.17091379592381</c:v>
                </c:pt>
                <c:pt idx="81">
                  <c:v>32.485088498378722</c:v>
                </c:pt>
                <c:pt idx="82">
                  <c:v>473.63914886760381</c:v>
                </c:pt>
                <c:pt idx="83">
                  <c:v>494.41845574072994</c:v>
                </c:pt>
                <c:pt idx="84">
                  <c:v>2952.9283227549795</c:v>
                </c:pt>
                <c:pt idx="85">
                  <c:v>349.8394145979247</c:v>
                </c:pt>
                <c:pt idx="86">
                  <c:v>680.29649075436782</c:v>
                </c:pt>
                <c:pt idx="87">
                  <c:v>504.20068882994769</c:v>
                </c:pt>
                <c:pt idx="88">
                  <c:v>195.82925819552327</c:v>
                </c:pt>
                <c:pt idx="89">
                  <c:v>188.25915733094843</c:v>
                </c:pt>
                <c:pt idx="90">
                  <c:v>327.40002565980262</c:v>
                </c:pt>
                <c:pt idx="91">
                  <c:v>146.70451490163222</c:v>
                </c:pt>
                <c:pt idx="92">
                  <c:v>459.39628339825992</c:v>
                </c:pt>
                <c:pt idx="93">
                  <c:v>1325.0691077185015</c:v>
                </c:pt>
                <c:pt idx="94">
                  <c:v>52.709116137070055</c:v>
                </c:pt>
                <c:pt idx="95">
                  <c:v>51.806718581898373</c:v>
                </c:pt>
                <c:pt idx="96">
                  <c:v>11.599371020416873</c:v>
                </c:pt>
                <c:pt idx="97">
                  <c:v>24.697301834722008</c:v>
                </c:pt>
                <c:pt idx="98">
                  <c:v>329.32721650776733</c:v>
                </c:pt>
                <c:pt idx="99">
                  <c:v>606.4470689716004</c:v>
                </c:pt>
                <c:pt idx="100">
                  <c:v>580.15634666215044</c:v>
                </c:pt>
                <c:pt idx="101">
                  <c:v>11148.135903675231</c:v>
                </c:pt>
                <c:pt idx="102">
                  <c:v>112.31737071817965</c:v>
                </c:pt>
                <c:pt idx="103">
                  <c:v>574.91468643709209</c:v>
                </c:pt>
                <c:pt idx="104">
                  <c:v>258.62379291116315</c:v>
                </c:pt>
                <c:pt idx="105">
                  <c:v>460.3873171277578</c:v>
                </c:pt>
                <c:pt idx="106">
                  <c:v>483.8042165364065</c:v>
                </c:pt>
                <c:pt idx="107">
                  <c:v>195.85264694919252</c:v>
                </c:pt>
                <c:pt idx="108">
                  <c:v>41.499999999999993</c:v>
                </c:pt>
                <c:pt idx="109">
                  <c:v>18.934474751690686</c:v>
                </c:pt>
                <c:pt idx="110">
                  <c:v>6.026478248748985</c:v>
                </c:pt>
                <c:pt idx="111">
                  <c:v>20.592329696027196</c:v>
                </c:pt>
                <c:pt idx="112">
                  <c:v>6415.3335093785117</c:v>
                </c:pt>
                <c:pt idx="113">
                  <c:v>368.18052921314654</c:v>
                </c:pt>
                <c:pt idx="114">
                  <c:v>364.80666705605012</c:v>
                </c:pt>
                <c:pt idx="115">
                  <c:v>99.337968351424408</c:v>
                </c:pt>
                <c:pt idx="116">
                  <c:v>1432.0604809477632</c:v>
                </c:pt>
                <c:pt idx="117">
                  <c:v>96.592537594295678</c:v>
                </c:pt>
                <c:pt idx="118">
                  <c:v>89.238945269119071</c:v>
                </c:pt>
                <c:pt idx="119">
                  <c:v>75.848226810155637</c:v>
                </c:pt>
                <c:pt idx="120">
                  <c:v>33.890607754610286</c:v>
                </c:pt>
                <c:pt idx="121">
                  <c:v>50.239381056388744</c:v>
                </c:pt>
                <c:pt idx="122">
                  <c:v>45.246900554918589</c:v>
                </c:pt>
                <c:pt idx="123">
                  <c:v>3.1854967522888336</c:v>
                </c:pt>
                <c:pt idx="124">
                  <c:v>49.723662541246327</c:v>
                </c:pt>
                <c:pt idx="125">
                  <c:v>289.16219562936476</c:v>
                </c:pt>
                <c:pt idx="126">
                  <c:v>674.14823226052795</c:v>
                </c:pt>
                <c:pt idx="127">
                  <c:v>201.21637759881784</c:v>
                </c:pt>
                <c:pt idx="128">
                  <c:v>46.604373378395742</c:v>
                </c:pt>
                <c:pt idx="129">
                  <c:v>303.92260666179567</c:v>
                </c:pt>
                <c:pt idx="130">
                  <c:v>259.63448744024521</c:v>
                </c:pt>
                <c:pt idx="131">
                  <c:v>137.81500399794294</c:v>
                </c:pt>
                <c:pt idx="132">
                  <c:v>101.25684865416865</c:v>
                </c:pt>
                <c:pt idx="133">
                  <c:v>358.37349373067144</c:v>
                </c:pt>
                <c:pt idx="134">
                  <c:v>29.033025821670531</c:v>
                </c:pt>
                <c:pt idx="135">
                  <c:v>61.292387447120824</c:v>
                </c:pt>
                <c:pt idx="136">
                  <c:v>92.766167022451228</c:v>
                </c:pt>
                <c:pt idx="137">
                  <c:v>71.353008320539288</c:v>
                </c:pt>
                <c:pt idx="138">
                  <c:v>68.930254602465098</c:v>
                </c:pt>
                <c:pt idx="139">
                  <c:v>59.334013545344185</c:v>
                </c:pt>
                <c:pt idx="140">
                  <c:v>16.767564279273973</c:v>
                </c:pt>
                <c:pt idx="141">
                  <c:v>11.359641858640073</c:v>
                </c:pt>
                <c:pt idx="142">
                  <c:v>433.65806213322816</c:v>
                </c:pt>
                <c:pt idx="143">
                  <c:v>87.726742510454315</c:v>
                </c:pt>
                <c:pt idx="144">
                  <c:v>2.022232972096329</c:v>
                </c:pt>
                <c:pt idx="145">
                  <c:v>61.472377903983158</c:v>
                </c:pt>
                <c:pt idx="146">
                  <c:v>85.786344936854135</c:v>
                </c:pt>
                <c:pt idx="147">
                  <c:v>293.40902980326439</c:v>
                </c:pt>
                <c:pt idx="148">
                  <c:v>74.178883578577526</c:v>
                </c:pt>
                <c:pt idx="149">
                  <c:v>678.19255319949878</c:v>
                </c:pt>
                <c:pt idx="150">
                  <c:v>135.11185866122293</c:v>
                </c:pt>
                <c:pt idx="151">
                  <c:v>7.9137574687291998</c:v>
                </c:pt>
                <c:pt idx="152">
                  <c:v>30.532747485368272</c:v>
                </c:pt>
                <c:pt idx="153">
                  <c:v>43.227927999647335</c:v>
                </c:pt>
                <c:pt idx="154">
                  <c:v>20.608438904286437</c:v>
                </c:pt>
                <c:pt idx="155">
                  <c:v>6.6367632935546208</c:v>
                </c:pt>
                <c:pt idx="156">
                  <c:v>29.582840048600826</c:v>
                </c:pt>
                <c:pt idx="157">
                  <c:v>14.877057165981428</c:v>
                </c:pt>
                <c:pt idx="158">
                  <c:v>8.2816880825827006</c:v>
                </c:pt>
                <c:pt idx="159">
                  <c:v>141.05985975465677</c:v>
                </c:pt>
                <c:pt idx="160">
                  <c:v>3.6722371302973595</c:v>
                </c:pt>
                <c:pt idx="161">
                  <c:v>557.25035041080935</c:v>
                </c:pt>
                <c:pt idx="162">
                  <c:v>105.81055253805232</c:v>
                </c:pt>
                <c:pt idx="163">
                  <c:v>175.81109082282779</c:v>
                </c:pt>
                <c:pt idx="164">
                  <c:v>75.672150347850817</c:v>
                </c:pt>
                <c:pt idx="165">
                  <c:v>80.167534122435882</c:v>
                </c:pt>
                <c:pt idx="166">
                  <c:v>36.286471999301433</c:v>
                </c:pt>
                <c:pt idx="167">
                  <c:v>27.469100676790546</c:v>
                </c:pt>
                <c:pt idx="168">
                  <c:v>36.500158243201767</c:v>
                </c:pt>
                <c:pt idx="169">
                  <c:v>173.43205720866206</c:v>
                </c:pt>
                <c:pt idx="170">
                  <c:v>142.99947272119627</c:v>
                </c:pt>
                <c:pt idx="171">
                  <c:v>305.89512116845992</c:v>
                </c:pt>
                <c:pt idx="172">
                  <c:v>20.637002189875705</c:v>
                </c:pt>
                <c:pt idx="173">
                  <c:v>56.538246636912106</c:v>
                </c:pt>
                <c:pt idx="174">
                  <c:v>325.72554202243896</c:v>
                </c:pt>
                <c:pt idx="175">
                  <c:v>282.86448406020025</c:v>
                </c:pt>
                <c:pt idx="176">
                  <c:v>517.191661180197</c:v>
                </c:pt>
                <c:pt idx="177">
                  <c:v>16.214600900602765</c:v>
                </c:pt>
                <c:pt idx="178">
                  <c:v>20.36895234217253</c:v>
                </c:pt>
                <c:pt idx="179">
                  <c:v>14.086247674304687</c:v>
                </c:pt>
                <c:pt idx="180">
                  <c:v>0.44253395302554993</c:v>
                </c:pt>
                <c:pt idx="181">
                  <c:v>382.50046163384428</c:v>
                </c:pt>
                <c:pt idx="182">
                  <c:v>41.627551465620641</c:v>
                </c:pt>
                <c:pt idx="183">
                  <c:v>19.162493078800647</c:v>
                </c:pt>
                <c:pt idx="184">
                  <c:v>708.72476142827838</c:v>
                </c:pt>
                <c:pt idx="185">
                  <c:v>48.961797536193735</c:v>
                </c:pt>
                <c:pt idx="186">
                  <c:v>19.852582038929121</c:v>
                </c:pt>
                <c:pt idx="187">
                  <c:v>576.6219968299647</c:v>
                </c:pt>
                <c:pt idx="188">
                  <c:v>63.222330609908852</c:v>
                </c:pt>
                <c:pt idx="189">
                  <c:v>9.1738102075017522</c:v>
                </c:pt>
                <c:pt idx="190">
                  <c:v>21.722409498576997</c:v>
                </c:pt>
                <c:pt idx="191">
                  <c:v>44.34711164951122</c:v>
                </c:pt>
                <c:pt idx="192">
                  <c:v>6.1570385700136407</c:v>
                </c:pt>
                <c:pt idx="193">
                  <c:v>20.601825507592906</c:v>
                </c:pt>
                <c:pt idx="194">
                  <c:v>33.326283931737464</c:v>
                </c:pt>
                <c:pt idx="195">
                  <c:v>1.0944719800908733</c:v>
                </c:pt>
                <c:pt idx="196">
                  <c:v>88.882779256087602</c:v>
                </c:pt>
                <c:pt idx="197">
                  <c:v>12.78204235618351</c:v>
                </c:pt>
                <c:pt idx="198">
                  <c:v>19.895849240792984</c:v>
                </c:pt>
                <c:pt idx="199">
                  <c:v>69.418682755284465</c:v>
                </c:pt>
                <c:pt idx="200">
                  <c:v>156.92341223197096</c:v>
                </c:pt>
                <c:pt idx="201">
                  <c:v>118.57558445752046</c:v>
                </c:pt>
                <c:pt idx="202">
                  <c:v>17.743472494360574</c:v>
                </c:pt>
                <c:pt idx="203">
                  <c:v>2.4039543379456223</c:v>
                </c:pt>
                <c:pt idx="204">
                  <c:v>16.664365412064416</c:v>
                </c:pt>
                <c:pt idx="205">
                  <c:v>25.029481646578962</c:v>
                </c:pt>
                <c:pt idx="206">
                  <c:v>221.62195549334962</c:v>
                </c:pt>
                <c:pt idx="207">
                  <c:v>34.182795412935178</c:v>
                </c:pt>
                <c:pt idx="208">
                  <c:v>17.146519203184585</c:v>
                </c:pt>
                <c:pt idx="209">
                  <c:v>30.75368139911151</c:v>
                </c:pt>
                <c:pt idx="210">
                  <c:v>400.95644595635952</c:v>
                </c:pt>
                <c:pt idx="211">
                  <c:v>153.394297449991</c:v>
                </c:pt>
                <c:pt idx="212">
                  <c:v>1082.5232004445197</c:v>
                </c:pt>
                <c:pt idx="213">
                  <c:v>98.067142905193435</c:v>
                </c:pt>
                <c:pt idx="214">
                  <c:v>12.223956489679999</c:v>
                </c:pt>
                <c:pt idx="215">
                  <c:v>484.93505735691957</c:v>
                </c:pt>
                <c:pt idx="216">
                  <c:v>18.738462638497179</c:v>
                </c:pt>
                <c:pt idx="217" formatCode="0.00">
                  <c:v>0.3535180070866174</c:v>
                </c:pt>
                <c:pt idx="218">
                  <c:v>26.680570005499508</c:v>
                </c:pt>
                <c:pt idx="219">
                  <c:v>150.5026785265396</c:v>
                </c:pt>
                <c:pt idx="220">
                  <c:v>90.449693041422535</c:v>
                </c:pt>
                <c:pt idx="221">
                  <c:v>392.40479055146477</c:v>
                </c:pt>
                <c:pt idx="222">
                  <c:v>17.565144824846012</c:v>
                </c:pt>
                <c:pt idx="223">
                  <c:v>6.5265339880958564</c:v>
                </c:pt>
                <c:pt idx="224">
                  <c:v>222.22632625129677</c:v>
                </c:pt>
                <c:pt idx="225">
                  <c:v>14.129890577478276</c:v>
                </c:pt>
                <c:pt idx="226">
                  <c:v>26.233502665908045</c:v>
                </c:pt>
                <c:pt idx="227">
                  <c:v>16.636517144862054</c:v>
                </c:pt>
                <c:pt idx="228">
                  <c:v>63.660610692480994</c:v>
                </c:pt>
                <c:pt idx="229">
                  <c:v>140.0205378808096</c:v>
                </c:pt>
                <c:pt idx="230">
                  <c:v>24.247747351257846</c:v>
                </c:pt>
                <c:pt idx="231">
                  <c:v>7.4384029166593955</c:v>
                </c:pt>
                <c:pt idx="232">
                  <c:v>50.404876506402161</c:v>
                </c:pt>
                <c:pt idx="233">
                  <c:v>254.01238123356288</c:v>
                </c:pt>
                <c:pt idx="234">
                  <c:v>36.378475762331746</c:v>
                </c:pt>
                <c:pt idx="235">
                  <c:v>23.67826139027984</c:v>
                </c:pt>
                <c:pt idx="236">
                  <c:v>1090.0754471055168</c:v>
                </c:pt>
                <c:pt idx="237">
                  <c:v>5.2587966337192693</c:v>
                </c:pt>
                <c:pt idx="238">
                  <c:v>90.862351311017449</c:v>
                </c:pt>
                <c:pt idx="239">
                  <c:v>30.177333701691243</c:v>
                </c:pt>
                <c:pt idx="240">
                  <c:v>25.527872707245091</c:v>
                </c:pt>
                <c:pt idx="241">
                  <c:v>323.63181417318765</c:v>
                </c:pt>
                <c:pt idx="242">
                  <c:v>119.82329305679568</c:v>
                </c:pt>
                <c:pt idx="243">
                  <c:v>20.841651807763288</c:v>
                </c:pt>
                <c:pt idx="244">
                  <c:v>148.6224654552444</c:v>
                </c:pt>
                <c:pt idx="245">
                  <c:v>18.03214391010685</c:v>
                </c:pt>
                <c:pt idx="246">
                  <c:v>6.3310059749833609</c:v>
                </c:pt>
                <c:pt idx="247">
                  <c:v>2.1774483511800651</c:v>
                </c:pt>
                <c:pt idx="248">
                  <c:v>9.8608324968810557</c:v>
                </c:pt>
                <c:pt idx="249">
                  <c:v>11.258960254708036</c:v>
                </c:pt>
                <c:pt idx="250">
                  <c:v>307.50865192096234</c:v>
                </c:pt>
                <c:pt idx="251">
                  <c:v>120.19006019319302</c:v>
                </c:pt>
                <c:pt idx="252">
                  <c:v>24.332519599338717</c:v>
                </c:pt>
                <c:pt idx="253">
                  <c:v>304.54369925597626</c:v>
                </c:pt>
                <c:pt idx="254">
                  <c:v>34.317724281873438</c:v>
                </c:pt>
                <c:pt idx="255">
                  <c:v>146.85578376427412</c:v>
                </c:pt>
                <c:pt idx="256">
                  <c:v>61.104648147919733</c:v>
                </c:pt>
                <c:pt idx="257">
                  <c:v>134.31750928679833</c:v>
                </c:pt>
                <c:pt idx="258">
                  <c:v>48.603757838840743</c:v>
                </c:pt>
                <c:pt idx="259">
                  <c:v>99.032548647577926</c:v>
                </c:pt>
                <c:pt idx="260">
                  <c:v>4.5165419680084682</c:v>
                </c:pt>
                <c:pt idx="261">
                  <c:v>5.6507700434483299</c:v>
                </c:pt>
                <c:pt idx="262">
                  <c:v>52.490234375</c:v>
                </c:pt>
                <c:pt idx="263">
                  <c:v>322.24638191985952</c:v>
                </c:pt>
                <c:pt idx="264">
                  <c:v>32.17984902705615</c:v>
                </c:pt>
                <c:pt idx="265">
                  <c:v>385.17650077623836</c:v>
                </c:pt>
                <c:pt idx="266">
                  <c:v>34.462133189186758</c:v>
                </c:pt>
                <c:pt idx="267">
                  <c:v>132.60041442258935</c:v>
                </c:pt>
                <c:pt idx="268">
                  <c:v>22.550012457448261</c:v>
                </c:pt>
                <c:pt idx="269">
                  <c:v>41.23717609251203</c:v>
                </c:pt>
                <c:pt idx="270">
                  <c:v>306.66656731649522</c:v>
                </c:pt>
                <c:pt idx="271">
                  <c:v>309.86930470145921</c:v>
                </c:pt>
                <c:pt idx="272">
                  <c:v>7.1603406415065862</c:v>
                </c:pt>
                <c:pt idx="273">
                  <c:v>8.2155652158983763</c:v>
                </c:pt>
                <c:pt idx="274">
                  <c:v>9.2383133931609809</c:v>
                </c:pt>
                <c:pt idx="275">
                  <c:v>43.024720779848941</c:v>
                </c:pt>
                <c:pt idx="276">
                  <c:v>42.983994850815236</c:v>
                </c:pt>
                <c:pt idx="277">
                  <c:v>145.99767650412375</c:v>
                </c:pt>
                <c:pt idx="278">
                  <c:v>120.73208415178932</c:v>
                </c:pt>
              </c:numCache>
            </c:numRef>
          </c:yVal>
          <c:smooth val="0"/>
          <c:extLst>
            <c:ext xmlns:c16="http://schemas.microsoft.com/office/drawing/2014/chart" uri="{C3380CC4-5D6E-409C-BE32-E72D297353CC}">
              <c16:uniqueId val="{00000007-DF11-4372-8AD9-8B118ABEB65E}"/>
            </c:ext>
          </c:extLst>
        </c:ser>
        <c:ser>
          <c:idx val="2"/>
          <c:order val="4"/>
          <c:tx>
            <c:v>Envelope</c:v>
          </c:tx>
          <c:spPr>
            <a:ln w="38100">
              <a:solidFill>
                <a:schemeClr val="tx1"/>
              </a:solidFill>
              <a:prstDash val="sysDash"/>
            </a:ln>
          </c:spPr>
          <c:marker>
            <c:symbol val="none"/>
          </c:marker>
          <c:xVal>
            <c:numRef>
              <c:f>'Jitter and FOM lines'!$B$65:$B$165</c:f>
              <c:numCache>
                <c:formatCode>0.00E+00</c:formatCode>
                <c:ptCount val="101"/>
                <c:pt idx="0">
                  <c:v>100</c:v>
                </c:pt>
                <c:pt idx="1">
                  <c:v>125.89254117941677</c:v>
                </c:pt>
                <c:pt idx="2">
                  <c:v>158.48931924611153</c:v>
                </c:pt>
                <c:pt idx="3">
                  <c:v>199.52623149688802</c:v>
                </c:pt>
                <c:pt idx="4">
                  <c:v>251.18864315095806</c:v>
                </c:pt>
                <c:pt idx="5">
                  <c:v>316.22776601683825</c:v>
                </c:pt>
                <c:pt idx="6">
                  <c:v>398.10717055349761</c:v>
                </c:pt>
                <c:pt idx="7">
                  <c:v>501.18723362727269</c:v>
                </c:pt>
                <c:pt idx="8">
                  <c:v>630.95734448019323</c:v>
                </c:pt>
                <c:pt idx="9">
                  <c:v>794.32823472428208</c:v>
                </c:pt>
                <c:pt idx="10">
                  <c:v>1000</c:v>
                </c:pt>
                <c:pt idx="11">
                  <c:v>1258.925411794168</c:v>
                </c:pt>
                <c:pt idx="12">
                  <c:v>1584.8931924611156</c:v>
                </c:pt>
                <c:pt idx="13">
                  <c:v>1995.2623149688804</c:v>
                </c:pt>
                <c:pt idx="14">
                  <c:v>2511.8864315095811</c:v>
                </c:pt>
                <c:pt idx="15">
                  <c:v>3162.2776601683804</c:v>
                </c:pt>
                <c:pt idx="16">
                  <c:v>3981.0717055349769</c:v>
                </c:pt>
                <c:pt idx="17">
                  <c:v>5011.8723362727324</c:v>
                </c:pt>
                <c:pt idx="18">
                  <c:v>6309.5734448019384</c:v>
                </c:pt>
                <c:pt idx="19">
                  <c:v>7943.2823472428154</c:v>
                </c:pt>
                <c:pt idx="20">
                  <c:v>10000</c:v>
                </c:pt>
                <c:pt idx="21">
                  <c:v>12589.254117941671</c:v>
                </c:pt>
                <c:pt idx="22">
                  <c:v>15848.931924611146</c:v>
                </c:pt>
                <c:pt idx="23">
                  <c:v>19952.623149688792</c:v>
                </c:pt>
                <c:pt idx="24">
                  <c:v>25118.86431509586</c:v>
                </c:pt>
                <c:pt idx="25">
                  <c:v>31622.77660168384</c:v>
                </c:pt>
                <c:pt idx="26">
                  <c:v>39810.717055349742</c:v>
                </c:pt>
                <c:pt idx="27">
                  <c:v>50118.723362727294</c:v>
                </c:pt>
                <c:pt idx="28">
                  <c:v>63095.734448019342</c:v>
                </c:pt>
                <c:pt idx="29">
                  <c:v>79432.823472428237</c:v>
                </c:pt>
                <c:pt idx="30">
                  <c:v>100000</c:v>
                </c:pt>
                <c:pt idx="31">
                  <c:v>125892.54117941685</c:v>
                </c:pt>
                <c:pt idx="32">
                  <c:v>158489.31924611164</c:v>
                </c:pt>
                <c:pt idx="33">
                  <c:v>199526.23149688813</c:v>
                </c:pt>
                <c:pt idx="34">
                  <c:v>251188.64315095844</c:v>
                </c:pt>
                <c:pt idx="35">
                  <c:v>316227.7660168382</c:v>
                </c:pt>
                <c:pt idx="36">
                  <c:v>398107.17055349716</c:v>
                </c:pt>
                <c:pt idx="37">
                  <c:v>501187.23362727347</c:v>
                </c:pt>
                <c:pt idx="38">
                  <c:v>630957.34448019415</c:v>
                </c:pt>
                <c:pt idx="39">
                  <c:v>794328.23472428333</c:v>
                </c:pt>
                <c:pt idx="40">
                  <c:v>1000000</c:v>
                </c:pt>
                <c:pt idx="41">
                  <c:v>1258925.4117941677</c:v>
                </c:pt>
                <c:pt idx="42">
                  <c:v>1584893.1924611153</c:v>
                </c:pt>
                <c:pt idx="43">
                  <c:v>1995262.31496888</c:v>
                </c:pt>
                <c:pt idx="44">
                  <c:v>2511886.431509587</c:v>
                </c:pt>
                <c:pt idx="45">
                  <c:v>3162277.6601683851</c:v>
                </c:pt>
                <c:pt idx="46">
                  <c:v>3981071.705534976</c:v>
                </c:pt>
                <c:pt idx="47">
                  <c:v>5011872.3362727314</c:v>
                </c:pt>
                <c:pt idx="48">
                  <c:v>6309573.4448019378</c:v>
                </c:pt>
                <c:pt idx="49">
                  <c:v>7943282.3472428275</c:v>
                </c:pt>
                <c:pt idx="50">
                  <c:v>10000000</c:v>
                </c:pt>
                <c:pt idx="51">
                  <c:v>12589254.117941668</c:v>
                </c:pt>
                <c:pt idx="52">
                  <c:v>15848931.924611172</c:v>
                </c:pt>
                <c:pt idx="53">
                  <c:v>19952623.149688821</c:v>
                </c:pt>
                <c:pt idx="54">
                  <c:v>25118864.315095898</c:v>
                </c:pt>
                <c:pt idx="55">
                  <c:v>31622776.601684563</c:v>
                </c:pt>
                <c:pt idx="56">
                  <c:v>39810717.055349804</c:v>
                </c:pt>
                <c:pt idx="57">
                  <c:v>50118723.362727284</c:v>
                </c:pt>
                <c:pt idx="58">
                  <c:v>63095734.448020898</c:v>
                </c:pt>
                <c:pt idx="59">
                  <c:v>79432823.47243005</c:v>
                </c:pt>
                <c:pt idx="60">
                  <c:v>100000000.00000267</c:v>
                </c:pt>
                <c:pt idx="61">
                  <c:v>125892541.17941682</c:v>
                </c:pt>
                <c:pt idx="62">
                  <c:v>158489319.24611527</c:v>
                </c:pt>
                <c:pt idx="63">
                  <c:v>199526231.49689269</c:v>
                </c:pt>
                <c:pt idx="64">
                  <c:v>251188643.15096372</c:v>
                </c:pt>
                <c:pt idx="65">
                  <c:v>316227766.01684594</c:v>
                </c:pt>
                <c:pt idx="66">
                  <c:v>398107170.55350697</c:v>
                </c:pt>
                <c:pt idx="67">
                  <c:v>501187233.62728405</c:v>
                </c:pt>
                <c:pt idx="68">
                  <c:v>630957344.48020744</c:v>
                </c:pt>
                <c:pt idx="69">
                  <c:v>794328234.7242986</c:v>
                </c:pt>
                <c:pt idx="70">
                  <c:v>1000000000.0000277</c:v>
                </c:pt>
                <c:pt idx="71">
                  <c:v>1258925411.7942009</c:v>
                </c:pt>
                <c:pt idx="72">
                  <c:v>1584893192.4611545</c:v>
                </c:pt>
                <c:pt idx="73">
                  <c:v>1995262314.9689293</c:v>
                </c:pt>
                <c:pt idx="74">
                  <c:v>2511886431.5096402</c:v>
                </c:pt>
                <c:pt idx="75">
                  <c:v>3162277660.1684632</c:v>
                </c:pt>
                <c:pt idx="76">
                  <c:v>3981071705.5350742</c:v>
                </c:pt>
                <c:pt idx="77">
                  <c:v>5011872336.2728462</c:v>
                </c:pt>
                <c:pt idx="78">
                  <c:v>6309573444.8020811</c:v>
                </c:pt>
                <c:pt idx="79">
                  <c:v>7943282347.2429953</c:v>
                </c:pt>
                <c:pt idx="80">
                  <c:v>10000000000</c:v>
                </c:pt>
                <c:pt idx="81">
                  <c:v>12589254117.94171</c:v>
                </c:pt>
                <c:pt idx="82">
                  <c:v>15848931924.611168</c:v>
                </c:pt>
                <c:pt idx="83">
                  <c:v>19952623149.688889</c:v>
                </c:pt>
                <c:pt idx="84">
                  <c:v>25118864315.095894</c:v>
                </c:pt>
                <c:pt idx="85">
                  <c:v>31622776601.68388</c:v>
                </c:pt>
                <c:pt idx="86">
                  <c:v>39810717055.349792</c:v>
                </c:pt>
                <c:pt idx="87">
                  <c:v>50118723362.727272</c:v>
                </c:pt>
                <c:pt idx="88">
                  <c:v>63095734448.019539</c:v>
                </c:pt>
                <c:pt idx="89">
                  <c:v>79432823472.428345</c:v>
                </c:pt>
                <c:pt idx="90">
                  <c:v>100000000000</c:v>
                </c:pt>
                <c:pt idx="91">
                  <c:v>125892541179.41679</c:v>
                </c:pt>
                <c:pt idx="92">
                  <c:v>158489319246.1113</c:v>
                </c:pt>
                <c:pt idx="93">
                  <c:v>199526231496.8891</c:v>
                </c:pt>
                <c:pt idx="94">
                  <c:v>251188643150.9592</c:v>
                </c:pt>
                <c:pt idx="95">
                  <c:v>316227766016.83917</c:v>
                </c:pt>
                <c:pt idx="96">
                  <c:v>398107170553.49841</c:v>
                </c:pt>
                <c:pt idx="97">
                  <c:v>501187233627.27325</c:v>
                </c:pt>
                <c:pt idx="98">
                  <c:v>630957344480.19604</c:v>
                </c:pt>
                <c:pt idx="99">
                  <c:v>794328234724.2843</c:v>
                </c:pt>
                <c:pt idx="100">
                  <c:v>1000000000000</c:v>
                </c:pt>
              </c:numCache>
            </c:numRef>
          </c:xVal>
          <c:yVal>
            <c:numRef>
              <c:f>'Jitter and FOM lines'!$C$65:$C$165</c:f>
              <c:numCache>
                <c:formatCode>0.00</c:formatCode>
                <c:ptCount val="101"/>
                <c:pt idx="0">
                  <c:v>0.66936434251523047</c:v>
                </c:pt>
                <c:pt idx="1">
                  <c:v>0.6693643425152318</c:v>
                </c:pt>
                <c:pt idx="2">
                  <c:v>0.66936434251523391</c:v>
                </c:pt>
                <c:pt idx="3">
                  <c:v>0.66936434251523713</c:v>
                </c:pt>
                <c:pt idx="4">
                  <c:v>0.66936434251524257</c:v>
                </c:pt>
                <c:pt idx="5">
                  <c:v>0.66936434251525068</c:v>
                </c:pt>
                <c:pt idx="6">
                  <c:v>0.66936434251526389</c:v>
                </c:pt>
                <c:pt idx="7">
                  <c:v>0.66936434251528476</c:v>
                </c:pt>
                <c:pt idx="8">
                  <c:v>0.66936434251531762</c:v>
                </c:pt>
                <c:pt idx="9">
                  <c:v>0.66936434251536991</c:v>
                </c:pt>
                <c:pt idx="10">
                  <c:v>0.66936434251545263</c:v>
                </c:pt>
                <c:pt idx="11">
                  <c:v>0.66936434251558408</c:v>
                </c:pt>
                <c:pt idx="12">
                  <c:v>0.66936434251579213</c:v>
                </c:pt>
                <c:pt idx="13">
                  <c:v>0.66936434251612176</c:v>
                </c:pt>
                <c:pt idx="14">
                  <c:v>0.66936434251664434</c:v>
                </c:pt>
                <c:pt idx="15">
                  <c:v>0.66936434251747279</c:v>
                </c:pt>
                <c:pt idx="16">
                  <c:v>0.66936434251878552</c:v>
                </c:pt>
                <c:pt idx="17">
                  <c:v>0.66936434252086618</c:v>
                </c:pt>
                <c:pt idx="18">
                  <c:v>0.66936434252416377</c:v>
                </c:pt>
                <c:pt idx="19">
                  <c:v>0.66936434252939014</c:v>
                </c:pt>
                <c:pt idx="20">
                  <c:v>0.6693643425376733</c:v>
                </c:pt>
                <c:pt idx="21">
                  <c:v>0.66936434255080135</c:v>
                </c:pt>
                <c:pt idx="22">
                  <c:v>0.66936434257160771</c:v>
                </c:pt>
                <c:pt idx="23">
                  <c:v>0.66936434260458366</c:v>
                </c:pt>
                <c:pt idx="24">
                  <c:v>0.66936434265684708</c:v>
                </c:pt>
                <c:pt idx="25">
                  <c:v>0.66936434273967893</c:v>
                </c:pt>
                <c:pt idx="26">
                  <c:v>0.66936434287095847</c:v>
                </c:pt>
                <c:pt idx="27">
                  <c:v>0.66936434307902282</c:v>
                </c:pt>
                <c:pt idx="28">
                  <c:v>0.66936434340878226</c:v>
                </c:pt>
                <c:pt idx="29">
                  <c:v>0.66936434393141608</c:v>
                </c:pt>
                <c:pt idx="30">
                  <c:v>0.66936434475973483</c:v>
                </c:pt>
                <c:pt idx="31">
                  <c:v>0.66936434607253148</c:v>
                </c:pt>
                <c:pt idx="32">
                  <c:v>0.66936434815317392</c:v>
                </c:pt>
                <c:pt idx="33">
                  <c:v>0.66936435145076989</c:v>
                </c:pt>
                <c:pt idx="34">
                  <c:v>0.66936435667710725</c:v>
                </c:pt>
                <c:pt idx="35">
                  <c:v>0.66936436496029372</c:v>
                </c:pt>
                <c:pt idx="36">
                  <c:v>0.66936437808825955</c:v>
                </c:pt>
                <c:pt idx="37">
                  <c:v>0.66936439889468247</c:v>
                </c:pt>
                <c:pt idx="38">
                  <c:v>0.66936443187063899</c:v>
                </c:pt>
                <c:pt idx="39">
                  <c:v>0.66936448413400507</c:v>
                </c:pt>
                <c:pt idx="40">
                  <c:v>0.66936456696584967</c:v>
                </c:pt>
                <c:pt idx="41">
                  <c:v>0.66936469824545541</c:v>
                </c:pt>
                <c:pt idx="42">
                  <c:v>0.66936490630955592</c:v>
                </c:pt>
                <c:pt idx="43">
                  <c:v>0.66936523606880016</c:v>
                </c:pt>
                <c:pt idx="44">
                  <c:v>0.66936575870164849</c:v>
                </c:pt>
                <c:pt idx="45">
                  <c:v>0.66936658701805607</c:v>
                </c:pt>
                <c:pt idx="46">
                  <c:v>0.66936789980899214</c:v>
                </c:pt>
                <c:pt idx="47">
                  <c:v>0.66936998043713603</c:v>
                </c:pt>
                <c:pt idx="48">
                  <c:v>0.66937327799726976</c:v>
                </c:pt>
                <c:pt idx="49">
                  <c:v>0.66937850424460188</c:v>
                </c:pt>
                <c:pt idx="50">
                  <c:v>0.66938678720483791</c:v>
                </c:pt>
                <c:pt idx="51">
                  <c:v>0.66939991460218817</c:v>
                </c:pt>
                <c:pt idx="52">
                  <c:v>0.66942071959756777</c:v>
                </c:pt>
                <c:pt idx="53">
                  <c:v>0.66945369196868887</c:v>
                </c:pt>
                <c:pt idx="54">
                  <c:v>0.66950594632894034</c:v>
                </c:pt>
                <c:pt idx="55">
                  <c:v>0.66958875555564401</c:v>
                </c:pt>
                <c:pt idx="56">
                  <c:v>0.66971997836153485</c:v>
                </c:pt>
                <c:pt idx="57">
                  <c:v>0.6699278998427064</c:v>
                </c:pt>
                <c:pt idx="58">
                  <c:v>0.67025730106242654</c:v>
                </c:pt>
                <c:pt idx="59">
                  <c:v>0.67077903546585771</c:v>
                </c:pt>
                <c:pt idx="60">
                  <c:v>0.67160509854226524</c:v>
                </c:pt>
                <c:pt idx="61">
                  <c:v>0.67291224308088871</c:v>
                </c:pt>
                <c:pt idx="62">
                  <c:v>0.67497874233119159</c:v>
                </c:pt>
                <c:pt idx="63">
                  <c:v>0.67824102574032485</c:v>
                </c:pt>
                <c:pt idx="64">
                  <c:v>0.68337949700548561</c:v>
                </c:pt>
                <c:pt idx="65">
                  <c:v>0.69144520867677128</c:v>
                </c:pt>
                <c:pt idx="66">
                  <c:v>0.70403924720425837</c:v>
                </c:pt>
                <c:pt idx="67">
                  <c:v>0.72355056403293472</c:v>
                </c:pt>
                <c:pt idx="68">
                  <c:v>0.75343963440695472</c:v>
                </c:pt>
                <c:pt idx="69">
                  <c:v>0.79852223638237518</c:v>
                </c:pt>
                <c:pt idx="70">
                  <c:v>0.86517464060329852</c:v>
                </c:pt>
                <c:pt idx="71">
                  <c:v>0.96139222420497905</c:v>
                </c:pt>
                <c:pt idx="72">
                  <c:v>1.096729948458685</c:v>
                </c:pt>
                <c:pt idx="73">
                  <c:v>1.2822929539209311</c:v>
                </c:pt>
                <c:pt idx="74">
                  <c:v>1.5309931458675816</c:v>
                </c:pt>
                <c:pt idx="75">
                  <c:v>1.8581802873114504</c:v>
                </c:pt>
                <c:pt idx="76">
                  <c:v>2.2826108911376815</c:v>
                </c:pt>
                <c:pt idx="77">
                  <c:v>2.8276718676650385</c:v>
                </c:pt>
                <c:pt idx="78">
                  <c:v>3.5228276411818742</c:v>
                </c:pt>
                <c:pt idx="79">
                  <c:v>4.4053334175357817</c:v>
                </c:pt>
                <c:pt idx="80">
                  <c:v>5.5223094982307419</c:v>
                </c:pt>
                <c:pt idx="81">
                  <c:v>6.9333027624735859</c:v>
                </c:pt>
                <c:pt idx="82">
                  <c:v>8.7134863461511127</c:v>
                </c:pt>
                <c:pt idx="83">
                  <c:v>10.95767805182596</c:v>
                </c:pt>
                <c:pt idx="84">
                  <c:v>13.785397621733301</c:v>
                </c:pt>
                <c:pt idx="85">
                  <c:v>17.347235639583001</c:v>
                </c:pt>
                <c:pt idx="86">
                  <c:v>21.832875082177335</c:v>
                </c:pt>
                <c:pt idx="87">
                  <c:v>27.481193668367812</c:v>
                </c:pt>
                <c:pt idx="88">
                  <c:v>34.592985492255551</c:v>
                </c:pt>
                <c:pt idx="89">
                  <c:v>43.546979668923292</c:v>
                </c:pt>
                <c:pt idx="90">
                  <c:v>54.820009173155853</c:v>
                </c:pt>
                <c:pt idx="91">
                  <c:v>69.012404000529571</c:v>
                </c:pt>
                <c:pt idx="92">
                  <c:v>86.879960962100441</c:v>
                </c:pt>
                <c:pt idx="93">
                  <c:v>109.37419263732559</c:v>
                </c:pt>
                <c:pt idx="94">
                  <c:v>137.69299889699911</c:v>
                </c:pt>
                <c:pt idx="95">
                  <c:v>173.3444594437384</c:v>
                </c:pt>
                <c:pt idx="96">
                  <c:v>218.22714455749096</c:v>
                </c:pt>
                <c:pt idx="97">
                  <c:v>274.73122088716826</c:v>
                </c:pt>
                <c:pt idx="98">
                  <c:v>345.8657365410175</c:v>
                </c:pt>
                <c:pt idx="99">
                  <c:v>435.41886387119507</c:v>
                </c:pt>
                <c:pt idx="100">
                  <c:v>548.15963346529736</c:v>
                </c:pt>
              </c:numCache>
            </c:numRef>
          </c:yVal>
          <c:smooth val="0"/>
          <c:extLst>
            <c:ext xmlns:c16="http://schemas.microsoft.com/office/drawing/2014/chart" uri="{C3380CC4-5D6E-409C-BE32-E72D297353CC}">
              <c16:uniqueId val="{00000008-DF11-4372-8AD9-8B118ABEB65E}"/>
            </c:ext>
          </c:extLst>
        </c:ser>
        <c:dLbls>
          <c:showLegendKey val="0"/>
          <c:showVal val="0"/>
          <c:showCatName val="0"/>
          <c:showSerName val="0"/>
          <c:showPercent val="0"/>
          <c:showBubbleSize val="0"/>
        </c:dLbls>
        <c:axId val="142059263"/>
        <c:axId val="1"/>
      </c:scatterChart>
      <c:valAx>
        <c:axId val="142059263"/>
        <c:scaling>
          <c:logBase val="10"/>
          <c:orientation val="minMax"/>
          <c:max val="300000000000"/>
          <c:min val="10000"/>
        </c:scaling>
        <c:delete val="0"/>
        <c:axPos val="b"/>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[Hz]</a:t>
                </a:r>
              </a:p>
            </c:rich>
          </c:tx>
          <c:layout>
            <c:manualLayout>
              <c:xMode val="edge"/>
              <c:yMode val="edge"/>
              <c:x val="0.43914192987694067"/>
              <c:y val="0.92829645887794021"/>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valAx>
      <c:valAx>
        <c:axId val="1"/>
        <c:scaling>
          <c:logBase val="10"/>
          <c:orientation val="minMax"/>
          <c:max val="10000"/>
          <c:min val="0.2"/>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FOM</a:t>
                </a:r>
                <a:r>
                  <a:rPr lang="en-US" sz="2000" b="1" i="0" u="none" strike="noStrike" baseline="-25000">
                    <a:solidFill>
                      <a:srgbClr val="000000"/>
                    </a:solidFill>
                    <a:latin typeface="Arial"/>
                    <a:cs typeface="Arial"/>
                  </a:rPr>
                  <a:t>W,hf</a:t>
                </a:r>
                <a:r>
                  <a:rPr lang="en-US" sz="2000" b="1" i="0" u="none" strike="noStrike" baseline="0">
                    <a:solidFill>
                      <a:srgbClr val="000000"/>
                    </a:solidFill>
                    <a:latin typeface="Arial"/>
                    <a:cs typeface="Arial"/>
                  </a:rPr>
                  <a:t> [fJ/conv-step]</a:t>
                </a:r>
              </a:p>
            </c:rich>
          </c:tx>
          <c:layout>
            <c:manualLayout>
              <c:xMode val="edge"/>
              <c:yMode val="edge"/>
              <c:x val="1.4798538424027439E-3"/>
              <c:y val="0.20282758907230067"/>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59263"/>
        <c:crosses val="autoZero"/>
        <c:crossBetween val="midCat"/>
      </c:valAx>
      <c:spPr>
        <a:noFill/>
        <a:ln w="25400">
          <a:solidFill>
            <a:srgbClr val="000000"/>
          </a:solidFill>
          <a:prstDash val="solid"/>
        </a:ln>
      </c:spPr>
    </c:plotArea>
    <c:legend>
      <c:legendPos val="r"/>
      <c:layout>
        <c:manualLayout>
          <c:xMode val="edge"/>
          <c:yMode val="edge"/>
          <c:x val="0.72622159853780655"/>
          <c:y val="7.4916368686500451E-2"/>
          <c:w val="0.20011116119563876"/>
          <c:h val="0.19269562667459639"/>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332279377202432"/>
          <c:y val="4.2414355628058717E-2"/>
          <c:w val="0.82510143962816662"/>
          <c:h val="0.77270255573681368"/>
        </c:manualLayout>
      </c:layout>
      <c:scatterChart>
        <c:scatterStyle val="lineMarker"/>
        <c:varyColors val="0"/>
        <c:ser>
          <c:idx val="3"/>
          <c:order val="0"/>
          <c:tx>
            <c:v>ISSCC 2025</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8FC9-40EB-9F38-9C989B7C6F39}"/>
              </c:ext>
            </c:extLst>
          </c:dPt>
          <c:xVal>
            <c:numRef>
              <c:f>ISSCC!$AB$429:$AB$447</c:f>
              <c:numCache>
                <c:formatCode>0.00E+00</c:formatCode>
                <c:ptCount val="19"/>
                <c:pt idx="0">
                  <c:v>52000000000</c:v>
                </c:pt>
                <c:pt idx="1">
                  <c:v>40000</c:v>
                </c:pt>
                <c:pt idx="2">
                  <c:v>2000</c:v>
                </c:pt>
                <c:pt idx="3">
                  <c:v>2000</c:v>
                </c:pt>
                <c:pt idx="4">
                  <c:v>8000</c:v>
                </c:pt>
                <c:pt idx="5">
                  <c:v>312500</c:v>
                </c:pt>
                <c:pt idx="6">
                  <c:v>1600000</c:v>
                </c:pt>
                <c:pt idx="7">
                  <c:v>5000000</c:v>
                </c:pt>
                <c:pt idx="8" formatCode="0.00.E+00">
                  <c:v>16000000</c:v>
                </c:pt>
                <c:pt idx="9" formatCode="0.00.E+00">
                  <c:v>160000000</c:v>
                </c:pt>
                <c:pt idx="10" formatCode="0.00.E+00">
                  <c:v>800000000</c:v>
                </c:pt>
                <c:pt idx="11" formatCode="0.00.E+00">
                  <c:v>3000000000</c:v>
                </c:pt>
                <c:pt idx="12" formatCode="0.00.E+00">
                  <c:v>1000000000</c:v>
                </c:pt>
                <c:pt idx="13" formatCode="0.00.E+00">
                  <c:v>2200000000</c:v>
                </c:pt>
                <c:pt idx="14" formatCode="0.00.E+00">
                  <c:v>3000000000</c:v>
                </c:pt>
                <c:pt idx="15" formatCode="0.00.E+00">
                  <c:v>72000000000</c:v>
                </c:pt>
                <c:pt idx="16" formatCode="0.00.E+00">
                  <c:v>16000000000</c:v>
                </c:pt>
                <c:pt idx="17" formatCode="0.00.E+00">
                  <c:v>10000000000</c:v>
                </c:pt>
                <c:pt idx="18" formatCode="0.00.E+00">
                  <c:v>12000000000</c:v>
                </c:pt>
              </c:numCache>
            </c:numRef>
          </c:xVal>
          <c:yVal>
            <c:numRef>
              <c:f>ISSCC!$AH$429:$AH$447</c:f>
              <c:numCache>
                <c:formatCode>0.0</c:formatCode>
                <c:ptCount val="19"/>
                <c:pt idx="0">
                  <c:v>150.95550864547604</c:v>
                </c:pt>
                <c:pt idx="1">
                  <c:v>176.49771646944907</c:v>
                </c:pt>
                <c:pt idx="2">
                  <c:v>175.16358024443875</c:v>
                </c:pt>
                <c:pt idx="3">
                  <c:v>189.16985199745903</c:v>
                </c:pt>
                <c:pt idx="4">
                  <c:v>184.75700160653213</c:v>
                </c:pt>
                <c:pt idx="5">
                  <c:v>180.36851440525544</c:v>
                </c:pt>
                <c:pt idx="6">
                  <c:v>184.83494205967631</c:v>
                </c:pt>
                <c:pt idx="7">
                  <c:v>176.27242168318426</c:v>
                </c:pt>
                <c:pt idx="8">
                  <c:v>176.33574972449313</c:v>
                </c:pt>
                <c:pt idx="9">
                  <c:v>172.25561025777307</c:v>
                </c:pt>
                <c:pt idx="10">
                  <c:v>152.15162148571414</c:v>
                </c:pt>
                <c:pt idx="11">
                  <c:v>165.44207898076809</c:v>
                </c:pt>
                <c:pt idx="12">
                  <c:v>173.34278573518418</c:v>
                </c:pt>
                <c:pt idx="13">
                  <c:v>157.82543594420969</c:v>
                </c:pt>
                <c:pt idx="14">
                  <c:v>157.46255776715793</c:v>
                </c:pt>
                <c:pt idx="15">
                  <c:v>151.51578554357542</c:v>
                </c:pt>
                <c:pt idx="16">
                  <c:v>148.47215131319453</c:v>
                </c:pt>
                <c:pt idx="17">
                  <c:v>155.28525889495901</c:v>
                </c:pt>
                <c:pt idx="18">
                  <c:v>153.84031267727718</c:v>
                </c:pt>
              </c:numCache>
            </c:numRef>
          </c:yVal>
          <c:smooth val="0"/>
          <c:extLst>
            <c:ext xmlns:c16="http://schemas.microsoft.com/office/drawing/2014/chart" uri="{C3380CC4-5D6E-409C-BE32-E72D297353CC}">
              <c16:uniqueId val="{00000002-8FC9-40EB-9F38-9C989B7C6F39}"/>
            </c:ext>
          </c:extLst>
        </c:ser>
        <c:ser>
          <c:idx val="4"/>
          <c:order val="1"/>
          <c:tx>
            <c:v>VLSI 2025</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8FC9-40EB-9F38-9C989B7C6F39}"/>
              </c:ext>
            </c:extLst>
          </c:dPt>
          <c:xVal>
            <c:numRef>
              <c:f>VLSI!$AB$281:$AB$294</c:f>
              <c:numCache>
                <c:formatCode>0.00E+00</c:formatCode>
                <c:ptCount val="14"/>
                <c:pt idx="0">
                  <c:v>350000000</c:v>
                </c:pt>
                <c:pt idx="1">
                  <c:v>200000000</c:v>
                </c:pt>
                <c:pt idx="2">
                  <c:v>100000000</c:v>
                </c:pt>
                <c:pt idx="3">
                  <c:v>560000000</c:v>
                </c:pt>
                <c:pt idx="4">
                  <c:v>46000000000</c:v>
                </c:pt>
                <c:pt idx="5">
                  <c:v>3000000000</c:v>
                </c:pt>
                <c:pt idx="6">
                  <c:v>16000000000</c:v>
                </c:pt>
                <c:pt idx="7">
                  <c:v>10000000</c:v>
                </c:pt>
                <c:pt idx="8">
                  <c:v>20000</c:v>
                </c:pt>
                <c:pt idx="9">
                  <c:v>6000000</c:v>
                </c:pt>
                <c:pt idx="10">
                  <c:v>500000</c:v>
                </c:pt>
                <c:pt idx="11">
                  <c:v>2500000</c:v>
                </c:pt>
                <c:pt idx="12">
                  <c:v>1000000</c:v>
                </c:pt>
                <c:pt idx="13">
                  <c:v>10000000</c:v>
                </c:pt>
              </c:numCache>
            </c:numRef>
          </c:xVal>
          <c:yVal>
            <c:numRef>
              <c:f>VLSI!$AH$281:$AH$294</c:f>
              <c:numCache>
                <c:formatCode>0.0</c:formatCode>
                <c:ptCount val="14"/>
                <c:pt idx="0">
                  <c:v>166.84121348408638</c:v>
                </c:pt>
                <c:pt idx="1">
                  <c:v>167.5539480106643</c:v>
                </c:pt>
                <c:pt idx="2">
                  <c:v>157.91543181946707</c:v>
                </c:pt>
                <c:pt idx="3">
                  <c:v>176.71708213675527</c:v>
                </c:pt>
                <c:pt idx="4">
                  <c:v>145.53921377878066</c:v>
                </c:pt>
                <c:pt idx="5">
                  <c:v>163.07759091207996</c:v>
                </c:pt>
                <c:pt idx="6">
                  <c:v>151.40833915635466</c:v>
                </c:pt>
                <c:pt idx="7">
                  <c:v>174.14617148551582</c:v>
                </c:pt>
                <c:pt idx="8">
                  <c:v>175.98117992693875</c:v>
                </c:pt>
                <c:pt idx="9">
                  <c:v>182.96423414366052</c:v>
                </c:pt>
                <c:pt idx="10">
                  <c:v>179.24653941651582</c:v>
                </c:pt>
                <c:pt idx="11">
                  <c:v>175.19781815331243</c:v>
                </c:pt>
                <c:pt idx="12">
                  <c:v>179.19696817018416</c:v>
                </c:pt>
                <c:pt idx="13">
                  <c:v>174.41798275933004</c:v>
                </c:pt>
              </c:numCache>
            </c:numRef>
          </c:yVal>
          <c:smooth val="0"/>
          <c:extLst>
            <c:ext xmlns:c16="http://schemas.microsoft.com/office/drawing/2014/chart" uri="{C3380CC4-5D6E-409C-BE32-E72D297353CC}">
              <c16:uniqueId val="{00000005-8FC9-40EB-9F38-9C989B7C6F39}"/>
            </c:ext>
          </c:extLst>
        </c:ser>
        <c:ser>
          <c:idx val="0"/>
          <c:order val="2"/>
          <c:tx>
            <c:v>ISSCC 1997-2024</c:v>
          </c:tx>
          <c:spPr>
            <a:ln w="28575">
              <a:noFill/>
            </a:ln>
          </c:spPr>
          <c:marker>
            <c:symbol val="circle"/>
            <c:size val="7"/>
            <c:spPr>
              <a:noFill/>
              <a:ln>
                <a:solidFill>
                  <a:srgbClr val="000000"/>
                </a:solidFill>
                <a:prstDash val="solid"/>
              </a:ln>
            </c:spPr>
          </c:marker>
          <c:xVal>
            <c:numRef>
              <c:f>ISSCC!$AB$2:$AB$428</c:f>
              <c:numCache>
                <c:formatCode>0.00E+00</c:formatCode>
                <c:ptCount val="427"/>
                <c:pt idx="0">
                  <c:v>200000</c:v>
                </c:pt>
                <c:pt idx="1">
                  <c:v>50000000</c:v>
                </c:pt>
                <c:pt idx="2">
                  <c:v>50000000</c:v>
                </c:pt>
                <c:pt idx="3">
                  <c:v>128000000</c:v>
                </c:pt>
                <c:pt idx="4">
                  <c:v>5000000</c:v>
                </c:pt>
                <c:pt idx="5">
                  <c:v>2500000</c:v>
                </c:pt>
                <c:pt idx="6">
                  <c:v>2000</c:v>
                </c:pt>
                <c:pt idx="7">
                  <c:v>400000</c:v>
                </c:pt>
                <c:pt idx="8">
                  <c:v>125200000</c:v>
                </c:pt>
                <c:pt idx="9">
                  <c:v>400000</c:v>
                </c:pt>
                <c:pt idx="10">
                  <c:v>96000</c:v>
                </c:pt>
                <c:pt idx="11">
                  <c:v>40000</c:v>
                </c:pt>
                <c:pt idx="12">
                  <c:v>200000</c:v>
                </c:pt>
                <c:pt idx="13">
                  <c:v>32000</c:v>
                </c:pt>
                <c:pt idx="14">
                  <c:v>20000000</c:v>
                </c:pt>
                <c:pt idx="15">
                  <c:v>40000000</c:v>
                </c:pt>
                <c:pt idx="16">
                  <c:v>40000000</c:v>
                </c:pt>
                <c:pt idx="17">
                  <c:v>10000000</c:v>
                </c:pt>
                <c:pt idx="18">
                  <c:v>75000000</c:v>
                </c:pt>
                <c:pt idx="19">
                  <c:v>350000000</c:v>
                </c:pt>
                <c:pt idx="20">
                  <c:v>400000000</c:v>
                </c:pt>
                <c:pt idx="21">
                  <c:v>40000</c:v>
                </c:pt>
                <c:pt idx="22">
                  <c:v>200000</c:v>
                </c:pt>
                <c:pt idx="23">
                  <c:v>18000000</c:v>
                </c:pt>
                <c:pt idx="24">
                  <c:v>400000</c:v>
                </c:pt>
                <c:pt idx="25">
                  <c:v>80000</c:v>
                </c:pt>
                <c:pt idx="26">
                  <c:v>125000</c:v>
                </c:pt>
                <c:pt idx="27">
                  <c:v>25000000</c:v>
                </c:pt>
                <c:pt idx="28">
                  <c:v>40000000</c:v>
                </c:pt>
                <c:pt idx="29">
                  <c:v>20000000</c:v>
                </c:pt>
                <c:pt idx="30">
                  <c:v>500000000</c:v>
                </c:pt>
                <c:pt idx="31">
                  <c:v>500000000</c:v>
                </c:pt>
                <c:pt idx="32">
                  <c:v>100000000</c:v>
                </c:pt>
                <c:pt idx="33">
                  <c:v>40000000</c:v>
                </c:pt>
                <c:pt idx="34">
                  <c:v>65000000</c:v>
                </c:pt>
                <c:pt idx="35">
                  <c:v>50000000</c:v>
                </c:pt>
                <c:pt idx="36">
                  <c:v>80000000</c:v>
                </c:pt>
                <c:pt idx="37">
                  <c:v>20000000</c:v>
                </c:pt>
                <c:pt idx="38">
                  <c:v>2500000</c:v>
                </c:pt>
                <c:pt idx="39">
                  <c:v>2500000</c:v>
                </c:pt>
                <c:pt idx="40">
                  <c:v>400000</c:v>
                </c:pt>
                <c:pt idx="41">
                  <c:v>4000000</c:v>
                </c:pt>
                <c:pt idx="42">
                  <c:v>10000000</c:v>
                </c:pt>
                <c:pt idx="43">
                  <c:v>378000</c:v>
                </c:pt>
                <c:pt idx="44">
                  <c:v>4000000</c:v>
                </c:pt>
                <c:pt idx="45">
                  <c:v>1300000000</c:v>
                </c:pt>
                <c:pt idx="46">
                  <c:v>1100000000</c:v>
                </c:pt>
                <c:pt idx="47">
                  <c:v>100000000</c:v>
                </c:pt>
                <c:pt idx="48">
                  <c:v>54000000</c:v>
                </c:pt>
                <c:pt idx="49">
                  <c:v>75000000</c:v>
                </c:pt>
                <c:pt idx="50">
                  <c:v>40000000</c:v>
                </c:pt>
                <c:pt idx="51">
                  <c:v>4000000000</c:v>
                </c:pt>
                <c:pt idx="52">
                  <c:v>1320000000</c:v>
                </c:pt>
                <c:pt idx="53">
                  <c:v>450000000</c:v>
                </c:pt>
                <c:pt idx="54">
                  <c:v>120000000</c:v>
                </c:pt>
                <c:pt idx="55">
                  <c:v>30000000</c:v>
                </c:pt>
                <c:pt idx="56">
                  <c:v>20000000</c:v>
                </c:pt>
                <c:pt idx="57">
                  <c:v>2000000</c:v>
                </c:pt>
                <c:pt idx="58">
                  <c:v>660000</c:v>
                </c:pt>
                <c:pt idx="59">
                  <c:v>7680000</c:v>
                </c:pt>
                <c:pt idx="60">
                  <c:v>4000000</c:v>
                </c:pt>
                <c:pt idx="61">
                  <c:v>4000000</c:v>
                </c:pt>
                <c:pt idx="62">
                  <c:v>1924000</c:v>
                </c:pt>
                <c:pt idx="63">
                  <c:v>4000000</c:v>
                </c:pt>
                <c:pt idx="64">
                  <c:v>22000000</c:v>
                </c:pt>
                <c:pt idx="65">
                  <c:v>16000</c:v>
                </c:pt>
                <c:pt idx="66">
                  <c:v>21000000</c:v>
                </c:pt>
                <c:pt idx="67">
                  <c:v>50000000</c:v>
                </c:pt>
                <c:pt idx="68">
                  <c:v>2000000</c:v>
                </c:pt>
                <c:pt idx="69">
                  <c:v>16000</c:v>
                </c:pt>
                <c:pt idx="70">
                  <c:v>4000000</c:v>
                </c:pt>
                <c:pt idx="71">
                  <c:v>40000</c:v>
                </c:pt>
                <c:pt idx="72">
                  <c:v>3840000</c:v>
                </c:pt>
                <c:pt idx="73">
                  <c:v>2460000</c:v>
                </c:pt>
                <c:pt idx="74">
                  <c:v>2200000</c:v>
                </c:pt>
                <c:pt idx="75">
                  <c:v>2000000</c:v>
                </c:pt>
                <c:pt idx="76">
                  <c:v>40000000</c:v>
                </c:pt>
                <c:pt idx="77">
                  <c:v>20000000000</c:v>
                </c:pt>
                <c:pt idx="78">
                  <c:v>2000000000</c:v>
                </c:pt>
                <c:pt idx="79">
                  <c:v>80000000</c:v>
                </c:pt>
                <c:pt idx="80">
                  <c:v>150000000</c:v>
                </c:pt>
                <c:pt idx="81">
                  <c:v>75000000</c:v>
                </c:pt>
                <c:pt idx="82">
                  <c:v>70000000</c:v>
                </c:pt>
                <c:pt idx="83">
                  <c:v>24000000</c:v>
                </c:pt>
                <c:pt idx="84">
                  <c:v>20000000</c:v>
                </c:pt>
                <c:pt idx="85">
                  <c:v>25000000</c:v>
                </c:pt>
                <c:pt idx="86">
                  <c:v>2200000</c:v>
                </c:pt>
                <c:pt idx="87">
                  <c:v>3840000</c:v>
                </c:pt>
                <c:pt idx="88">
                  <c:v>40000</c:v>
                </c:pt>
                <c:pt idx="89">
                  <c:v>2200000</c:v>
                </c:pt>
                <c:pt idx="90">
                  <c:v>5000000</c:v>
                </c:pt>
                <c:pt idx="91">
                  <c:v>2000000</c:v>
                </c:pt>
                <c:pt idx="92">
                  <c:v>1600000000</c:v>
                </c:pt>
                <c:pt idx="93">
                  <c:v>600000000</c:v>
                </c:pt>
                <c:pt idx="94">
                  <c:v>220000000</c:v>
                </c:pt>
                <c:pt idx="95">
                  <c:v>150000000</c:v>
                </c:pt>
                <c:pt idx="96">
                  <c:v>125000000</c:v>
                </c:pt>
                <c:pt idx="97">
                  <c:v>40000000000</c:v>
                </c:pt>
                <c:pt idx="98">
                  <c:v>600000000</c:v>
                </c:pt>
                <c:pt idx="99">
                  <c:v>40000000</c:v>
                </c:pt>
                <c:pt idx="100">
                  <c:v>20000000</c:v>
                </c:pt>
                <c:pt idx="101">
                  <c:v>50000000</c:v>
                </c:pt>
                <c:pt idx="102">
                  <c:v>10000000</c:v>
                </c:pt>
                <c:pt idx="103">
                  <c:v>80000000</c:v>
                </c:pt>
                <c:pt idx="104">
                  <c:v>80000000</c:v>
                </c:pt>
                <c:pt idx="105">
                  <c:v>30000000</c:v>
                </c:pt>
                <c:pt idx="106">
                  <c:v>48000</c:v>
                </c:pt>
                <c:pt idx="107">
                  <c:v>4000000</c:v>
                </c:pt>
                <c:pt idx="108">
                  <c:v>3880000</c:v>
                </c:pt>
                <c:pt idx="109">
                  <c:v>2000000</c:v>
                </c:pt>
                <c:pt idx="110">
                  <c:v>20000000</c:v>
                </c:pt>
                <c:pt idx="111">
                  <c:v>40000</c:v>
                </c:pt>
                <c:pt idx="112">
                  <c:v>40000</c:v>
                </c:pt>
                <c:pt idx="113">
                  <c:v>12000000</c:v>
                </c:pt>
                <c:pt idx="114">
                  <c:v>50000000</c:v>
                </c:pt>
                <c:pt idx="115">
                  <c:v>125000000</c:v>
                </c:pt>
                <c:pt idx="116">
                  <c:v>200000000</c:v>
                </c:pt>
                <c:pt idx="117">
                  <c:v>4000000</c:v>
                </c:pt>
                <c:pt idx="118">
                  <c:v>856000</c:v>
                </c:pt>
                <c:pt idx="119">
                  <c:v>1200000</c:v>
                </c:pt>
                <c:pt idx="120">
                  <c:v>1200000</c:v>
                </c:pt>
                <c:pt idx="121">
                  <c:v>2000000</c:v>
                </c:pt>
                <c:pt idx="122">
                  <c:v>46000000</c:v>
                </c:pt>
                <c:pt idx="123">
                  <c:v>40000000</c:v>
                </c:pt>
                <c:pt idx="124">
                  <c:v>17000000</c:v>
                </c:pt>
                <c:pt idx="125">
                  <c:v>400000</c:v>
                </c:pt>
                <c:pt idx="126">
                  <c:v>4400000</c:v>
                </c:pt>
                <c:pt idx="127">
                  <c:v>2200000</c:v>
                </c:pt>
                <c:pt idx="128">
                  <c:v>50000</c:v>
                </c:pt>
                <c:pt idx="129">
                  <c:v>20000</c:v>
                </c:pt>
                <c:pt idx="130">
                  <c:v>6400000</c:v>
                </c:pt>
                <c:pt idx="131">
                  <c:v>64000000</c:v>
                </c:pt>
                <c:pt idx="132">
                  <c:v>50000000</c:v>
                </c:pt>
                <c:pt idx="133">
                  <c:v>40000000</c:v>
                </c:pt>
                <c:pt idx="134">
                  <c:v>8000000</c:v>
                </c:pt>
                <c:pt idx="135">
                  <c:v>100000</c:v>
                </c:pt>
                <c:pt idx="136">
                  <c:v>100000000</c:v>
                </c:pt>
                <c:pt idx="137">
                  <c:v>50000000</c:v>
                </c:pt>
                <c:pt idx="138">
                  <c:v>40000000</c:v>
                </c:pt>
                <c:pt idx="139">
                  <c:v>1250000000</c:v>
                </c:pt>
                <c:pt idx="140">
                  <c:v>1000000000</c:v>
                </c:pt>
                <c:pt idx="141">
                  <c:v>4000000000</c:v>
                </c:pt>
                <c:pt idx="142">
                  <c:v>22000000000</c:v>
                </c:pt>
                <c:pt idx="143">
                  <c:v>600000000</c:v>
                </c:pt>
                <c:pt idx="144">
                  <c:v>1000000000</c:v>
                </c:pt>
                <c:pt idx="145">
                  <c:v>40000000</c:v>
                </c:pt>
                <c:pt idx="146">
                  <c:v>20000000</c:v>
                </c:pt>
                <c:pt idx="147">
                  <c:v>400000</c:v>
                </c:pt>
                <c:pt idx="148">
                  <c:v>1228000</c:v>
                </c:pt>
                <c:pt idx="149">
                  <c:v>20000000</c:v>
                </c:pt>
                <c:pt idx="150">
                  <c:v>5000000</c:v>
                </c:pt>
                <c:pt idx="151">
                  <c:v>80000000</c:v>
                </c:pt>
                <c:pt idx="152">
                  <c:v>160000000</c:v>
                </c:pt>
                <c:pt idx="153">
                  <c:v>30000000</c:v>
                </c:pt>
                <c:pt idx="154">
                  <c:v>205000000</c:v>
                </c:pt>
                <c:pt idx="155">
                  <c:v>200000000</c:v>
                </c:pt>
                <c:pt idx="156">
                  <c:v>205000000</c:v>
                </c:pt>
                <c:pt idx="157">
                  <c:v>800000000</c:v>
                </c:pt>
                <c:pt idx="158">
                  <c:v>40000000</c:v>
                </c:pt>
                <c:pt idx="159">
                  <c:v>250000000</c:v>
                </c:pt>
                <c:pt idx="160">
                  <c:v>150000000</c:v>
                </c:pt>
                <c:pt idx="161">
                  <c:v>1000000</c:v>
                </c:pt>
                <c:pt idx="162">
                  <c:v>100000</c:v>
                </c:pt>
                <c:pt idx="163">
                  <c:v>100000000</c:v>
                </c:pt>
                <c:pt idx="164">
                  <c:v>100000000</c:v>
                </c:pt>
                <c:pt idx="165">
                  <c:v>1750000000</c:v>
                </c:pt>
                <c:pt idx="166">
                  <c:v>40000</c:v>
                </c:pt>
                <c:pt idx="167">
                  <c:v>400000</c:v>
                </c:pt>
                <c:pt idx="168">
                  <c:v>5000000</c:v>
                </c:pt>
                <c:pt idx="169">
                  <c:v>40000000</c:v>
                </c:pt>
                <c:pt idx="170">
                  <c:v>20000000</c:v>
                </c:pt>
                <c:pt idx="171">
                  <c:v>16000000</c:v>
                </c:pt>
                <c:pt idx="172">
                  <c:v>40000</c:v>
                </c:pt>
                <c:pt idx="173">
                  <c:v>20000000</c:v>
                </c:pt>
                <c:pt idx="174">
                  <c:v>1250000000</c:v>
                </c:pt>
                <c:pt idx="175">
                  <c:v>24000000000</c:v>
                </c:pt>
                <c:pt idx="176">
                  <c:v>200000000</c:v>
                </c:pt>
                <c:pt idx="177">
                  <c:v>300000000</c:v>
                </c:pt>
                <c:pt idx="178">
                  <c:v>400000</c:v>
                </c:pt>
                <c:pt idx="179">
                  <c:v>2200000000</c:v>
                </c:pt>
                <c:pt idx="180">
                  <c:v>995540000</c:v>
                </c:pt>
                <c:pt idx="181">
                  <c:v>800000000</c:v>
                </c:pt>
                <c:pt idx="182">
                  <c:v>600000000</c:v>
                </c:pt>
                <c:pt idx="183">
                  <c:v>500000000</c:v>
                </c:pt>
                <c:pt idx="184">
                  <c:v>125000000</c:v>
                </c:pt>
                <c:pt idx="185">
                  <c:v>100000000</c:v>
                </c:pt>
                <c:pt idx="186">
                  <c:v>50000000</c:v>
                </c:pt>
                <c:pt idx="187">
                  <c:v>50000000</c:v>
                </c:pt>
                <c:pt idx="188">
                  <c:v>600000</c:v>
                </c:pt>
                <c:pt idx="189">
                  <c:v>40000000</c:v>
                </c:pt>
                <c:pt idx="190">
                  <c:v>4000000</c:v>
                </c:pt>
                <c:pt idx="191">
                  <c:v>40000000</c:v>
                </c:pt>
                <c:pt idx="192">
                  <c:v>4000000</c:v>
                </c:pt>
                <c:pt idx="193">
                  <c:v>10300000000</c:v>
                </c:pt>
                <c:pt idx="194">
                  <c:v>250000000</c:v>
                </c:pt>
                <c:pt idx="195">
                  <c:v>160000000</c:v>
                </c:pt>
                <c:pt idx="196">
                  <c:v>2200000000</c:v>
                </c:pt>
                <c:pt idx="197">
                  <c:v>9000000</c:v>
                </c:pt>
                <c:pt idx="198">
                  <c:v>100000000</c:v>
                </c:pt>
                <c:pt idx="199">
                  <c:v>10000000</c:v>
                </c:pt>
                <c:pt idx="200">
                  <c:v>12500000</c:v>
                </c:pt>
                <c:pt idx="201">
                  <c:v>45000000</c:v>
                </c:pt>
                <c:pt idx="202">
                  <c:v>40000000</c:v>
                </c:pt>
                <c:pt idx="203">
                  <c:v>50000000</c:v>
                </c:pt>
                <c:pt idx="204">
                  <c:v>100000000</c:v>
                </c:pt>
                <c:pt idx="205">
                  <c:v>10240000</c:v>
                </c:pt>
                <c:pt idx="206">
                  <c:v>40000000000</c:v>
                </c:pt>
                <c:pt idx="207">
                  <c:v>2600000000</c:v>
                </c:pt>
                <c:pt idx="208">
                  <c:v>1000000000</c:v>
                </c:pt>
                <c:pt idx="209">
                  <c:v>800000000</c:v>
                </c:pt>
                <c:pt idx="210">
                  <c:v>80000000</c:v>
                </c:pt>
                <c:pt idx="211">
                  <c:v>400000000</c:v>
                </c:pt>
                <c:pt idx="212">
                  <c:v>20000</c:v>
                </c:pt>
                <c:pt idx="213">
                  <c:v>250000000</c:v>
                </c:pt>
                <c:pt idx="214">
                  <c:v>50000000</c:v>
                </c:pt>
                <c:pt idx="215">
                  <c:v>2083333.3333333333</c:v>
                </c:pt>
                <c:pt idx="216">
                  <c:v>20000</c:v>
                </c:pt>
                <c:pt idx="217">
                  <c:v>100000</c:v>
                </c:pt>
                <c:pt idx="218">
                  <c:v>40000000</c:v>
                </c:pt>
                <c:pt idx="219">
                  <c:v>48001920.076803073</c:v>
                </c:pt>
                <c:pt idx="220">
                  <c:v>300000075.00001878</c:v>
                </c:pt>
                <c:pt idx="221">
                  <c:v>20000000</c:v>
                </c:pt>
                <c:pt idx="222">
                  <c:v>50000000</c:v>
                </c:pt>
                <c:pt idx="223">
                  <c:v>72000000</c:v>
                </c:pt>
                <c:pt idx="224">
                  <c:v>120000000</c:v>
                </c:pt>
                <c:pt idx="225">
                  <c:v>25000000000</c:v>
                </c:pt>
                <c:pt idx="226">
                  <c:v>20000000</c:v>
                </c:pt>
                <c:pt idx="227">
                  <c:v>200000000</c:v>
                </c:pt>
                <c:pt idx="228">
                  <c:v>250000000</c:v>
                </c:pt>
                <c:pt idx="229">
                  <c:v>22000000</c:v>
                </c:pt>
                <c:pt idx="230">
                  <c:v>80000000</c:v>
                </c:pt>
                <c:pt idx="231">
                  <c:v>4000000</c:v>
                </c:pt>
                <c:pt idx="232">
                  <c:v>30000000</c:v>
                </c:pt>
                <c:pt idx="233">
                  <c:v>10000000000</c:v>
                </c:pt>
                <c:pt idx="234">
                  <c:v>36000000</c:v>
                </c:pt>
                <c:pt idx="235">
                  <c:v>40000</c:v>
                </c:pt>
                <c:pt idx="236">
                  <c:v>50000000</c:v>
                </c:pt>
                <c:pt idx="237">
                  <c:v>1333.3333333333333</c:v>
                </c:pt>
                <c:pt idx="238">
                  <c:v>25</c:v>
                </c:pt>
                <c:pt idx="239">
                  <c:v>500000</c:v>
                </c:pt>
                <c:pt idx="240">
                  <c:v>60000000</c:v>
                </c:pt>
                <c:pt idx="241">
                  <c:v>200000</c:v>
                </c:pt>
                <c:pt idx="242">
                  <c:v>10000000000</c:v>
                </c:pt>
                <c:pt idx="243">
                  <c:v>3600000000</c:v>
                </c:pt>
                <c:pt idx="244">
                  <c:v>2500000000</c:v>
                </c:pt>
                <c:pt idx="245">
                  <c:v>1200000000</c:v>
                </c:pt>
                <c:pt idx="246">
                  <c:v>900000000</c:v>
                </c:pt>
                <c:pt idx="247">
                  <c:v>80000000</c:v>
                </c:pt>
                <c:pt idx="248">
                  <c:v>32000</c:v>
                </c:pt>
                <c:pt idx="249">
                  <c:v>200000</c:v>
                </c:pt>
                <c:pt idx="250">
                  <c:v>4000</c:v>
                </c:pt>
                <c:pt idx="251">
                  <c:v>80000000</c:v>
                </c:pt>
                <c:pt idx="252">
                  <c:v>100000000</c:v>
                </c:pt>
                <c:pt idx="253">
                  <c:v>48000000</c:v>
                </c:pt>
                <c:pt idx="254">
                  <c:v>90000000000</c:v>
                </c:pt>
                <c:pt idx="255">
                  <c:v>20000000000</c:v>
                </c:pt>
                <c:pt idx="256">
                  <c:v>10000000000</c:v>
                </c:pt>
                <c:pt idx="257">
                  <c:v>1000000000</c:v>
                </c:pt>
                <c:pt idx="258">
                  <c:v>1620000000</c:v>
                </c:pt>
                <c:pt idx="259">
                  <c:v>2200000000</c:v>
                </c:pt>
                <c:pt idx="260">
                  <c:v>4000000</c:v>
                </c:pt>
                <c:pt idx="261">
                  <c:v>91428571.428571433</c:v>
                </c:pt>
                <c:pt idx="262">
                  <c:v>1000000000</c:v>
                </c:pt>
                <c:pt idx="263">
                  <c:v>10000000000</c:v>
                </c:pt>
                <c:pt idx="264">
                  <c:v>200</c:v>
                </c:pt>
                <c:pt idx="265">
                  <c:v>100000000</c:v>
                </c:pt>
                <c:pt idx="266">
                  <c:v>4400000</c:v>
                </c:pt>
                <c:pt idx="267">
                  <c:v>80000</c:v>
                </c:pt>
                <c:pt idx="268">
                  <c:v>250000000</c:v>
                </c:pt>
                <c:pt idx="269">
                  <c:v>35000000</c:v>
                </c:pt>
                <c:pt idx="270">
                  <c:v>500000000</c:v>
                </c:pt>
                <c:pt idx="271">
                  <c:v>100000</c:v>
                </c:pt>
                <c:pt idx="272">
                  <c:v>50000000</c:v>
                </c:pt>
                <c:pt idx="273">
                  <c:v>6400000</c:v>
                </c:pt>
                <c:pt idx="274">
                  <c:v>800000000</c:v>
                </c:pt>
                <c:pt idx="275">
                  <c:v>1600000000</c:v>
                </c:pt>
                <c:pt idx="276">
                  <c:v>5000000000</c:v>
                </c:pt>
                <c:pt idx="277">
                  <c:v>5000000000</c:v>
                </c:pt>
                <c:pt idx="278">
                  <c:v>1700000000</c:v>
                </c:pt>
                <c:pt idx="279">
                  <c:v>16000000000</c:v>
                </c:pt>
                <c:pt idx="280">
                  <c:v>90000000</c:v>
                </c:pt>
                <c:pt idx="281">
                  <c:v>50000000</c:v>
                </c:pt>
                <c:pt idx="282">
                  <c:v>20000000</c:v>
                </c:pt>
                <c:pt idx="283">
                  <c:v>48000</c:v>
                </c:pt>
                <c:pt idx="284">
                  <c:v>700000000</c:v>
                </c:pt>
                <c:pt idx="285">
                  <c:v>320000000</c:v>
                </c:pt>
                <c:pt idx="286">
                  <c:v>40000</c:v>
                </c:pt>
                <c:pt idx="287">
                  <c:v>2000</c:v>
                </c:pt>
                <c:pt idx="288">
                  <c:v>2000</c:v>
                </c:pt>
                <c:pt idx="289">
                  <c:v>1000000000</c:v>
                </c:pt>
                <c:pt idx="290">
                  <c:v>100000000</c:v>
                </c:pt>
                <c:pt idx="291">
                  <c:v>4000000000</c:v>
                </c:pt>
                <c:pt idx="292">
                  <c:v>4000000000</c:v>
                </c:pt>
                <c:pt idx="293">
                  <c:v>2600000000</c:v>
                </c:pt>
                <c:pt idx="294">
                  <c:v>600000000</c:v>
                </c:pt>
                <c:pt idx="295">
                  <c:v>400</c:v>
                </c:pt>
                <c:pt idx="296">
                  <c:v>4000000000</c:v>
                </c:pt>
                <c:pt idx="297">
                  <c:v>2000000000</c:v>
                </c:pt>
                <c:pt idx="298">
                  <c:v>2400000000</c:v>
                </c:pt>
                <c:pt idx="299">
                  <c:v>8000000000</c:v>
                </c:pt>
                <c:pt idx="300">
                  <c:v>10000000000</c:v>
                </c:pt>
                <c:pt idx="301">
                  <c:v>1000</c:v>
                </c:pt>
                <c:pt idx="302">
                  <c:v>20000000</c:v>
                </c:pt>
                <c:pt idx="303">
                  <c:v>10000000</c:v>
                </c:pt>
                <c:pt idx="304">
                  <c:v>30000000</c:v>
                </c:pt>
                <c:pt idx="305">
                  <c:v>250000000</c:v>
                </c:pt>
                <c:pt idx="306">
                  <c:v>330000000</c:v>
                </c:pt>
                <c:pt idx="307">
                  <c:v>1500000000</c:v>
                </c:pt>
                <c:pt idx="308">
                  <c:v>75000000</c:v>
                </c:pt>
                <c:pt idx="309">
                  <c:v>160000000</c:v>
                </c:pt>
                <c:pt idx="310">
                  <c:v>64000000000</c:v>
                </c:pt>
                <c:pt idx="311">
                  <c:v>200000000</c:v>
                </c:pt>
                <c:pt idx="312">
                  <c:v>100000000</c:v>
                </c:pt>
                <c:pt idx="313">
                  <c:v>10000</c:v>
                </c:pt>
                <c:pt idx="314">
                  <c:v>1250000</c:v>
                </c:pt>
                <c:pt idx="315">
                  <c:v>200000</c:v>
                </c:pt>
                <c:pt idx="316">
                  <c:v>2000</c:v>
                </c:pt>
                <c:pt idx="317">
                  <c:v>270000</c:v>
                </c:pt>
                <c:pt idx="318">
                  <c:v>1000000</c:v>
                </c:pt>
                <c:pt idx="319">
                  <c:v>6000</c:v>
                </c:pt>
                <c:pt idx="320">
                  <c:v>10000</c:v>
                </c:pt>
                <c:pt idx="321">
                  <c:v>72000000000</c:v>
                </c:pt>
                <c:pt idx="322">
                  <c:v>20000</c:v>
                </c:pt>
                <c:pt idx="323">
                  <c:v>1000</c:v>
                </c:pt>
                <c:pt idx="324">
                  <c:v>3200000000</c:v>
                </c:pt>
                <c:pt idx="325">
                  <c:v>1000000000</c:v>
                </c:pt>
                <c:pt idx="326">
                  <c:v>5000000000</c:v>
                </c:pt>
                <c:pt idx="327">
                  <c:v>2000000</c:v>
                </c:pt>
                <c:pt idx="328">
                  <c:v>20000000</c:v>
                </c:pt>
                <c:pt idx="329">
                  <c:v>600000000</c:v>
                </c:pt>
                <c:pt idx="330">
                  <c:v>15000000</c:v>
                </c:pt>
                <c:pt idx="331">
                  <c:v>30000000000</c:v>
                </c:pt>
                <c:pt idx="332">
                  <c:v>20000000</c:v>
                </c:pt>
                <c:pt idx="333">
                  <c:v>5000000000</c:v>
                </c:pt>
                <c:pt idx="334">
                  <c:v>80000000</c:v>
                </c:pt>
                <c:pt idx="335">
                  <c:v>100000000</c:v>
                </c:pt>
                <c:pt idx="336">
                  <c:v>50000000</c:v>
                </c:pt>
                <c:pt idx="337">
                  <c:v>100000000</c:v>
                </c:pt>
                <c:pt idx="338">
                  <c:v>160000000</c:v>
                </c:pt>
                <c:pt idx="339">
                  <c:v>200000000</c:v>
                </c:pt>
                <c:pt idx="340">
                  <c:v>300</c:v>
                </c:pt>
                <c:pt idx="341">
                  <c:v>200000000</c:v>
                </c:pt>
                <c:pt idx="342">
                  <c:v>4000</c:v>
                </c:pt>
                <c:pt idx="343">
                  <c:v>48000</c:v>
                </c:pt>
                <c:pt idx="344">
                  <c:v>80000</c:v>
                </c:pt>
                <c:pt idx="345">
                  <c:v>200000</c:v>
                </c:pt>
                <c:pt idx="346">
                  <c:v>1250000</c:v>
                </c:pt>
                <c:pt idx="347">
                  <c:v>80000000</c:v>
                </c:pt>
                <c:pt idx="348">
                  <c:v>30000000</c:v>
                </c:pt>
                <c:pt idx="349">
                  <c:v>44100</c:v>
                </c:pt>
                <c:pt idx="350">
                  <c:v>18000000000</c:v>
                </c:pt>
                <c:pt idx="351">
                  <c:v>10000000000</c:v>
                </c:pt>
                <c:pt idx="352">
                  <c:v>3300000000</c:v>
                </c:pt>
                <c:pt idx="353">
                  <c:v>100000000</c:v>
                </c:pt>
                <c:pt idx="354">
                  <c:v>40000000</c:v>
                </c:pt>
                <c:pt idx="355">
                  <c:v>1600000000</c:v>
                </c:pt>
                <c:pt idx="356">
                  <c:v>80000000</c:v>
                </c:pt>
                <c:pt idx="357">
                  <c:v>20000</c:v>
                </c:pt>
                <c:pt idx="358">
                  <c:v>25000</c:v>
                </c:pt>
                <c:pt idx="359">
                  <c:v>100000000000</c:v>
                </c:pt>
                <c:pt idx="360">
                  <c:v>48000</c:v>
                </c:pt>
                <c:pt idx="361" formatCode="0.00.E+00">
                  <c:v>48000</c:v>
                </c:pt>
                <c:pt idx="362">
                  <c:v>200000000</c:v>
                </c:pt>
                <c:pt idx="363">
                  <c:v>25000000</c:v>
                </c:pt>
                <c:pt idx="364">
                  <c:v>600000000</c:v>
                </c:pt>
                <c:pt idx="365">
                  <c:v>900000000</c:v>
                </c:pt>
                <c:pt idx="366">
                  <c:v>500000</c:v>
                </c:pt>
                <c:pt idx="367">
                  <c:v>6000</c:v>
                </c:pt>
                <c:pt idx="368">
                  <c:v>1250000</c:v>
                </c:pt>
                <c:pt idx="369">
                  <c:v>40000000</c:v>
                </c:pt>
                <c:pt idx="370">
                  <c:v>160000000</c:v>
                </c:pt>
                <c:pt idx="371">
                  <c:v>50000000</c:v>
                </c:pt>
                <c:pt idx="372">
                  <c:v>7000000</c:v>
                </c:pt>
                <c:pt idx="373">
                  <c:v>1000</c:v>
                </c:pt>
                <c:pt idx="374">
                  <c:v>2000</c:v>
                </c:pt>
                <c:pt idx="375">
                  <c:v>20000</c:v>
                </c:pt>
                <c:pt idx="376">
                  <c:v>20000</c:v>
                </c:pt>
                <c:pt idx="377">
                  <c:v>112000000000</c:v>
                </c:pt>
                <c:pt idx="378" formatCode="0.00.E+00">
                  <c:v>5000000000</c:v>
                </c:pt>
                <c:pt idx="379" formatCode="0.00.E+00">
                  <c:v>130000000</c:v>
                </c:pt>
                <c:pt idx="380" formatCode="0.00.E+00">
                  <c:v>200000000</c:v>
                </c:pt>
                <c:pt idx="381" formatCode="0.00.E+00">
                  <c:v>260000000</c:v>
                </c:pt>
                <c:pt idx="382" formatCode="0.00.E+00">
                  <c:v>2000000</c:v>
                </c:pt>
                <c:pt idx="383" formatCode="0.00.E+00">
                  <c:v>2702.7027027027029</c:v>
                </c:pt>
                <c:pt idx="384" formatCode="0.00.E+00">
                  <c:v>20000</c:v>
                </c:pt>
                <c:pt idx="385" formatCode="0.00.E+00">
                  <c:v>5000</c:v>
                </c:pt>
                <c:pt idx="386">
                  <c:v>2000</c:v>
                </c:pt>
                <c:pt idx="387">
                  <c:v>40000</c:v>
                </c:pt>
                <c:pt idx="388">
                  <c:v>720000000</c:v>
                </c:pt>
                <c:pt idx="389">
                  <c:v>240000000</c:v>
                </c:pt>
                <c:pt idx="390">
                  <c:v>1000000</c:v>
                </c:pt>
                <c:pt idx="391">
                  <c:v>24000000</c:v>
                </c:pt>
                <c:pt idx="392">
                  <c:v>16000</c:v>
                </c:pt>
                <c:pt idx="393">
                  <c:v>1800000000</c:v>
                </c:pt>
                <c:pt idx="394">
                  <c:v>2600000000</c:v>
                </c:pt>
                <c:pt idx="395">
                  <c:v>2000000000</c:v>
                </c:pt>
                <c:pt idx="396">
                  <c:v>12000000</c:v>
                </c:pt>
                <c:pt idx="397">
                  <c:v>50000000</c:v>
                </c:pt>
                <c:pt idx="398">
                  <c:v>300000</c:v>
                </c:pt>
                <c:pt idx="399">
                  <c:v>200000000</c:v>
                </c:pt>
                <c:pt idx="400">
                  <c:v>2800000000</c:v>
                </c:pt>
                <c:pt idx="401">
                  <c:v>1250000000</c:v>
                </c:pt>
                <c:pt idx="402">
                  <c:v>24000000000</c:v>
                </c:pt>
                <c:pt idx="403">
                  <c:v>1000000000</c:v>
                </c:pt>
                <c:pt idx="404">
                  <c:v>4500000000</c:v>
                </c:pt>
                <c:pt idx="405">
                  <c:v>2700000000</c:v>
                </c:pt>
                <c:pt idx="406">
                  <c:v>10000000000</c:v>
                </c:pt>
                <c:pt idx="407">
                  <c:v>40000000000</c:v>
                </c:pt>
                <c:pt idx="408">
                  <c:v>2000</c:v>
                </c:pt>
                <c:pt idx="409">
                  <c:v>5000</c:v>
                </c:pt>
                <c:pt idx="410" formatCode="0.00.E+00">
                  <c:v>2000000</c:v>
                </c:pt>
                <c:pt idx="411" formatCode="0.00.E+00">
                  <c:v>200000000</c:v>
                </c:pt>
                <c:pt idx="412" formatCode="0.00.E+00">
                  <c:v>400000000</c:v>
                </c:pt>
                <c:pt idx="413" formatCode="0.00.E+00">
                  <c:v>400000000</c:v>
                </c:pt>
                <c:pt idx="414">
                  <c:v>50000000</c:v>
                </c:pt>
                <c:pt idx="415">
                  <c:v>40000</c:v>
                </c:pt>
                <c:pt idx="416">
                  <c:v>8000000</c:v>
                </c:pt>
                <c:pt idx="417">
                  <c:v>200000</c:v>
                </c:pt>
                <c:pt idx="418">
                  <c:v>40000000</c:v>
                </c:pt>
                <c:pt idx="419">
                  <c:v>2000000</c:v>
                </c:pt>
                <c:pt idx="420" formatCode="0.00.E+00">
                  <c:v>105000000000</c:v>
                </c:pt>
                <c:pt idx="421" formatCode="0.00.E+00">
                  <c:v>200000000000</c:v>
                </c:pt>
                <c:pt idx="422" formatCode="0.00.E+00">
                  <c:v>12000000000</c:v>
                </c:pt>
                <c:pt idx="423" formatCode="0.00.E+00">
                  <c:v>6400000000</c:v>
                </c:pt>
                <c:pt idx="424" formatCode="0.00.E+00">
                  <c:v>40000000000</c:v>
                </c:pt>
                <c:pt idx="425" formatCode="0.00.E+00">
                  <c:v>4800000000</c:v>
                </c:pt>
                <c:pt idx="426" formatCode="0.00.E+00">
                  <c:v>42000000000</c:v>
                </c:pt>
              </c:numCache>
            </c:numRef>
          </c:xVal>
          <c:yVal>
            <c:numRef>
              <c:f>ISSCC!$AH$2:$AH$428</c:f>
              <c:numCache>
                <c:formatCode>0.0</c:formatCode>
                <c:ptCount val="427"/>
                <c:pt idx="0">
                  <c:v>125.75018753952375</c:v>
                </c:pt>
                <c:pt idx="1">
                  <c:v>143.20818753952375</c:v>
                </c:pt>
                <c:pt idx="2">
                  <c:v>135.20691087293761</c:v>
                </c:pt>
                <c:pt idx="3">
                  <c:v>128.90305118311397</c:v>
                </c:pt>
                <c:pt idx="4">
                  <c:v>157.73996656365202</c:v>
                </c:pt>
                <c:pt idx="5">
                  <c:v>152.56547323513811</c:v>
                </c:pt>
                <c:pt idx="6">
                  <c:v>143.59637310505755</c:v>
                </c:pt>
                <c:pt idx="7">
                  <c:v>139.43697499232712</c:v>
                </c:pt>
                <c:pt idx="8">
                  <c:v>120.60446297532192</c:v>
                </c:pt>
                <c:pt idx="9">
                  <c:v>123.87086643357145</c:v>
                </c:pt>
                <c:pt idx="10">
                  <c:v>158.00427645094797</c:v>
                </c:pt>
                <c:pt idx="11">
                  <c:v>165.39302159646388</c:v>
                </c:pt>
                <c:pt idx="12">
                  <c:v>145.17728766960431</c:v>
                </c:pt>
                <c:pt idx="13">
                  <c:v>148.02059991327963</c:v>
                </c:pt>
                <c:pt idx="14">
                  <c:v>141.42059991327963</c:v>
                </c:pt>
                <c:pt idx="15">
                  <c:v>130.48981547844542</c:v>
                </c:pt>
                <c:pt idx="16">
                  <c:v>132.88116639021126</c:v>
                </c:pt>
                <c:pt idx="17">
                  <c:v>139.75724130399209</c:v>
                </c:pt>
                <c:pt idx="18">
                  <c:v>130.58933227713462</c:v>
                </c:pt>
                <c:pt idx="19">
                  <c:v>119.90855530574932</c:v>
                </c:pt>
                <c:pt idx="20">
                  <c:v>119.2</c:v>
                </c:pt>
                <c:pt idx="21">
                  <c:v>160.98863933907472</c:v>
                </c:pt>
                <c:pt idx="22">
                  <c:v>161.44727494896694</c:v>
                </c:pt>
                <c:pt idx="23">
                  <c:v>145.43697499232712</c:v>
                </c:pt>
                <c:pt idx="24">
                  <c:v>128.72878745280337</c:v>
                </c:pt>
                <c:pt idx="25">
                  <c:v>129.46787486224656</c:v>
                </c:pt>
                <c:pt idx="26">
                  <c:v>136.9176003468815</c:v>
                </c:pt>
                <c:pt idx="27">
                  <c:v>126.78475401645538</c:v>
                </c:pt>
                <c:pt idx="28">
                  <c:v>139.01516639021125</c:v>
                </c:pt>
                <c:pt idx="29">
                  <c:v>139.94938736608299</c:v>
                </c:pt>
                <c:pt idx="30">
                  <c:v>122.82880017344075</c:v>
                </c:pt>
                <c:pt idx="31">
                  <c:v>116.29426068794149</c:v>
                </c:pt>
                <c:pt idx="32">
                  <c:v>151.02059991327963</c:v>
                </c:pt>
                <c:pt idx="33">
                  <c:v>139.97940008672037</c:v>
                </c:pt>
                <c:pt idx="34">
                  <c:v>148.78414905399288</c:v>
                </c:pt>
                <c:pt idx="35">
                  <c:v>138.68521082957744</c:v>
                </c:pt>
                <c:pt idx="36">
                  <c:v>126.34119982655925</c:v>
                </c:pt>
                <c:pt idx="37">
                  <c:v>144.52667503568733</c:v>
                </c:pt>
                <c:pt idx="38">
                  <c:v>155.27087997029895</c:v>
                </c:pt>
                <c:pt idx="39">
                  <c:v>150.65546248849068</c:v>
                </c:pt>
                <c:pt idx="40">
                  <c:v>150.01029995663981</c:v>
                </c:pt>
                <c:pt idx="41">
                  <c:v>142.59637310505755</c:v>
                </c:pt>
                <c:pt idx="42">
                  <c:v>136.68636235841012</c:v>
                </c:pt>
                <c:pt idx="43">
                  <c:v>159.77491799837225</c:v>
                </c:pt>
                <c:pt idx="44">
                  <c:v>158.249387366083</c:v>
                </c:pt>
                <c:pt idx="45">
                  <c:v>125.76516854366213</c:v>
                </c:pt>
                <c:pt idx="46">
                  <c:v>128.40541434774582</c:v>
                </c:pt>
                <c:pt idx="47">
                  <c:v>141.55697499232713</c:v>
                </c:pt>
                <c:pt idx="48">
                  <c:v>146.61541748180824</c:v>
                </c:pt>
                <c:pt idx="49">
                  <c:v>153.51604147743285</c:v>
                </c:pt>
                <c:pt idx="50">
                  <c:v>147.66531544420414</c:v>
                </c:pt>
                <c:pt idx="51">
                  <c:v>125.46672163982407</c:v>
                </c:pt>
                <c:pt idx="52">
                  <c:v>124.74065018499614</c:v>
                </c:pt>
                <c:pt idx="53">
                  <c:v>132.53212513775344</c:v>
                </c:pt>
                <c:pt idx="54">
                  <c:v>140.88935392973502</c:v>
                </c:pt>
                <c:pt idx="55">
                  <c:v>143.71971276399756</c:v>
                </c:pt>
                <c:pt idx="56">
                  <c:v>144.20818753952375</c:v>
                </c:pt>
                <c:pt idx="57">
                  <c:v>132.81543506395394</c:v>
                </c:pt>
                <c:pt idx="58">
                  <c:v>149.19543935541867</c:v>
                </c:pt>
                <c:pt idx="59">
                  <c:v>128.04547627750722</c:v>
                </c:pt>
                <c:pt idx="60">
                  <c:v>154.92429823902063</c:v>
                </c:pt>
                <c:pt idx="61">
                  <c:v>157.82516055786093</c:v>
                </c:pt>
                <c:pt idx="62">
                  <c:v>154.21447236020219</c:v>
                </c:pt>
                <c:pt idx="63">
                  <c:v>137.38631997765026</c:v>
                </c:pt>
                <c:pt idx="64">
                  <c:v>136.78634853476652</c:v>
                </c:pt>
                <c:pt idx="65">
                  <c:v>146.03089986991944</c:v>
                </c:pt>
                <c:pt idx="66">
                  <c:v>153.64068044350276</c:v>
                </c:pt>
                <c:pt idx="67">
                  <c:v>145.43633966870959</c:v>
                </c:pt>
                <c:pt idx="68">
                  <c:v>153.81486060122114</c:v>
                </c:pt>
                <c:pt idx="69">
                  <c:v>147.03089986991944</c:v>
                </c:pt>
                <c:pt idx="70">
                  <c:v>137.07086643357144</c:v>
                </c:pt>
                <c:pt idx="71">
                  <c:v>160.60667306169736</c:v>
                </c:pt>
                <c:pt idx="72">
                  <c:v>153.61081933969632</c:v>
                </c:pt>
                <c:pt idx="73">
                  <c:v>167.77121254719663</c:v>
                </c:pt>
                <c:pt idx="74">
                  <c:v>155.49000995659969</c:v>
                </c:pt>
                <c:pt idx="75">
                  <c:v>158.77902142064283</c:v>
                </c:pt>
                <c:pt idx="76">
                  <c:v>135.76754126063193</c:v>
                </c:pt>
                <c:pt idx="77">
                  <c:v>119.452</c:v>
                </c:pt>
                <c:pt idx="78">
                  <c:v>125.08638306165727</c:v>
                </c:pt>
                <c:pt idx="79">
                  <c:v>145.85970900590706</c:v>
                </c:pt>
                <c:pt idx="80">
                  <c:v>139.85156151952302</c:v>
                </c:pt>
                <c:pt idx="81">
                  <c:v>148.11633269828764</c:v>
                </c:pt>
                <c:pt idx="82">
                  <c:v>148.23668044350276</c:v>
                </c:pt>
                <c:pt idx="83">
                  <c:v>161.04119982655925</c:v>
                </c:pt>
                <c:pt idx="84">
                  <c:v>142.12218582190457</c:v>
                </c:pt>
                <c:pt idx="85">
                  <c:v>149.95880017344075</c:v>
                </c:pt>
                <c:pt idx="86">
                  <c:v>159.64241434774584</c:v>
                </c:pt>
                <c:pt idx="87">
                  <c:v>142.42967460208544</c:v>
                </c:pt>
                <c:pt idx="88">
                  <c:v>162.54901959985744</c:v>
                </c:pt>
                <c:pt idx="89">
                  <c:v>154.65301426102545</c:v>
                </c:pt>
                <c:pt idx="90">
                  <c:v>144.21848749616356</c:v>
                </c:pt>
                <c:pt idx="91">
                  <c:v>151.84029654543082</c:v>
                </c:pt>
                <c:pt idx="92">
                  <c:v>133.79628364897238</c:v>
                </c:pt>
                <c:pt idx="93">
                  <c:v>138.67091259055681</c:v>
                </c:pt>
                <c:pt idx="94">
                  <c:v>140.1105891666322</c:v>
                </c:pt>
                <c:pt idx="95">
                  <c:v>135.63802914672627</c:v>
                </c:pt>
                <c:pt idx="96">
                  <c:v>142.24860722610154</c:v>
                </c:pt>
                <c:pt idx="97">
                  <c:v>117.21246399047172</c:v>
                </c:pt>
                <c:pt idx="98">
                  <c:v>135.77121254719663</c:v>
                </c:pt>
                <c:pt idx="99">
                  <c:v>149.05533773838408</c:v>
                </c:pt>
                <c:pt idx="100">
                  <c:v>150.32644078973982</c:v>
                </c:pt>
                <c:pt idx="101">
                  <c:v>150.05845405981557</c:v>
                </c:pt>
                <c:pt idx="102">
                  <c:v>150.09751981665835</c:v>
                </c:pt>
                <c:pt idx="103">
                  <c:v>149.84113039698775</c:v>
                </c:pt>
                <c:pt idx="104">
                  <c:v>146.77546051450074</c:v>
                </c:pt>
                <c:pt idx="105">
                  <c:v>137.32023214705407</c:v>
                </c:pt>
                <c:pt idx="106">
                  <c:v>154.80211241711606</c:v>
                </c:pt>
                <c:pt idx="107">
                  <c:v>140.78810700930063</c:v>
                </c:pt>
                <c:pt idx="108">
                  <c:v>155.08620483882601</c:v>
                </c:pt>
                <c:pt idx="109">
                  <c:v>163.23306390375134</c:v>
                </c:pt>
                <c:pt idx="110">
                  <c:v>149.69788758288394</c:v>
                </c:pt>
                <c:pt idx="111">
                  <c:v>157.45757490560675</c:v>
                </c:pt>
                <c:pt idx="112">
                  <c:v>159.32828271596986</c:v>
                </c:pt>
                <c:pt idx="113">
                  <c:v>145.19637310505755</c:v>
                </c:pt>
                <c:pt idx="114">
                  <c:v>143.53871964321763</c:v>
                </c:pt>
                <c:pt idx="115">
                  <c:v>145.63820026016111</c:v>
                </c:pt>
                <c:pt idx="116">
                  <c:v>142.52878745280339</c:v>
                </c:pt>
                <c:pt idx="117">
                  <c:v>159.23908740944319</c:v>
                </c:pt>
                <c:pt idx="118">
                  <c:v>143.87375724662897</c:v>
                </c:pt>
                <c:pt idx="119">
                  <c:v>166.45757490560675</c:v>
                </c:pt>
                <c:pt idx="120">
                  <c:v>154</c:v>
                </c:pt>
                <c:pt idx="121">
                  <c:v>153.27902142064283</c:v>
                </c:pt>
                <c:pt idx="122">
                  <c:v>156.08259380438005</c:v>
                </c:pt>
                <c:pt idx="123">
                  <c:v>164</c:v>
                </c:pt>
                <c:pt idx="124">
                  <c:v>149.55387657986574</c:v>
                </c:pt>
                <c:pt idx="125">
                  <c:v>149.78810700930063</c:v>
                </c:pt>
                <c:pt idx="126">
                  <c:v>164.3485250472427</c:v>
                </c:pt>
                <c:pt idx="127">
                  <c:v>159.08998925335257</c:v>
                </c:pt>
                <c:pt idx="128">
                  <c:v>153.20818753952375</c:v>
                </c:pt>
                <c:pt idx="129">
                  <c:v>156.98970004336019</c:v>
                </c:pt>
                <c:pt idx="130">
                  <c:v>157.59303542010747</c:v>
                </c:pt>
                <c:pt idx="131">
                  <c:v>149.373272974977</c:v>
                </c:pt>
                <c:pt idx="132">
                  <c:v>146.0266750356873</c:v>
                </c:pt>
                <c:pt idx="133">
                  <c:v>150.80108740944317</c:v>
                </c:pt>
                <c:pt idx="134">
                  <c:v>146.04119982655925</c:v>
                </c:pt>
                <c:pt idx="135">
                  <c:v>158.01029995663981</c:v>
                </c:pt>
                <c:pt idx="136">
                  <c:v>149.48721986001857</c:v>
                </c:pt>
                <c:pt idx="137">
                  <c:v>149.41848749616355</c:v>
                </c:pt>
                <c:pt idx="138">
                  <c:v>145.72895201635191</c:v>
                </c:pt>
                <c:pt idx="139">
                  <c:v>137.7447947656253</c:v>
                </c:pt>
                <c:pt idx="140">
                  <c:v>133.38607314841772</c:v>
                </c:pt>
                <c:pt idx="141">
                  <c:v>125.51639989019068</c:v>
                </c:pt>
                <c:pt idx="142">
                  <c:v>115.64271430438563</c:v>
                </c:pt>
                <c:pt idx="143">
                  <c:v>140.52845385118871</c:v>
                </c:pt>
                <c:pt idx="144">
                  <c:v>145.01029995663981</c:v>
                </c:pt>
                <c:pt idx="145">
                  <c:v>154.52841968657782</c:v>
                </c:pt>
                <c:pt idx="146">
                  <c:v>149.88246138944245</c:v>
                </c:pt>
                <c:pt idx="147">
                  <c:v>163.42667503568731</c:v>
                </c:pt>
                <c:pt idx="148">
                  <c:v>164.96806677306895</c:v>
                </c:pt>
                <c:pt idx="149">
                  <c:v>151.68402002101044</c:v>
                </c:pt>
                <c:pt idx="150">
                  <c:v>158.7839607313017</c:v>
                </c:pt>
                <c:pt idx="151">
                  <c:v>149.29146634685108</c:v>
                </c:pt>
                <c:pt idx="152">
                  <c:v>146.3301070093006</c:v>
                </c:pt>
                <c:pt idx="153">
                  <c:v>152.03993401119965</c:v>
                </c:pt>
                <c:pt idx="154">
                  <c:v>147.25394030381005</c:v>
                </c:pt>
                <c:pt idx="155">
                  <c:v>140.99381074285708</c:v>
                </c:pt>
                <c:pt idx="156">
                  <c:v>144.44582132652741</c:v>
                </c:pt>
                <c:pt idx="157">
                  <c:v>144.57991946977688</c:v>
                </c:pt>
                <c:pt idx="158">
                  <c:v>157.17216143280262</c:v>
                </c:pt>
                <c:pt idx="159">
                  <c:v>138.57728766960432</c:v>
                </c:pt>
                <c:pt idx="160">
                  <c:v>157.49579997691106</c:v>
                </c:pt>
                <c:pt idx="161">
                  <c:v>168.60216403383191</c:v>
                </c:pt>
                <c:pt idx="162">
                  <c:v>159.42667503568731</c:v>
                </c:pt>
                <c:pt idx="163">
                  <c:v>155.57242168318425</c:v>
                </c:pt>
                <c:pt idx="164">
                  <c:v>159.45757490560675</c:v>
                </c:pt>
                <c:pt idx="165">
                  <c:v>143.54585372200108</c:v>
                </c:pt>
                <c:pt idx="166">
                  <c:v>168.44727494896694</c:v>
                </c:pt>
                <c:pt idx="167">
                  <c:v>160.23306390375134</c:v>
                </c:pt>
                <c:pt idx="168">
                  <c:v>163.21848749616356</c:v>
                </c:pt>
                <c:pt idx="169">
                  <c:v>152.55425792390383</c:v>
                </c:pt>
                <c:pt idx="170">
                  <c:v>162</c:v>
                </c:pt>
                <c:pt idx="171">
                  <c:v>163.04119982655925</c:v>
                </c:pt>
                <c:pt idx="172">
                  <c:v>148.71848749616356</c:v>
                </c:pt>
                <c:pt idx="173">
                  <c:v>155.30480747381381</c:v>
                </c:pt>
                <c:pt idx="174">
                  <c:v>134.90730039024169</c:v>
                </c:pt>
                <c:pt idx="175">
                  <c:v>122.83</c:v>
                </c:pt>
                <c:pt idx="176">
                  <c:v>147.34727494896694</c:v>
                </c:pt>
                <c:pt idx="177">
                  <c:v>134.84612342013426</c:v>
                </c:pt>
                <c:pt idx="178">
                  <c:v>142.80921907623926</c:v>
                </c:pt>
                <c:pt idx="179">
                  <c:v>137.42422680822207</c:v>
                </c:pt>
                <c:pt idx="180">
                  <c:v>142.678474726069</c:v>
                </c:pt>
                <c:pt idx="181">
                  <c:v>140.07593765166371</c:v>
                </c:pt>
                <c:pt idx="182">
                  <c:v>143</c:v>
                </c:pt>
                <c:pt idx="183">
                  <c:v>149.57577319177793</c:v>
                </c:pt>
                <c:pt idx="184">
                  <c:v>159.10419287835575</c:v>
                </c:pt>
                <c:pt idx="185">
                  <c:v>154.65026652029184</c:v>
                </c:pt>
                <c:pt idx="186">
                  <c:v>152.22304814074488</c:v>
                </c:pt>
                <c:pt idx="187">
                  <c:v>159.44727494896694</c:v>
                </c:pt>
                <c:pt idx="188">
                  <c:v>152.70993219041424</c:v>
                </c:pt>
                <c:pt idx="189">
                  <c:v>161.71510743045363</c:v>
                </c:pt>
                <c:pt idx="190">
                  <c:v>165.52891560852598</c:v>
                </c:pt>
                <c:pt idx="191">
                  <c:v>152.79840696594044</c:v>
                </c:pt>
                <c:pt idx="192">
                  <c:v>149.66609291982451</c:v>
                </c:pt>
                <c:pt idx="193">
                  <c:v>132.80742622014691</c:v>
                </c:pt>
                <c:pt idx="194">
                  <c:v>159.17491087293763</c:v>
                </c:pt>
                <c:pt idx="195">
                  <c:v>152.13574972449314</c:v>
                </c:pt>
                <c:pt idx="196">
                  <c:v>147.36419337187408</c:v>
                </c:pt>
                <c:pt idx="197">
                  <c:v>162.02763592397071</c:v>
                </c:pt>
                <c:pt idx="198">
                  <c:v>154.35757490560675</c:v>
                </c:pt>
                <c:pt idx="199">
                  <c:v>157.24690718274138</c:v>
                </c:pt>
                <c:pt idx="200">
                  <c:v>157.74690718274138</c:v>
                </c:pt>
                <c:pt idx="201">
                  <c:v>165.81175575154214</c:v>
                </c:pt>
                <c:pt idx="202">
                  <c:v>154.68244625347529</c:v>
                </c:pt>
                <c:pt idx="203">
                  <c:v>161.4412615628832</c:v>
                </c:pt>
                <c:pt idx="204">
                  <c:v>162.45891560852598</c:v>
                </c:pt>
                <c:pt idx="205">
                  <c:v>157.10420870238576</c:v>
                </c:pt>
                <c:pt idx="206">
                  <c:v>126.487387366083</c:v>
                </c:pt>
                <c:pt idx="207">
                  <c:v>142.82702114931249</c:v>
                </c:pt>
                <c:pt idx="208">
                  <c:v>148.39302159646388</c:v>
                </c:pt>
                <c:pt idx="209">
                  <c:v>154.80870692258026</c:v>
                </c:pt>
                <c:pt idx="210">
                  <c:v>161.02059991327963</c:v>
                </c:pt>
                <c:pt idx="211">
                  <c:v>147.38970004336019</c:v>
                </c:pt>
                <c:pt idx="212">
                  <c:v>161.86132779630844</c:v>
                </c:pt>
                <c:pt idx="213">
                  <c:v>151.88670047696206</c:v>
                </c:pt>
                <c:pt idx="214">
                  <c:v>158.44850021680094</c:v>
                </c:pt>
                <c:pt idx="215">
                  <c:v>163.75330769061475</c:v>
                </c:pt>
                <c:pt idx="216">
                  <c:v>152.249387366083</c:v>
                </c:pt>
                <c:pt idx="217">
                  <c:v>169.52841968657782</c:v>
                </c:pt>
                <c:pt idx="218">
                  <c:v>160</c:v>
                </c:pt>
                <c:pt idx="219">
                  <c:v>151.01047367790702</c:v>
                </c:pt>
                <c:pt idx="220">
                  <c:v>158.35728678135069</c:v>
                </c:pt>
                <c:pt idx="221">
                  <c:v>165.95880017344075</c:v>
                </c:pt>
                <c:pt idx="222">
                  <c:v>162.18521082957744</c:v>
                </c:pt>
                <c:pt idx="223">
                  <c:v>164.70211241711607</c:v>
                </c:pt>
                <c:pt idx="224">
                  <c:v>155.37121254719662</c:v>
                </c:pt>
                <c:pt idx="225">
                  <c:v>129.81940008672038</c:v>
                </c:pt>
                <c:pt idx="226">
                  <c:v>169.72429823902064</c:v>
                </c:pt>
                <c:pt idx="227">
                  <c:v>159.70025714300445</c:v>
                </c:pt>
                <c:pt idx="228">
                  <c:v>164.66461091629782</c:v>
                </c:pt>
                <c:pt idx="229">
                  <c:v>163.31057643353134</c:v>
                </c:pt>
                <c:pt idx="230">
                  <c:v>152.44270803893096</c:v>
                </c:pt>
                <c:pt idx="231">
                  <c:v>168.94283515067434</c:v>
                </c:pt>
                <c:pt idx="232">
                  <c:v>168.11257542435743</c:v>
                </c:pt>
                <c:pt idx="233">
                  <c:v>134.75955204081924</c:v>
                </c:pt>
                <c:pt idx="234">
                  <c:v>170.24207898076807</c:v>
                </c:pt>
                <c:pt idx="235">
                  <c:v>175.70458261397735</c:v>
                </c:pt>
                <c:pt idx="236">
                  <c:v>166.84690718274135</c:v>
                </c:pt>
                <c:pt idx="237">
                  <c:v>157.12278685497495</c:v>
                </c:pt>
                <c:pt idx="238">
                  <c:v>182.79197773483432</c:v>
                </c:pt>
                <c:pt idx="239">
                  <c:v>171.2897000433602</c:v>
                </c:pt>
                <c:pt idx="240">
                  <c:v>159.74612342013427</c:v>
                </c:pt>
                <c:pt idx="241">
                  <c:v>157.68933726401687</c:v>
                </c:pt>
                <c:pt idx="242">
                  <c:v>135.64958762624411</c:v>
                </c:pt>
                <c:pt idx="243">
                  <c:v>143.54905376446834</c:v>
                </c:pt>
                <c:pt idx="244">
                  <c:v>138.18512112059921</c:v>
                </c:pt>
                <c:pt idx="245">
                  <c:v>152.22429823902064</c:v>
                </c:pt>
                <c:pt idx="246">
                  <c:v>157.39788758288393</c:v>
                </c:pt>
                <c:pt idx="247">
                  <c:v>162.39299602301122</c:v>
                </c:pt>
                <c:pt idx="248">
                  <c:v>176.27577319177794</c:v>
                </c:pt>
                <c:pt idx="249">
                  <c:v>176.38720713938119</c:v>
                </c:pt>
                <c:pt idx="250">
                  <c:v>167.34768301829709</c:v>
                </c:pt>
                <c:pt idx="251">
                  <c:v>170.25968732272281</c:v>
                </c:pt>
                <c:pt idx="252">
                  <c:v>159.38034897232637</c:v>
                </c:pt>
                <c:pt idx="253">
                  <c:v>163.55757490560674</c:v>
                </c:pt>
                <c:pt idx="254">
                  <c:v>141.29086679858796</c:v>
                </c:pt>
                <c:pt idx="255">
                  <c:v>142.28015195409887</c:v>
                </c:pt>
                <c:pt idx="256">
                  <c:v>145.68820026016112</c:v>
                </c:pt>
                <c:pt idx="257">
                  <c:v>155.62508200162773</c:v>
                </c:pt>
                <c:pt idx="258">
                  <c:v>147.40002070324715</c:v>
                </c:pt>
                <c:pt idx="259">
                  <c:v>143.43642122337837</c:v>
                </c:pt>
                <c:pt idx="260">
                  <c:v>160.42059991327963</c:v>
                </c:pt>
                <c:pt idx="261">
                  <c:v>155.48984076033912</c:v>
                </c:pt>
                <c:pt idx="262">
                  <c:v>154.19788758288394</c:v>
                </c:pt>
                <c:pt idx="263">
                  <c:v>138.30822913045577</c:v>
                </c:pt>
                <c:pt idx="264">
                  <c:v>153.56708621881336</c:v>
                </c:pt>
                <c:pt idx="265">
                  <c:v>162.66875401645538</c:v>
                </c:pt>
                <c:pt idx="266">
                  <c:v>177.29210167046864</c:v>
                </c:pt>
                <c:pt idx="267">
                  <c:v>172.30954126063193</c:v>
                </c:pt>
                <c:pt idx="268">
                  <c:v>159.70553624274726</c:v>
                </c:pt>
                <c:pt idx="269">
                  <c:v>159.46641546409654</c:v>
                </c:pt>
                <c:pt idx="270">
                  <c:v>150.57577319177793</c:v>
                </c:pt>
                <c:pt idx="271">
                  <c:v>174.84487332185847</c:v>
                </c:pt>
                <c:pt idx="272">
                  <c:v>174.87940008672038</c:v>
                </c:pt>
                <c:pt idx="273">
                  <c:v>172.52392146638331</c:v>
                </c:pt>
                <c:pt idx="274">
                  <c:v>154.33366632752271</c:v>
                </c:pt>
                <c:pt idx="275">
                  <c:v>162.75043883863148</c:v>
                </c:pt>
                <c:pt idx="276">
                  <c:v>147.33577319177792</c:v>
                </c:pt>
                <c:pt idx="277">
                  <c:v>148.31848749616356</c:v>
                </c:pt>
                <c:pt idx="278">
                  <c:v>158.61898204877829</c:v>
                </c:pt>
                <c:pt idx="279">
                  <c:v>140.95640008672038</c:v>
                </c:pt>
                <c:pt idx="280">
                  <c:v>167.90515560515678</c:v>
                </c:pt>
                <c:pt idx="281">
                  <c:v>164.80939667551138</c:v>
                </c:pt>
                <c:pt idx="282">
                  <c:v>170.24100347590769</c:v>
                </c:pt>
                <c:pt idx="283">
                  <c:v>177.83053210369388</c:v>
                </c:pt>
                <c:pt idx="284">
                  <c:v>151.4554624884907</c:v>
                </c:pt>
                <c:pt idx="285">
                  <c:v>161.35059991327961</c:v>
                </c:pt>
                <c:pt idx="286">
                  <c:v>169.13546051450072</c:v>
                </c:pt>
                <c:pt idx="287">
                  <c:v>164.96196279044042</c:v>
                </c:pt>
                <c:pt idx="288">
                  <c:v>179.04100347590764</c:v>
                </c:pt>
                <c:pt idx="289">
                  <c:v>150.58599459218456</c:v>
                </c:pt>
                <c:pt idx="290">
                  <c:v>175.97901959985745</c:v>
                </c:pt>
                <c:pt idx="291">
                  <c:v>145.08607314841774</c:v>
                </c:pt>
                <c:pt idx="292">
                  <c:v>154.23908740944319</c:v>
                </c:pt>
                <c:pt idx="293">
                  <c:v>159.09125529297299</c:v>
                </c:pt>
                <c:pt idx="294">
                  <c:v>158.53875380782853</c:v>
                </c:pt>
                <c:pt idx="295">
                  <c:v>148.55931955649726</c:v>
                </c:pt>
                <c:pt idx="296">
                  <c:v>153.20912630552164</c:v>
                </c:pt>
                <c:pt idx="297">
                  <c:v>152.32644078973982</c:v>
                </c:pt>
                <c:pt idx="298">
                  <c:v>153.85211241711607</c:v>
                </c:pt>
                <c:pt idx="299">
                  <c:v>150.249387366083</c:v>
                </c:pt>
                <c:pt idx="300">
                  <c:v>147.36572006437063</c:v>
                </c:pt>
                <c:pt idx="301">
                  <c:v>160.97606240177032</c:v>
                </c:pt>
                <c:pt idx="302">
                  <c:v>150.67178354696895</c:v>
                </c:pt>
                <c:pt idx="303">
                  <c:v>180.06212172654443</c:v>
                </c:pt>
                <c:pt idx="304">
                  <c:v>171.5918640771921</c:v>
                </c:pt>
                <c:pt idx="305">
                  <c:v>165.54516253185088</c:v>
                </c:pt>
                <c:pt idx="306">
                  <c:v>167.72995897554736</c:v>
                </c:pt>
                <c:pt idx="307">
                  <c:v>160.44955168934942</c:v>
                </c:pt>
                <c:pt idx="308">
                  <c:v>162.5783192063198</c:v>
                </c:pt>
                <c:pt idx="309">
                  <c:v>167.34336386039115</c:v>
                </c:pt>
                <c:pt idx="310">
                  <c:v>142.85326373031057</c:v>
                </c:pt>
                <c:pt idx="311">
                  <c:v>147.69999999999999</c:v>
                </c:pt>
                <c:pt idx="312">
                  <c:v>168.70759031411797</c:v>
                </c:pt>
                <c:pt idx="313">
                  <c:v>183.95757490560675</c:v>
                </c:pt>
                <c:pt idx="314">
                  <c:v>177.71600731282194</c:v>
                </c:pt>
                <c:pt idx="315">
                  <c:v>166.18607314841773</c:v>
                </c:pt>
                <c:pt idx="316">
                  <c:v>183.6579901113584</c:v>
                </c:pt>
                <c:pt idx="317">
                  <c:v>186.82513089773843</c:v>
                </c:pt>
                <c:pt idx="318">
                  <c:v>175.54503778174427</c:v>
                </c:pt>
                <c:pt idx="319">
                  <c:v>162.21848749616356</c:v>
                </c:pt>
                <c:pt idx="320">
                  <c:v>160.30000000000001</c:v>
                </c:pt>
                <c:pt idx="321">
                  <c:v>146.05234638495551</c:v>
                </c:pt>
                <c:pt idx="322">
                  <c:v>154.3654732351381</c:v>
                </c:pt>
                <c:pt idx="323">
                  <c:v>154.13280017344073</c:v>
                </c:pt>
                <c:pt idx="324">
                  <c:v>165.86659508137512</c:v>
                </c:pt>
                <c:pt idx="325">
                  <c:v>168.18356412055229</c:v>
                </c:pt>
                <c:pt idx="326">
                  <c:v>160.47636825690452</c:v>
                </c:pt>
                <c:pt idx="327">
                  <c:v>177.68599459218456</c:v>
                </c:pt>
                <c:pt idx="328">
                  <c:v>181.86186147616283</c:v>
                </c:pt>
                <c:pt idx="329">
                  <c:v>167.18970004336018</c:v>
                </c:pt>
                <c:pt idx="330">
                  <c:v>176.83835187699205</c:v>
                </c:pt>
                <c:pt idx="331">
                  <c:v>146.47737477034451</c:v>
                </c:pt>
                <c:pt idx="332">
                  <c:v>155.95094888560601</c:v>
                </c:pt>
                <c:pt idx="333">
                  <c:v>155.61914151478913</c:v>
                </c:pt>
                <c:pt idx="334">
                  <c:v>171.65149978319906</c:v>
                </c:pt>
                <c:pt idx="335">
                  <c:v>166.25026652029183</c:v>
                </c:pt>
                <c:pt idx="336">
                  <c:v>172.18156412055228</c:v>
                </c:pt>
                <c:pt idx="337">
                  <c:v>168.93587152887602</c:v>
                </c:pt>
                <c:pt idx="338">
                  <c:v>165.27986012350817</c:v>
                </c:pt>
                <c:pt idx="339">
                  <c:v>170.47812395596043</c:v>
                </c:pt>
                <c:pt idx="340">
                  <c:v>161.03448749616356</c:v>
                </c:pt>
                <c:pt idx="341">
                  <c:v>147.90120913598764</c:v>
                </c:pt>
                <c:pt idx="342">
                  <c:v>164.86278840072981</c:v>
                </c:pt>
                <c:pt idx="343">
                  <c:v>181.93106443346798</c:v>
                </c:pt>
                <c:pt idx="344">
                  <c:v>178.2340009479264</c:v>
                </c:pt>
                <c:pt idx="345">
                  <c:v>176.80818753952374</c:v>
                </c:pt>
                <c:pt idx="346">
                  <c:v>181.46496239658865</c:v>
                </c:pt>
                <c:pt idx="347">
                  <c:v>177.13820026016111</c:v>
                </c:pt>
                <c:pt idx="348">
                  <c:v>156.47337658102853</c:v>
                </c:pt>
                <c:pt idx="349">
                  <c:v>156.65257343420214</c:v>
                </c:pt>
                <c:pt idx="350">
                  <c:v>146.40299157132489</c:v>
                </c:pt>
                <c:pt idx="351">
                  <c:v>150.03106292052098</c:v>
                </c:pt>
                <c:pt idx="352">
                  <c:v>148.93121254719662</c:v>
                </c:pt>
                <c:pt idx="353">
                  <c:v>180.23871964321762</c:v>
                </c:pt>
                <c:pt idx="354">
                  <c:v>174.29442514782727</c:v>
                </c:pt>
                <c:pt idx="355">
                  <c:v>152.55931955649726</c:v>
                </c:pt>
                <c:pt idx="356">
                  <c:v>169.79021942641668</c:v>
                </c:pt>
                <c:pt idx="357">
                  <c:v>172.27086643357146</c:v>
                </c:pt>
                <c:pt idx="358">
                  <c:v>155.97986496019973</c:v>
                </c:pt>
                <c:pt idx="359">
                  <c:v>147.15729079469557</c:v>
                </c:pt>
                <c:pt idx="360">
                  <c:v>183.75753252484688</c:v>
                </c:pt>
                <c:pt idx="361">
                  <c:v>183.27196441457511</c:v>
                </c:pt>
                <c:pt idx="362">
                  <c:v>166.22895201635191</c:v>
                </c:pt>
                <c:pt idx="363">
                  <c:v>176.18708288941062</c:v>
                </c:pt>
                <c:pt idx="364">
                  <c:v>158.93177902412828</c:v>
                </c:pt>
                <c:pt idx="365">
                  <c:v>151.48114473761086</c:v>
                </c:pt>
                <c:pt idx="366">
                  <c:v>181.96461091629783</c:v>
                </c:pt>
                <c:pt idx="367">
                  <c:v>184.72875401645538</c:v>
                </c:pt>
                <c:pt idx="368">
                  <c:v>182.00333055951543</c:v>
                </c:pt>
                <c:pt idx="369">
                  <c:v>179.56686838544539</c:v>
                </c:pt>
                <c:pt idx="370">
                  <c:v>171.26850021680093</c:v>
                </c:pt>
                <c:pt idx="371">
                  <c:v>177.97569463554476</c:v>
                </c:pt>
                <c:pt idx="372">
                  <c:v>167.21637507904751</c:v>
                </c:pt>
                <c:pt idx="373">
                  <c:v>178.93660722610156</c:v>
                </c:pt>
                <c:pt idx="374">
                  <c:v>174.66572006437065</c:v>
                </c:pt>
                <c:pt idx="375">
                  <c:v>145.75649402520619</c:v>
                </c:pt>
                <c:pt idx="376">
                  <c:v>158.45871964321762</c:v>
                </c:pt>
                <c:pt idx="377">
                  <c:v>143.56450567805038</c:v>
                </c:pt>
                <c:pt idx="378">
                  <c:v>156.08708288941062</c:v>
                </c:pt>
                <c:pt idx="379">
                  <c:v>181.49099504259141</c:v>
                </c:pt>
                <c:pt idx="380">
                  <c:v>175.56056647693163</c:v>
                </c:pt>
                <c:pt idx="381">
                  <c:v>171.77171618040592</c:v>
                </c:pt>
                <c:pt idx="382">
                  <c:v>186.00581074285708</c:v>
                </c:pt>
                <c:pt idx="383">
                  <c:v>177.35286603778826</c:v>
                </c:pt>
                <c:pt idx="384">
                  <c:v>176.27902142064283</c:v>
                </c:pt>
                <c:pt idx="385">
                  <c:v>179.64487332185848</c:v>
                </c:pt>
                <c:pt idx="386">
                  <c:v>179.42118103266006</c:v>
                </c:pt>
                <c:pt idx="387">
                  <c:v>185.32465582102742</c:v>
                </c:pt>
                <c:pt idx="388">
                  <c:v>158.57645413812864</c:v>
                </c:pt>
                <c:pt idx="389">
                  <c:v>1</c:v>
                </c:pt>
                <c:pt idx="390">
                  <c:v>179.82513890904215</c:v>
                </c:pt>
                <c:pt idx="391">
                  <c:v>153.95367393663906</c:v>
                </c:pt>
                <c:pt idx="392">
                  <c:v>168.23908740944319</c:v>
                </c:pt>
                <c:pt idx="393">
                  <c:v>170.92295557810135</c:v>
                </c:pt>
                <c:pt idx="394">
                  <c:v>161.10928552052741</c:v>
                </c:pt>
                <c:pt idx="395">
                  <c:v>166.08636235841013</c:v>
                </c:pt>
                <c:pt idx="396">
                  <c:v>179.33639557646313</c:v>
                </c:pt>
                <c:pt idx="397">
                  <c:v>178.10443970758826</c:v>
                </c:pt>
                <c:pt idx="398">
                  <c:v>181.91971276399755</c:v>
                </c:pt>
                <c:pt idx="399">
                  <c:v>173.59861565188618</c:v>
                </c:pt>
                <c:pt idx="400">
                  <c:v>160.69650829436563</c:v>
                </c:pt>
                <c:pt idx="401">
                  <c:v>154.47126416391245</c:v>
                </c:pt>
                <c:pt idx="402">
                  <c:v>148.54119982655925</c:v>
                </c:pt>
                <c:pt idx="403">
                  <c:v>169.23664139071249</c:v>
                </c:pt>
                <c:pt idx="404">
                  <c:v>153.68278678735703</c:v>
                </c:pt>
                <c:pt idx="405">
                  <c:v>162.43212513775345</c:v>
                </c:pt>
                <c:pt idx="406">
                  <c:v>148.37910742118268</c:v>
                </c:pt>
                <c:pt idx="407">
                  <c:v>144.51750709602101</c:v>
                </c:pt>
                <c:pt idx="408">
                  <c:v>179.41984286006357</c:v>
                </c:pt>
                <c:pt idx="409">
                  <c:v>171.01936665037238</c:v>
                </c:pt>
                <c:pt idx="410">
                  <c:v>157.68521082957744</c:v>
                </c:pt>
                <c:pt idx="411">
                  <c:v>177.68970004336018</c:v>
                </c:pt>
                <c:pt idx="412">
                  <c:v>172.62966660701221</c:v>
                </c:pt>
                <c:pt idx="413">
                  <c:v>173.24119982655924</c:v>
                </c:pt>
                <c:pt idx="414">
                  <c:v>182.3163750790475</c:v>
                </c:pt>
                <c:pt idx="415">
                  <c:v>171.71202001888264</c:v>
                </c:pt>
                <c:pt idx="416">
                  <c:v>171.27577319177794</c:v>
                </c:pt>
                <c:pt idx="417">
                  <c:v>183.9907660037278</c:v>
                </c:pt>
                <c:pt idx="418">
                  <c:v>178.02059991327963</c:v>
                </c:pt>
                <c:pt idx="419">
                  <c:v>178.81023052706831</c:v>
                </c:pt>
                <c:pt idx="420">
                  <c:v>147.96303880782796</c:v>
                </c:pt>
                <c:pt idx="421">
                  <c:v>150.07940008672037</c:v>
                </c:pt>
                <c:pt idx="422">
                  <c:v>159.33361562986434</c:v>
                </c:pt>
                <c:pt idx="423">
                  <c:v>167.78194653300085</c:v>
                </c:pt>
                <c:pt idx="424">
                  <c:v>147.10828536178343</c:v>
                </c:pt>
                <c:pt idx="425">
                  <c:v>159.23720516539123</c:v>
                </c:pt>
                <c:pt idx="426">
                  <c:v>142.2994806169435</c:v>
                </c:pt>
              </c:numCache>
            </c:numRef>
          </c:yVal>
          <c:smooth val="0"/>
          <c:extLst>
            <c:ext xmlns:c16="http://schemas.microsoft.com/office/drawing/2014/chart" uri="{C3380CC4-5D6E-409C-BE32-E72D297353CC}">
              <c16:uniqueId val="{00000006-8FC9-40EB-9F38-9C989B7C6F39}"/>
            </c:ext>
          </c:extLst>
        </c:ser>
        <c:ser>
          <c:idx val="1"/>
          <c:order val="3"/>
          <c:tx>
            <c:v>VLSI 1997-2024</c:v>
          </c:tx>
          <c:spPr>
            <a:ln w="28575">
              <a:noFill/>
            </a:ln>
          </c:spPr>
          <c:marker>
            <c:symbol val="x"/>
            <c:size val="7"/>
            <c:spPr>
              <a:noFill/>
              <a:ln>
                <a:solidFill>
                  <a:srgbClr val="000000"/>
                </a:solidFill>
                <a:prstDash val="solid"/>
              </a:ln>
            </c:spPr>
          </c:marker>
          <c:xVal>
            <c:numRef>
              <c:f>VLSI!$AB$2:$AB$280</c:f>
              <c:numCache>
                <c:formatCode>0.00E+00</c:formatCode>
                <c:ptCount val="279"/>
                <c:pt idx="0">
                  <c:v>40000</c:v>
                </c:pt>
                <c:pt idx="1">
                  <c:v>8000000000</c:v>
                </c:pt>
                <c:pt idx="2">
                  <c:v>14300000</c:v>
                </c:pt>
                <c:pt idx="3">
                  <c:v>100000000</c:v>
                </c:pt>
                <c:pt idx="4">
                  <c:v>8000000</c:v>
                </c:pt>
                <c:pt idx="5">
                  <c:v>500000000</c:v>
                </c:pt>
                <c:pt idx="6">
                  <c:v>50000000</c:v>
                </c:pt>
                <c:pt idx="7">
                  <c:v>100000000</c:v>
                </c:pt>
                <c:pt idx="8">
                  <c:v>2000000</c:v>
                </c:pt>
                <c:pt idx="9">
                  <c:v>105000000</c:v>
                </c:pt>
                <c:pt idx="10">
                  <c:v>125000000</c:v>
                </c:pt>
                <c:pt idx="11">
                  <c:v>30000000</c:v>
                </c:pt>
                <c:pt idx="12">
                  <c:v>51000000</c:v>
                </c:pt>
                <c:pt idx="13">
                  <c:v>400000000</c:v>
                </c:pt>
                <c:pt idx="14">
                  <c:v>100000000</c:v>
                </c:pt>
                <c:pt idx="15">
                  <c:v>1000000</c:v>
                </c:pt>
                <c:pt idx="16">
                  <c:v>1000000</c:v>
                </c:pt>
                <c:pt idx="17">
                  <c:v>540000</c:v>
                </c:pt>
                <c:pt idx="18">
                  <c:v>500000</c:v>
                </c:pt>
                <c:pt idx="19">
                  <c:v>400000</c:v>
                </c:pt>
                <c:pt idx="20">
                  <c:v>10000000</c:v>
                </c:pt>
                <c:pt idx="21">
                  <c:v>24000000</c:v>
                </c:pt>
                <c:pt idx="22">
                  <c:v>400000</c:v>
                </c:pt>
                <c:pt idx="23">
                  <c:v>2000000</c:v>
                </c:pt>
                <c:pt idx="24">
                  <c:v>2500000</c:v>
                </c:pt>
                <c:pt idx="25">
                  <c:v>4000000000</c:v>
                </c:pt>
                <c:pt idx="26">
                  <c:v>600000000</c:v>
                </c:pt>
                <c:pt idx="27">
                  <c:v>180000000</c:v>
                </c:pt>
                <c:pt idx="28">
                  <c:v>50000000</c:v>
                </c:pt>
                <c:pt idx="29">
                  <c:v>4000000</c:v>
                </c:pt>
                <c:pt idx="30">
                  <c:v>16000</c:v>
                </c:pt>
                <c:pt idx="31">
                  <c:v>1000000</c:v>
                </c:pt>
                <c:pt idx="32">
                  <c:v>18000</c:v>
                </c:pt>
                <c:pt idx="33">
                  <c:v>6000000000</c:v>
                </c:pt>
                <c:pt idx="34">
                  <c:v>10000000</c:v>
                </c:pt>
                <c:pt idx="35">
                  <c:v>80000000</c:v>
                </c:pt>
                <c:pt idx="36">
                  <c:v>20000000</c:v>
                </c:pt>
                <c:pt idx="37">
                  <c:v>41670</c:v>
                </c:pt>
                <c:pt idx="38">
                  <c:v>10000000</c:v>
                </c:pt>
                <c:pt idx="39">
                  <c:v>800000000</c:v>
                </c:pt>
                <c:pt idx="40">
                  <c:v>100000000</c:v>
                </c:pt>
                <c:pt idx="41">
                  <c:v>40000000</c:v>
                </c:pt>
                <c:pt idx="42">
                  <c:v>800000000</c:v>
                </c:pt>
                <c:pt idx="43">
                  <c:v>500000000</c:v>
                </c:pt>
                <c:pt idx="44">
                  <c:v>48000</c:v>
                </c:pt>
                <c:pt idx="45">
                  <c:v>1000000</c:v>
                </c:pt>
                <c:pt idx="46">
                  <c:v>40960000</c:v>
                </c:pt>
                <c:pt idx="47">
                  <c:v>2000000</c:v>
                </c:pt>
                <c:pt idx="48">
                  <c:v>1350000000</c:v>
                </c:pt>
                <c:pt idx="49">
                  <c:v>3500000000</c:v>
                </c:pt>
                <c:pt idx="50">
                  <c:v>1100000000</c:v>
                </c:pt>
                <c:pt idx="51">
                  <c:v>22000000</c:v>
                </c:pt>
                <c:pt idx="52">
                  <c:v>30000000</c:v>
                </c:pt>
                <c:pt idx="53">
                  <c:v>40000000</c:v>
                </c:pt>
                <c:pt idx="54">
                  <c:v>10000000</c:v>
                </c:pt>
                <c:pt idx="55">
                  <c:v>15000000</c:v>
                </c:pt>
                <c:pt idx="56">
                  <c:v>16000</c:v>
                </c:pt>
                <c:pt idx="57">
                  <c:v>2500000</c:v>
                </c:pt>
                <c:pt idx="58">
                  <c:v>1000000</c:v>
                </c:pt>
                <c:pt idx="59">
                  <c:v>40000000</c:v>
                </c:pt>
                <c:pt idx="60">
                  <c:v>800000000</c:v>
                </c:pt>
                <c:pt idx="61">
                  <c:v>100000000</c:v>
                </c:pt>
                <c:pt idx="62">
                  <c:v>800000000</c:v>
                </c:pt>
                <c:pt idx="63">
                  <c:v>1750000000</c:v>
                </c:pt>
                <c:pt idx="64">
                  <c:v>5000000000</c:v>
                </c:pt>
                <c:pt idx="65">
                  <c:v>10300000000</c:v>
                </c:pt>
                <c:pt idx="66">
                  <c:v>50000</c:v>
                </c:pt>
                <c:pt idx="67">
                  <c:v>200000</c:v>
                </c:pt>
                <c:pt idx="68">
                  <c:v>3840000</c:v>
                </c:pt>
                <c:pt idx="69">
                  <c:v>23000000</c:v>
                </c:pt>
                <c:pt idx="70">
                  <c:v>50000000</c:v>
                </c:pt>
                <c:pt idx="71">
                  <c:v>26000000</c:v>
                </c:pt>
                <c:pt idx="72">
                  <c:v>50000000</c:v>
                </c:pt>
                <c:pt idx="73">
                  <c:v>250000000</c:v>
                </c:pt>
                <c:pt idx="74">
                  <c:v>20000000</c:v>
                </c:pt>
                <c:pt idx="75">
                  <c:v>20000000</c:v>
                </c:pt>
                <c:pt idx="76">
                  <c:v>30000000</c:v>
                </c:pt>
                <c:pt idx="77">
                  <c:v>10000000</c:v>
                </c:pt>
                <c:pt idx="78">
                  <c:v>100000000</c:v>
                </c:pt>
                <c:pt idx="79">
                  <c:v>50000000</c:v>
                </c:pt>
                <c:pt idx="80">
                  <c:v>11000000</c:v>
                </c:pt>
                <c:pt idx="81">
                  <c:v>100000</c:v>
                </c:pt>
                <c:pt idx="82">
                  <c:v>2700000000</c:v>
                </c:pt>
                <c:pt idx="83">
                  <c:v>7670000000</c:v>
                </c:pt>
                <c:pt idx="84">
                  <c:v>40000000</c:v>
                </c:pt>
                <c:pt idx="85">
                  <c:v>80000000</c:v>
                </c:pt>
                <c:pt idx="86">
                  <c:v>400000</c:v>
                </c:pt>
                <c:pt idx="87">
                  <c:v>1000000</c:v>
                </c:pt>
                <c:pt idx="88">
                  <c:v>4000000</c:v>
                </c:pt>
                <c:pt idx="89">
                  <c:v>8000000</c:v>
                </c:pt>
                <c:pt idx="90">
                  <c:v>40000000</c:v>
                </c:pt>
                <c:pt idx="91">
                  <c:v>60000000</c:v>
                </c:pt>
                <c:pt idx="92">
                  <c:v>12000000000</c:v>
                </c:pt>
                <c:pt idx="93">
                  <c:v>16000000000</c:v>
                </c:pt>
                <c:pt idx="94">
                  <c:v>100000000</c:v>
                </c:pt>
                <c:pt idx="95">
                  <c:v>50000000</c:v>
                </c:pt>
                <c:pt idx="96">
                  <c:v>10000000</c:v>
                </c:pt>
                <c:pt idx="97">
                  <c:v>150000000</c:v>
                </c:pt>
                <c:pt idx="98">
                  <c:v>10666666.666666666</c:v>
                </c:pt>
                <c:pt idx="99">
                  <c:v>40000000</c:v>
                </c:pt>
                <c:pt idx="100">
                  <c:v>3900000</c:v>
                </c:pt>
                <c:pt idx="101">
                  <c:v>160000000</c:v>
                </c:pt>
                <c:pt idx="102">
                  <c:v>3840000</c:v>
                </c:pt>
                <c:pt idx="103">
                  <c:v>3000000000</c:v>
                </c:pt>
                <c:pt idx="104">
                  <c:v>300000000</c:v>
                </c:pt>
                <c:pt idx="105">
                  <c:v>1300000000</c:v>
                </c:pt>
                <c:pt idx="106">
                  <c:v>320000000</c:v>
                </c:pt>
                <c:pt idx="107">
                  <c:v>1000000000</c:v>
                </c:pt>
                <c:pt idx="108">
                  <c:v>31250</c:v>
                </c:pt>
                <c:pt idx="109">
                  <c:v>31250</c:v>
                </c:pt>
                <c:pt idx="110">
                  <c:v>1100000</c:v>
                </c:pt>
                <c:pt idx="111">
                  <c:v>40000000</c:v>
                </c:pt>
                <c:pt idx="112">
                  <c:v>210000000</c:v>
                </c:pt>
                <c:pt idx="113">
                  <c:v>1000000000</c:v>
                </c:pt>
                <c:pt idx="114">
                  <c:v>16000000</c:v>
                </c:pt>
                <c:pt idx="115">
                  <c:v>3000000000</c:v>
                </c:pt>
                <c:pt idx="116">
                  <c:v>20000</c:v>
                </c:pt>
                <c:pt idx="117">
                  <c:v>1000000000</c:v>
                </c:pt>
                <c:pt idx="118">
                  <c:v>30000000</c:v>
                </c:pt>
                <c:pt idx="119">
                  <c:v>2800000000</c:v>
                </c:pt>
                <c:pt idx="120">
                  <c:v>1000000000</c:v>
                </c:pt>
                <c:pt idx="121">
                  <c:v>750000000</c:v>
                </c:pt>
                <c:pt idx="122">
                  <c:v>500000000</c:v>
                </c:pt>
                <c:pt idx="123">
                  <c:v>100000</c:v>
                </c:pt>
                <c:pt idx="124">
                  <c:v>20000000</c:v>
                </c:pt>
                <c:pt idx="125">
                  <c:v>10000000</c:v>
                </c:pt>
                <c:pt idx="126">
                  <c:v>30000000</c:v>
                </c:pt>
                <c:pt idx="127">
                  <c:v>75000000</c:v>
                </c:pt>
                <c:pt idx="128">
                  <c:v>60000000</c:v>
                </c:pt>
                <c:pt idx="129">
                  <c:v>50000000</c:v>
                </c:pt>
                <c:pt idx="130">
                  <c:v>30000000</c:v>
                </c:pt>
                <c:pt idx="131">
                  <c:v>4000</c:v>
                </c:pt>
                <c:pt idx="132">
                  <c:v>10000000</c:v>
                </c:pt>
                <c:pt idx="133">
                  <c:v>5400000000</c:v>
                </c:pt>
                <c:pt idx="134">
                  <c:v>20000000</c:v>
                </c:pt>
                <c:pt idx="135">
                  <c:v>70000000</c:v>
                </c:pt>
                <c:pt idx="136">
                  <c:v>200000000</c:v>
                </c:pt>
                <c:pt idx="137">
                  <c:v>800000000</c:v>
                </c:pt>
                <c:pt idx="138">
                  <c:v>8800000000</c:v>
                </c:pt>
                <c:pt idx="139">
                  <c:v>5000000000</c:v>
                </c:pt>
                <c:pt idx="140">
                  <c:v>24576000</c:v>
                </c:pt>
                <c:pt idx="141">
                  <c:v>410000000</c:v>
                </c:pt>
                <c:pt idx="142">
                  <c:v>10000000000</c:v>
                </c:pt>
                <c:pt idx="143">
                  <c:v>5000000</c:v>
                </c:pt>
                <c:pt idx="144">
                  <c:v>250000</c:v>
                </c:pt>
                <c:pt idx="145">
                  <c:v>30000000</c:v>
                </c:pt>
                <c:pt idx="146">
                  <c:v>820000000</c:v>
                </c:pt>
                <c:pt idx="147">
                  <c:v>100000000</c:v>
                </c:pt>
                <c:pt idx="148">
                  <c:v>160000000</c:v>
                </c:pt>
                <c:pt idx="149">
                  <c:v>1197916.6666666667</c:v>
                </c:pt>
                <c:pt idx="150">
                  <c:v>17000000</c:v>
                </c:pt>
                <c:pt idx="151">
                  <c:v>200000000</c:v>
                </c:pt>
                <c:pt idx="152">
                  <c:v>210000000</c:v>
                </c:pt>
                <c:pt idx="153">
                  <c:v>100000000</c:v>
                </c:pt>
                <c:pt idx="154">
                  <c:v>160000000</c:v>
                </c:pt>
                <c:pt idx="155">
                  <c:v>100000</c:v>
                </c:pt>
                <c:pt idx="156">
                  <c:v>70000000</c:v>
                </c:pt>
                <c:pt idx="157">
                  <c:v>12500000</c:v>
                </c:pt>
                <c:pt idx="158">
                  <c:v>200000000</c:v>
                </c:pt>
                <c:pt idx="159">
                  <c:v>25000000000</c:v>
                </c:pt>
                <c:pt idx="160">
                  <c:v>80000000</c:v>
                </c:pt>
                <c:pt idx="161">
                  <c:v>46000000000</c:v>
                </c:pt>
                <c:pt idx="162">
                  <c:v>150000000</c:v>
                </c:pt>
                <c:pt idx="163">
                  <c:v>100000000</c:v>
                </c:pt>
                <c:pt idx="164">
                  <c:v>20000000</c:v>
                </c:pt>
                <c:pt idx="165">
                  <c:v>78000000</c:v>
                </c:pt>
                <c:pt idx="166">
                  <c:v>80000000</c:v>
                </c:pt>
                <c:pt idx="167">
                  <c:v>4000000</c:v>
                </c:pt>
                <c:pt idx="168">
                  <c:v>10000000</c:v>
                </c:pt>
                <c:pt idx="169">
                  <c:v>48000</c:v>
                </c:pt>
                <c:pt idx="170">
                  <c:v>4000</c:v>
                </c:pt>
                <c:pt idx="171">
                  <c:v>2000</c:v>
                </c:pt>
                <c:pt idx="172">
                  <c:v>4000000</c:v>
                </c:pt>
                <c:pt idx="173">
                  <c:v>120000000</c:v>
                </c:pt>
                <c:pt idx="174">
                  <c:v>28000000000</c:v>
                </c:pt>
                <c:pt idx="175">
                  <c:v>1000</c:v>
                </c:pt>
                <c:pt idx="176">
                  <c:v>200000</c:v>
                </c:pt>
                <c:pt idx="177">
                  <c:v>1600000000</c:v>
                </c:pt>
                <c:pt idx="178">
                  <c:v>800000000</c:v>
                </c:pt>
                <c:pt idx="179">
                  <c:v>20000</c:v>
                </c:pt>
                <c:pt idx="180">
                  <c:v>600000</c:v>
                </c:pt>
                <c:pt idx="181">
                  <c:v>10312500000</c:v>
                </c:pt>
                <c:pt idx="182">
                  <c:v>24000000000</c:v>
                </c:pt>
                <c:pt idx="183">
                  <c:v>1600000000</c:v>
                </c:pt>
                <c:pt idx="184">
                  <c:v>5000000000</c:v>
                </c:pt>
                <c:pt idx="185">
                  <c:v>20000000</c:v>
                </c:pt>
                <c:pt idx="186">
                  <c:v>12000000</c:v>
                </c:pt>
                <c:pt idx="187">
                  <c:v>312000000</c:v>
                </c:pt>
                <c:pt idx="188">
                  <c:v>40000</c:v>
                </c:pt>
                <c:pt idx="189">
                  <c:v>303000000</c:v>
                </c:pt>
                <c:pt idx="190">
                  <c:v>500000000</c:v>
                </c:pt>
                <c:pt idx="191">
                  <c:v>600000000</c:v>
                </c:pt>
                <c:pt idx="192">
                  <c:v>100000000</c:v>
                </c:pt>
                <c:pt idx="193">
                  <c:v>50000000</c:v>
                </c:pt>
                <c:pt idx="194">
                  <c:v>525000</c:v>
                </c:pt>
                <c:pt idx="195">
                  <c:v>200000</c:v>
                </c:pt>
                <c:pt idx="196">
                  <c:v>80000</c:v>
                </c:pt>
                <c:pt idx="197">
                  <c:v>300000000</c:v>
                </c:pt>
                <c:pt idx="198">
                  <c:v>2000000000</c:v>
                </c:pt>
                <c:pt idx="199">
                  <c:v>2000000</c:v>
                </c:pt>
                <c:pt idx="200">
                  <c:v>16000000</c:v>
                </c:pt>
                <c:pt idx="201">
                  <c:v>2000000000</c:v>
                </c:pt>
                <c:pt idx="202">
                  <c:v>1000000</c:v>
                </c:pt>
                <c:pt idx="203">
                  <c:v>20000</c:v>
                </c:pt>
                <c:pt idx="204">
                  <c:v>950000000</c:v>
                </c:pt>
                <c:pt idx="205">
                  <c:v>1100000000</c:v>
                </c:pt>
                <c:pt idx="206">
                  <c:v>5000000000</c:v>
                </c:pt>
                <c:pt idx="207">
                  <c:v>48000</c:v>
                </c:pt>
                <c:pt idx="208">
                  <c:v>25000000</c:v>
                </c:pt>
                <c:pt idx="209">
                  <c:v>25000000</c:v>
                </c:pt>
                <c:pt idx="210">
                  <c:v>1250000</c:v>
                </c:pt>
                <c:pt idx="211">
                  <c:v>40000</c:v>
                </c:pt>
                <c:pt idx="212">
                  <c:v>200</c:v>
                </c:pt>
                <c:pt idx="213">
                  <c:v>32000000000</c:v>
                </c:pt>
                <c:pt idx="214">
                  <c:v>25000000</c:v>
                </c:pt>
                <c:pt idx="215">
                  <c:v>500</c:v>
                </c:pt>
                <c:pt idx="216">
                  <c:v>200000000</c:v>
                </c:pt>
                <c:pt idx="217">
                  <c:v>200000</c:v>
                </c:pt>
                <c:pt idx="218">
                  <c:v>5000000000</c:v>
                </c:pt>
                <c:pt idx="219">
                  <c:v>30000000</c:v>
                </c:pt>
                <c:pt idx="220">
                  <c:v>40000</c:v>
                </c:pt>
                <c:pt idx="221">
                  <c:v>500000</c:v>
                </c:pt>
                <c:pt idx="222">
                  <c:v>60000000</c:v>
                </c:pt>
                <c:pt idx="223">
                  <c:v>80000000</c:v>
                </c:pt>
                <c:pt idx="224">
                  <c:v>28000000000</c:v>
                </c:pt>
                <c:pt idx="225">
                  <c:v>1000000000</c:v>
                </c:pt>
                <c:pt idx="226">
                  <c:v>100000000</c:v>
                </c:pt>
                <c:pt idx="227">
                  <c:v>1000000000</c:v>
                </c:pt>
                <c:pt idx="228">
                  <c:v>40000</c:v>
                </c:pt>
                <c:pt idx="229">
                  <c:v>10000000</c:v>
                </c:pt>
                <c:pt idx="230">
                  <c:v>100000000</c:v>
                </c:pt>
                <c:pt idx="231">
                  <c:v>250000000</c:v>
                </c:pt>
                <c:pt idx="232">
                  <c:v>12000000</c:v>
                </c:pt>
                <c:pt idx="233">
                  <c:v>20000000000</c:v>
                </c:pt>
                <c:pt idx="234">
                  <c:v>80000</c:v>
                </c:pt>
                <c:pt idx="235">
                  <c:v>2200000</c:v>
                </c:pt>
                <c:pt idx="236">
                  <c:v>600000000</c:v>
                </c:pt>
                <c:pt idx="237">
                  <c:v>500000000</c:v>
                </c:pt>
                <c:pt idx="238">
                  <c:v>20000000000</c:v>
                </c:pt>
                <c:pt idx="239">
                  <c:v>8000000000</c:v>
                </c:pt>
                <c:pt idx="240">
                  <c:v>1000000000</c:v>
                </c:pt>
                <c:pt idx="241">
                  <c:v>1000</c:v>
                </c:pt>
                <c:pt idx="242">
                  <c:v>1000</c:v>
                </c:pt>
                <c:pt idx="243">
                  <c:v>31250000</c:v>
                </c:pt>
                <c:pt idx="244">
                  <c:v>200000</c:v>
                </c:pt>
                <c:pt idx="245">
                  <c:v>125000</c:v>
                </c:pt>
                <c:pt idx="246">
                  <c:v>50000000</c:v>
                </c:pt>
                <c:pt idx="247">
                  <c:v>250000000</c:v>
                </c:pt>
                <c:pt idx="248">
                  <c:v>2500000000</c:v>
                </c:pt>
                <c:pt idx="249">
                  <c:v>25000000</c:v>
                </c:pt>
                <c:pt idx="250">
                  <c:v>20800</c:v>
                </c:pt>
                <c:pt idx="251">
                  <c:v>56000000000</c:v>
                </c:pt>
                <c:pt idx="252">
                  <c:v>3800000000</c:v>
                </c:pt>
                <c:pt idx="253">
                  <c:v>10000000000</c:v>
                </c:pt>
                <c:pt idx="254">
                  <c:v>1400000000</c:v>
                </c:pt>
                <c:pt idx="255">
                  <c:v>2000000000</c:v>
                </c:pt>
                <c:pt idx="256">
                  <c:v>2000000</c:v>
                </c:pt>
                <c:pt idx="257">
                  <c:v>240000000</c:v>
                </c:pt>
                <c:pt idx="258">
                  <c:v>440000000</c:v>
                </c:pt>
                <c:pt idx="259">
                  <c:v>2000000000</c:v>
                </c:pt>
                <c:pt idx="260">
                  <c:v>60000000</c:v>
                </c:pt>
                <c:pt idx="261">
                  <c:v>150000000</c:v>
                </c:pt>
                <c:pt idx="262">
                  <c:v>4000000</c:v>
                </c:pt>
                <c:pt idx="263">
                  <c:v>32000</c:v>
                </c:pt>
                <c:pt idx="264">
                  <c:v>4000000</c:v>
                </c:pt>
                <c:pt idx="265">
                  <c:v>48000000</c:v>
                </c:pt>
                <c:pt idx="266">
                  <c:v>10000</c:v>
                </c:pt>
                <c:pt idx="267">
                  <c:v>40000</c:v>
                </c:pt>
                <c:pt idx="268">
                  <c:v>48000</c:v>
                </c:pt>
                <c:pt idx="269">
                  <c:v>400000</c:v>
                </c:pt>
                <c:pt idx="270">
                  <c:v>168000000</c:v>
                </c:pt>
                <c:pt idx="271">
                  <c:v>203125</c:v>
                </c:pt>
                <c:pt idx="272">
                  <c:v>1250000</c:v>
                </c:pt>
                <c:pt idx="273">
                  <c:v>475000000</c:v>
                </c:pt>
                <c:pt idx="274">
                  <c:v>1000000000</c:v>
                </c:pt>
                <c:pt idx="275">
                  <c:v>16000000000</c:v>
                </c:pt>
                <c:pt idx="276">
                  <c:v>60000000000</c:v>
                </c:pt>
                <c:pt idx="277">
                  <c:v>10000000000</c:v>
                </c:pt>
                <c:pt idx="278">
                  <c:v>10000000000</c:v>
                </c:pt>
              </c:numCache>
            </c:numRef>
          </c:xVal>
          <c:yVal>
            <c:numRef>
              <c:f>VLSI!$AH$2:$AH$280</c:f>
              <c:numCache>
                <c:formatCode>0.0</c:formatCode>
                <c:ptCount val="279"/>
                <c:pt idx="0">
                  <c:v>156.38116639021126</c:v>
                </c:pt>
                <c:pt idx="1">
                  <c:v>109.08549978319907</c:v>
                </c:pt>
                <c:pt idx="2">
                  <c:v>141.48003541033793</c:v>
                </c:pt>
                <c:pt idx="3">
                  <c:v>127.73697499232712</c:v>
                </c:pt>
                <c:pt idx="4">
                  <c:v>123.57991946977687</c:v>
                </c:pt>
                <c:pt idx="5">
                  <c:v>129.20216403383191</c:v>
                </c:pt>
                <c:pt idx="6">
                  <c:v>124.46910013008056</c:v>
                </c:pt>
                <c:pt idx="7">
                  <c:v>127.11486060122111</c:v>
                </c:pt>
                <c:pt idx="8">
                  <c:v>151.01029995663981</c:v>
                </c:pt>
                <c:pt idx="9">
                  <c:v>145.90740377691662</c:v>
                </c:pt>
                <c:pt idx="10">
                  <c:v>127.74487332185849</c:v>
                </c:pt>
                <c:pt idx="11">
                  <c:v>134.20818753952375</c:v>
                </c:pt>
                <c:pt idx="12">
                  <c:v>143.28388930050312</c:v>
                </c:pt>
                <c:pt idx="13">
                  <c:v>125.55931955649724</c:v>
                </c:pt>
                <c:pt idx="14">
                  <c:v>139.35357499232711</c:v>
                </c:pt>
                <c:pt idx="15">
                  <c:v>132.44727494896694</c:v>
                </c:pt>
                <c:pt idx="16">
                  <c:v>150.92878745280336</c:v>
                </c:pt>
                <c:pt idx="17">
                  <c:v>156.08605932477414</c:v>
                </c:pt>
                <c:pt idx="18">
                  <c:v>153.59788758288394</c:v>
                </c:pt>
                <c:pt idx="19">
                  <c:v>152.98970004336019</c:v>
                </c:pt>
                <c:pt idx="20">
                  <c:v>145.96910013008056</c:v>
                </c:pt>
                <c:pt idx="21">
                  <c:v>143.3408320603337</c:v>
                </c:pt>
                <c:pt idx="22">
                  <c:v>139.32828271596986</c:v>
                </c:pt>
                <c:pt idx="23">
                  <c:v>129.31798275933005</c:v>
                </c:pt>
                <c:pt idx="24">
                  <c:v>127.28708288941061</c:v>
                </c:pt>
                <c:pt idx="25">
                  <c:v>123.0539480106643</c:v>
                </c:pt>
                <c:pt idx="26">
                  <c:v>131.61150909262744</c:v>
                </c:pt>
                <c:pt idx="27">
                  <c:v>139.145412633917</c:v>
                </c:pt>
                <c:pt idx="28">
                  <c:v>146.55542010773081</c:v>
                </c:pt>
                <c:pt idx="29">
                  <c:v>137.21848749616356</c:v>
                </c:pt>
                <c:pt idx="30">
                  <c:v>153.83134238502186</c:v>
                </c:pt>
                <c:pt idx="31">
                  <c:v>166.29738284605043</c:v>
                </c:pt>
                <c:pt idx="32">
                  <c:v>1</c:v>
                </c:pt>
                <c:pt idx="33">
                  <c:v>118.35026652029183</c:v>
                </c:pt>
                <c:pt idx="34">
                  <c:v>136.70484985457369</c:v>
                </c:pt>
                <c:pt idx="35">
                  <c:v>142.78932137728265</c:v>
                </c:pt>
                <c:pt idx="36">
                  <c:v>155.12370099128663</c:v>
                </c:pt>
                <c:pt idx="37">
                  <c:v>148.1364352647339</c:v>
                </c:pt>
                <c:pt idx="38">
                  <c:v>142.98970004336019</c:v>
                </c:pt>
                <c:pt idx="39">
                  <c:v>129.50870692258025</c:v>
                </c:pt>
                <c:pt idx="40">
                  <c:v>133.71848749616356</c:v>
                </c:pt>
                <c:pt idx="41">
                  <c:v>132.73908740944319</c:v>
                </c:pt>
                <c:pt idx="42">
                  <c:v>128.82878745280337</c:v>
                </c:pt>
                <c:pt idx="43">
                  <c:v>132.19788758288394</c:v>
                </c:pt>
                <c:pt idx="44">
                  <c:v>161.04119982655925</c:v>
                </c:pt>
                <c:pt idx="45">
                  <c:v>160.65546248849068</c:v>
                </c:pt>
                <c:pt idx="46">
                  <c:v>147.19235349613314</c:v>
                </c:pt>
                <c:pt idx="47">
                  <c:v>127.13509274827518</c:v>
                </c:pt>
                <c:pt idx="48">
                  <c:v>144.1428778733972</c:v>
                </c:pt>
                <c:pt idx="49">
                  <c:v>133.69811972993799</c:v>
                </c:pt>
                <c:pt idx="50">
                  <c:v>141.66604857812669</c:v>
                </c:pt>
                <c:pt idx="51">
                  <c:v>132.36558968538287</c:v>
                </c:pt>
                <c:pt idx="52">
                  <c:v>152.37491087293762</c:v>
                </c:pt>
                <c:pt idx="53">
                  <c:v>152.96910013008056</c:v>
                </c:pt>
                <c:pt idx="54">
                  <c:v>141.47242168318425</c:v>
                </c:pt>
                <c:pt idx="55">
                  <c:v>147.71604147743287</c:v>
                </c:pt>
                <c:pt idx="56">
                  <c:v>154.54901959985744</c:v>
                </c:pt>
                <c:pt idx="57">
                  <c:v>156.90730039024169</c:v>
                </c:pt>
                <c:pt idx="58">
                  <c:v>157.49186407719208</c:v>
                </c:pt>
                <c:pt idx="59">
                  <c:v>147.1669877129645</c:v>
                </c:pt>
                <c:pt idx="60">
                  <c:v>135.44938736608299</c:v>
                </c:pt>
                <c:pt idx="61">
                  <c:v>153.01029995663981</c:v>
                </c:pt>
                <c:pt idx="62">
                  <c:v>138.89478745280337</c:v>
                </c:pt>
                <c:pt idx="63">
                  <c:v>140.61194460741521</c:v>
                </c:pt>
                <c:pt idx="64">
                  <c:v>130.92790030352131</c:v>
                </c:pt>
                <c:pt idx="65">
                  <c:v>127.47687246385266</c:v>
                </c:pt>
                <c:pt idx="66">
                  <c:v>169.5842075605342</c:v>
                </c:pt>
                <c:pt idx="67">
                  <c:v>160.77780705266082</c:v>
                </c:pt>
                <c:pt idx="68">
                  <c:v>148.78151250383644</c:v>
                </c:pt>
                <c:pt idx="69">
                  <c:v>151.79456602978024</c:v>
                </c:pt>
                <c:pt idx="70">
                  <c:v>150.09577516576786</c:v>
                </c:pt>
                <c:pt idx="71">
                  <c:v>148.02791753455051</c:v>
                </c:pt>
                <c:pt idx="72">
                  <c:v>155.34067331806816</c:v>
                </c:pt>
                <c:pt idx="73">
                  <c:v>155.40781977329817</c:v>
                </c:pt>
                <c:pt idx="74">
                  <c:v>155.24088367704951</c:v>
                </c:pt>
                <c:pt idx="75">
                  <c:v>156.67491087293763</c:v>
                </c:pt>
                <c:pt idx="76">
                  <c:v>148.51848749616357</c:v>
                </c:pt>
                <c:pt idx="77">
                  <c:v>156.82667503568732</c:v>
                </c:pt>
                <c:pt idx="78">
                  <c:v>159.35182176990463</c:v>
                </c:pt>
                <c:pt idx="79">
                  <c:v>142.17728766960431</c:v>
                </c:pt>
                <c:pt idx="80">
                  <c:v>154.87694473382049</c:v>
                </c:pt>
                <c:pt idx="81">
                  <c:v>159.65026652029184</c:v>
                </c:pt>
                <c:pt idx="82">
                  <c:v>137.91363764158987</c:v>
                </c:pt>
                <c:pt idx="83">
                  <c:v>133.17762024650202</c:v>
                </c:pt>
                <c:pt idx="84">
                  <c:v>132.66531544420411</c:v>
                </c:pt>
                <c:pt idx="85">
                  <c:v>149.3284196865778</c:v>
                </c:pt>
                <c:pt idx="86">
                  <c:v>160.53871964321763</c:v>
                </c:pt>
                <c:pt idx="87">
                  <c:v>158.83996656365201</c:v>
                </c:pt>
                <c:pt idx="88">
                  <c:v>162.44727494896694</c:v>
                </c:pt>
                <c:pt idx="89">
                  <c:v>161.11863911299449</c:v>
                </c:pt>
                <c:pt idx="90">
                  <c:v>151.71611069949688</c:v>
                </c:pt>
                <c:pt idx="91">
                  <c:v>158.20216403383191</c:v>
                </c:pt>
                <c:pt idx="92">
                  <c:v>133.79666231504993</c:v>
                </c:pt>
                <c:pt idx="93">
                  <c:v>130.64600730037307</c:v>
                </c:pt>
                <c:pt idx="94">
                  <c:v>162.22978314837763</c:v>
                </c:pt>
                <c:pt idx="95">
                  <c:v>162.90671964321763</c:v>
                </c:pt>
                <c:pt idx="96">
                  <c:v>167.36743928643523</c:v>
                </c:pt>
                <c:pt idx="97">
                  <c:v>160.97749832574101</c:v>
                </c:pt>
                <c:pt idx="98">
                  <c:v>159.53983927682168</c:v>
                </c:pt>
                <c:pt idx="99">
                  <c:v>151.53871964321763</c:v>
                </c:pt>
                <c:pt idx="100">
                  <c:v>156.88068496634344</c:v>
                </c:pt>
                <c:pt idx="101">
                  <c:v>127.89572229995639</c:v>
                </c:pt>
                <c:pt idx="102">
                  <c:v>166.36143197361332</c:v>
                </c:pt>
                <c:pt idx="103">
                  <c:v>145.77121254719663</c:v>
                </c:pt>
                <c:pt idx="104">
                  <c:v>151.74031267727719</c:v>
                </c:pt>
                <c:pt idx="105">
                  <c:v>137.7689067582065</c:v>
                </c:pt>
                <c:pt idx="106">
                  <c:v>146.02059991327963</c:v>
                </c:pt>
                <c:pt idx="107">
                  <c:v>144.94850021680094</c:v>
                </c:pt>
                <c:pt idx="108">
                  <c:v>161.83630222213719</c:v>
                </c:pt>
                <c:pt idx="109">
                  <c:v>157.64700773397493</c:v>
                </c:pt>
                <c:pt idx="110">
                  <c:v>163.52181443446619</c:v>
                </c:pt>
                <c:pt idx="111">
                  <c:v>156.98151552180559</c:v>
                </c:pt>
                <c:pt idx="112">
                  <c:v>124.79610055123358</c:v>
                </c:pt>
                <c:pt idx="113">
                  <c:v>141.65724130399212</c:v>
                </c:pt>
                <c:pt idx="114">
                  <c:v>151.79621531412357</c:v>
                </c:pt>
                <c:pt idx="115">
                  <c:v>144.44698573897455</c:v>
                </c:pt>
                <c:pt idx="116">
                  <c:v>141.30768280269024</c:v>
                </c:pt>
                <c:pt idx="117">
                  <c:v>154.21774106386044</c:v>
                </c:pt>
                <c:pt idx="118">
                  <c:v>159.11117911084864</c:v>
                </c:pt>
                <c:pt idx="119">
                  <c:v>153.16793176966095</c:v>
                </c:pt>
                <c:pt idx="120">
                  <c:v>153.94186407719209</c:v>
                </c:pt>
                <c:pt idx="121">
                  <c:v>152.50618753952375</c:v>
                </c:pt>
                <c:pt idx="122">
                  <c:v>157.7812615628832</c:v>
                </c:pt>
                <c:pt idx="123">
                  <c:v>170.98521082957745</c:v>
                </c:pt>
                <c:pt idx="124">
                  <c:v>165.90066876668706</c:v>
                </c:pt>
                <c:pt idx="125">
                  <c:v>158.60484985457367</c:v>
                </c:pt>
                <c:pt idx="126">
                  <c:v>153.07889534988686</c:v>
                </c:pt>
                <c:pt idx="127">
                  <c:v>159.8296666070122</c:v>
                </c:pt>
                <c:pt idx="128">
                  <c:v>168.73177902412826</c:v>
                </c:pt>
                <c:pt idx="129">
                  <c:v>157.53871964321763</c:v>
                </c:pt>
                <c:pt idx="130">
                  <c:v>156.72287538099724</c:v>
                </c:pt>
                <c:pt idx="131">
                  <c:v>155.7239078569591</c:v>
                </c:pt>
                <c:pt idx="132">
                  <c:v>164.76186147616284</c:v>
                </c:pt>
                <c:pt idx="133">
                  <c:v>147.32393759822969</c:v>
                </c:pt>
                <c:pt idx="134">
                  <c:v>171.18708288941062</c:v>
                </c:pt>
                <c:pt idx="135">
                  <c:v>162.59247365629113</c:v>
                </c:pt>
                <c:pt idx="136">
                  <c:v>156.99302159646388</c:v>
                </c:pt>
                <c:pt idx="137">
                  <c:v>155.43306390375136</c:v>
                </c:pt>
                <c:pt idx="138">
                  <c:v>147.9738463213591</c:v>
                </c:pt>
                <c:pt idx="139">
                  <c:v>145.58521082957745</c:v>
                </c:pt>
                <c:pt idx="140">
                  <c:v>157.72288559982701</c:v>
                </c:pt>
                <c:pt idx="141">
                  <c:v>164.81340087706565</c:v>
                </c:pt>
                <c:pt idx="142">
                  <c:v>134.99696817018415</c:v>
                </c:pt>
                <c:pt idx="143">
                  <c:v>177.73355479389193</c:v>
                </c:pt>
                <c:pt idx="144">
                  <c:v>171.65880017344074</c:v>
                </c:pt>
                <c:pt idx="145">
                  <c:v>165.97940008672037</c:v>
                </c:pt>
                <c:pt idx="146">
                  <c:v>147.23374257617016</c:v>
                </c:pt>
                <c:pt idx="147">
                  <c:v>155.19186407719209</c:v>
                </c:pt>
                <c:pt idx="148">
                  <c:v>162.91362150974351</c:v>
                </c:pt>
                <c:pt idx="149">
                  <c:v>164.55177316916144</c:v>
                </c:pt>
                <c:pt idx="150">
                  <c:v>160.15950470134706</c:v>
                </c:pt>
                <c:pt idx="151">
                  <c:v>171.38272163982407</c:v>
                </c:pt>
                <c:pt idx="152">
                  <c:v>163.06913429469148</c:v>
                </c:pt>
                <c:pt idx="153">
                  <c:v>165.05880017344074</c:v>
                </c:pt>
                <c:pt idx="154">
                  <c:v>167.37608310501747</c:v>
                </c:pt>
                <c:pt idx="155">
                  <c:v>163.09788758288394</c:v>
                </c:pt>
                <c:pt idx="156">
                  <c:v>167.20599588770688</c:v>
                </c:pt>
                <c:pt idx="157">
                  <c:v>165.14172747246727</c:v>
                </c:pt>
                <c:pt idx="158">
                  <c:v>172.68521082957744</c:v>
                </c:pt>
                <c:pt idx="159">
                  <c:v>141.22427340857885</c:v>
                </c:pt>
                <c:pt idx="160">
                  <c:v>162.21848749616356</c:v>
                </c:pt>
                <c:pt idx="161">
                  <c:v>133.00802860341972</c:v>
                </c:pt>
                <c:pt idx="162">
                  <c:v>160.07126416391247</c:v>
                </c:pt>
                <c:pt idx="163">
                  <c:v>161.1657624451305</c:v>
                </c:pt>
                <c:pt idx="164">
                  <c:v>166.72667503568732</c:v>
                </c:pt>
                <c:pt idx="165">
                  <c:v>162.67642921864262</c:v>
                </c:pt>
                <c:pt idx="166">
                  <c:v>165.71900687922005</c:v>
                </c:pt>
                <c:pt idx="167">
                  <c:v>168.02790030352131</c:v>
                </c:pt>
                <c:pt idx="168">
                  <c:v>172.49282921717614</c:v>
                </c:pt>
                <c:pt idx="169">
                  <c:v>167.97425871395154</c:v>
                </c:pt>
                <c:pt idx="170">
                  <c:v>175.30656086048936</c:v>
                </c:pt>
                <c:pt idx="171">
                  <c:v>171.40923901207225</c:v>
                </c:pt>
                <c:pt idx="172">
                  <c:v>171.86961951313705</c:v>
                </c:pt>
                <c:pt idx="173">
                  <c:v>164.14299609416557</c:v>
                </c:pt>
                <c:pt idx="174">
                  <c:v>138.48970004336019</c:v>
                </c:pt>
                <c:pt idx="175">
                  <c:v>160.85026652029183</c:v>
                </c:pt>
                <c:pt idx="176">
                  <c:v>155.27982957425129</c:v>
                </c:pt>
                <c:pt idx="177">
                  <c:v>168.26748636786152</c:v>
                </c:pt>
                <c:pt idx="178">
                  <c:v>165.17707135543526</c:v>
                </c:pt>
                <c:pt idx="179">
                  <c:v>173.43814138253839</c:v>
                </c:pt>
                <c:pt idx="180">
                  <c:v>180.76199648183163</c:v>
                </c:pt>
                <c:pt idx="181">
                  <c:v>136.73790360605153</c:v>
                </c:pt>
                <c:pt idx="182">
                  <c:v>146.17453410030032</c:v>
                </c:pt>
                <c:pt idx="183">
                  <c:v>160.19276134608225</c:v>
                </c:pt>
                <c:pt idx="184">
                  <c:v>148.36212172654444</c:v>
                </c:pt>
                <c:pt idx="185">
                  <c:v>168.16750709602098</c:v>
                </c:pt>
                <c:pt idx="186">
                  <c:v>169.18819963399918</c:v>
                </c:pt>
                <c:pt idx="187">
                  <c:v>152.25768677328443</c:v>
                </c:pt>
                <c:pt idx="188">
                  <c:v>174.10667306169736</c:v>
                </c:pt>
                <c:pt idx="189">
                  <c:v>170.24110132071036</c:v>
                </c:pt>
                <c:pt idx="190">
                  <c:v>162.79788758288393</c:v>
                </c:pt>
                <c:pt idx="191">
                  <c:v>159.54832910336609</c:v>
                </c:pt>
                <c:pt idx="192">
                  <c:v>176.57242168318425</c:v>
                </c:pt>
                <c:pt idx="193">
                  <c:v>169.27728766960431</c:v>
                </c:pt>
                <c:pt idx="194">
                  <c:v>172.63793270276915</c:v>
                </c:pt>
                <c:pt idx="195">
                  <c:v>182.02429823902062</c:v>
                </c:pt>
                <c:pt idx="196">
                  <c:v>170.77738617545319</c:v>
                </c:pt>
                <c:pt idx="197">
                  <c:v>167.02577319177794</c:v>
                </c:pt>
                <c:pt idx="198">
                  <c:v>159.92966660701219</c:v>
                </c:pt>
                <c:pt idx="199">
                  <c:v>179.45004138470858</c:v>
                </c:pt>
                <c:pt idx="200">
                  <c:v>164.90902382587984</c:v>
                </c:pt>
                <c:pt idx="201">
                  <c:v>147.47780705266081</c:v>
                </c:pt>
                <c:pt idx="202">
                  <c:v>168.67608310501745</c:v>
                </c:pt>
                <c:pt idx="203">
                  <c:v>171.33780705266082</c:v>
                </c:pt>
                <c:pt idx="204">
                  <c:v>158.14965773607273</c:v>
                </c:pt>
                <c:pt idx="205">
                  <c:v>156.38302698166282</c:v>
                </c:pt>
                <c:pt idx="206">
                  <c:v>152.91081979153219</c:v>
                </c:pt>
                <c:pt idx="207">
                  <c:v>179.57702329005369</c:v>
                </c:pt>
                <c:pt idx="208">
                  <c:v>170.72452023781139</c:v>
                </c:pt>
                <c:pt idx="209">
                  <c:v>171.53697499232712</c:v>
                </c:pt>
                <c:pt idx="210">
                  <c:v>170.13400248279626</c:v>
                </c:pt>
                <c:pt idx="211">
                  <c:v>176.40667306169735</c:v>
                </c:pt>
                <c:pt idx="212">
                  <c:v>163.17086643357146</c:v>
                </c:pt>
                <c:pt idx="213">
                  <c:v>146.85266906246218</c:v>
                </c:pt>
                <c:pt idx="214">
                  <c:v>174.89389292171592</c:v>
                </c:pt>
                <c:pt idx="215">
                  <c:v>172.50781977329819</c:v>
                </c:pt>
                <c:pt idx="216">
                  <c:v>166.18935392973501</c:v>
                </c:pt>
                <c:pt idx="217">
                  <c:v>180.56356403383191</c:v>
                </c:pt>
                <c:pt idx="218">
                  <c:v>157.85542010773082</c:v>
                </c:pt>
                <c:pt idx="219">
                  <c:v>150.99186407719208</c:v>
                </c:pt>
                <c:pt idx="220">
                  <c:v>181.50041520575166</c:v>
                </c:pt>
                <c:pt idx="221">
                  <c:v>173.67728766960431</c:v>
                </c:pt>
                <c:pt idx="222">
                  <c:v>171.11971276399757</c:v>
                </c:pt>
                <c:pt idx="223">
                  <c:v>178.46910013008056</c:v>
                </c:pt>
                <c:pt idx="224">
                  <c:v>139.10036776622556</c:v>
                </c:pt>
                <c:pt idx="225">
                  <c:v>166.11543506395395</c:v>
                </c:pt>
                <c:pt idx="226">
                  <c:v>161.8284196865778</c:v>
                </c:pt>
                <c:pt idx="227">
                  <c:v>158.38949823902061</c:v>
                </c:pt>
                <c:pt idx="228">
                  <c:v>183.07577319177793</c:v>
                </c:pt>
                <c:pt idx="229">
                  <c:v>169.45358024443874</c:v>
                </c:pt>
                <c:pt idx="230">
                  <c:v>171.21936665037239</c:v>
                </c:pt>
                <c:pt idx="231">
                  <c:v>170.95182176990463</c:v>
                </c:pt>
                <c:pt idx="232">
                  <c:v>160.64209251749554</c:v>
                </c:pt>
                <c:pt idx="233">
                  <c:v>140.06961951313707</c:v>
                </c:pt>
                <c:pt idx="234">
                  <c:v>173.75720713938119</c:v>
                </c:pt>
                <c:pt idx="235">
                  <c:v>169.87272702502301</c:v>
                </c:pt>
                <c:pt idx="236">
                  <c:v>136.01337658102852</c:v>
                </c:pt>
                <c:pt idx="237">
                  <c:v>171.80781977329818</c:v>
                </c:pt>
                <c:pt idx="238">
                  <c:v>147.68401475119606</c:v>
                </c:pt>
                <c:pt idx="239">
                  <c:v>154.27086643357146</c:v>
                </c:pt>
                <c:pt idx="240">
                  <c:v>163.43668775632469</c:v>
                </c:pt>
                <c:pt idx="241">
                  <c:v>151.63939836910117</c:v>
                </c:pt>
                <c:pt idx="242">
                  <c:v>174.3296666070122</c:v>
                </c:pt>
                <c:pt idx="243">
                  <c:v>175.47640052032224</c:v>
                </c:pt>
                <c:pt idx="244">
                  <c:v>175.29404516110037</c:v>
                </c:pt>
                <c:pt idx="245">
                  <c:v>173.9554624884907</c:v>
                </c:pt>
                <c:pt idx="246">
                  <c:v>172.35182176990463</c:v>
                </c:pt>
                <c:pt idx="247">
                  <c:v>175.48721986001857</c:v>
                </c:pt>
                <c:pt idx="248">
                  <c:v>160.3284196865778</c:v>
                </c:pt>
                <c:pt idx="249">
                  <c:v>171.11644008201924</c:v>
                </c:pt>
                <c:pt idx="250">
                  <c:v>153.06521707003731</c:v>
                </c:pt>
                <c:pt idx="251">
                  <c:v>143.46946789630613</c:v>
                </c:pt>
                <c:pt idx="252">
                  <c:v>153.00602350569184</c:v>
                </c:pt>
                <c:pt idx="253">
                  <c:v>147.03089986991944</c:v>
                </c:pt>
                <c:pt idx="254">
                  <c:v>156.51221125073045</c:v>
                </c:pt>
                <c:pt idx="255">
                  <c:v>156.19788758288394</c:v>
                </c:pt>
                <c:pt idx="256">
                  <c:v>172.10484985457367</c:v>
                </c:pt>
                <c:pt idx="257">
                  <c:v>162.98483405694014</c:v>
                </c:pt>
                <c:pt idx="258">
                  <c:v>162</c:v>
                </c:pt>
                <c:pt idx="259">
                  <c:v>156.55915310971756</c:v>
                </c:pt>
                <c:pt idx="260">
                  <c:v>179.76789556549372</c:v>
                </c:pt>
                <c:pt idx="261">
                  <c:v>174.29532816484152</c:v>
                </c:pt>
                <c:pt idx="262">
                  <c:v>167.66531544420411</c:v>
                </c:pt>
                <c:pt idx="263">
                  <c:v>153.48484788058374</c:v>
                </c:pt>
                <c:pt idx="264">
                  <c:v>172.73996656365202</c:v>
                </c:pt>
                <c:pt idx="265">
                  <c:v>151.01029995663981</c:v>
                </c:pt>
                <c:pt idx="266">
                  <c:v>174.22720713938116</c:v>
                </c:pt>
                <c:pt idx="267">
                  <c:v>176.98932137728264</c:v>
                </c:pt>
                <c:pt idx="268">
                  <c:v>183.93337706989536</c:v>
                </c:pt>
                <c:pt idx="269">
                  <c:v>176.21246399047172</c:v>
                </c:pt>
                <c:pt idx="270">
                  <c:v>154.00003416461092</c:v>
                </c:pt>
                <c:pt idx="271">
                  <c:v>169.85332841877425</c:v>
                </c:pt>
                <c:pt idx="272">
                  <c:v>180.21637507904751</c:v>
                </c:pt>
                <c:pt idx="273">
                  <c:v>171.67012968515616</c:v>
                </c:pt>
                <c:pt idx="274">
                  <c:v>171.93550002027126</c:v>
                </c:pt>
                <c:pt idx="275">
                  <c:v>153.77039084199066</c:v>
                </c:pt>
                <c:pt idx="276">
                  <c:v>148.68501092769958</c:v>
                </c:pt>
                <c:pt idx="277">
                  <c:v>151.32382699664265</c:v>
                </c:pt>
                <c:pt idx="278">
                  <c:v>152.54901959985744</c:v>
                </c:pt>
              </c:numCache>
            </c:numRef>
          </c:yVal>
          <c:smooth val="0"/>
          <c:extLst>
            <c:ext xmlns:c16="http://schemas.microsoft.com/office/drawing/2014/chart" uri="{C3380CC4-5D6E-409C-BE32-E72D297353CC}">
              <c16:uniqueId val="{00000007-8FC9-40EB-9F38-9C989B7C6F39}"/>
            </c:ext>
          </c:extLst>
        </c:ser>
        <c:ser>
          <c:idx val="2"/>
          <c:order val="4"/>
          <c:tx>
            <c:v>Envelope</c:v>
          </c:tx>
          <c:spPr>
            <a:ln w="38100">
              <a:solidFill>
                <a:srgbClr val="000000"/>
              </a:solidFill>
              <a:prstDash val="sysDash"/>
            </a:ln>
          </c:spPr>
          <c:marker>
            <c:symbol val="none"/>
          </c:marker>
          <c:xVal>
            <c:numRef>
              <c:f>'Jitter and FOM lines'!$B$65:$B$165</c:f>
              <c:numCache>
                <c:formatCode>0.00E+00</c:formatCode>
                <c:ptCount val="101"/>
                <c:pt idx="0">
                  <c:v>100</c:v>
                </c:pt>
                <c:pt idx="1">
                  <c:v>125.89254117941677</c:v>
                </c:pt>
                <c:pt idx="2">
                  <c:v>158.48931924611153</c:v>
                </c:pt>
                <c:pt idx="3">
                  <c:v>199.52623149688802</c:v>
                </c:pt>
                <c:pt idx="4">
                  <c:v>251.18864315095806</c:v>
                </c:pt>
                <c:pt idx="5">
                  <c:v>316.22776601683825</c:v>
                </c:pt>
                <c:pt idx="6">
                  <c:v>398.10717055349761</c:v>
                </c:pt>
                <c:pt idx="7">
                  <c:v>501.18723362727269</c:v>
                </c:pt>
                <c:pt idx="8">
                  <c:v>630.95734448019323</c:v>
                </c:pt>
                <c:pt idx="9">
                  <c:v>794.32823472428208</c:v>
                </c:pt>
                <c:pt idx="10">
                  <c:v>1000</c:v>
                </c:pt>
                <c:pt idx="11">
                  <c:v>1258.925411794168</c:v>
                </c:pt>
                <c:pt idx="12">
                  <c:v>1584.8931924611156</c:v>
                </c:pt>
                <c:pt idx="13">
                  <c:v>1995.2623149688804</c:v>
                </c:pt>
                <c:pt idx="14">
                  <c:v>2511.8864315095811</c:v>
                </c:pt>
                <c:pt idx="15">
                  <c:v>3162.2776601683804</c:v>
                </c:pt>
                <c:pt idx="16">
                  <c:v>3981.0717055349769</c:v>
                </c:pt>
                <c:pt idx="17">
                  <c:v>5011.8723362727324</c:v>
                </c:pt>
                <c:pt idx="18">
                  <c:v>6309.5734448019384</c:v>
                </c:pt>
                <c:pt idx="19">
                  <c:v>7943.2823472428154</c:v>
                </c:pt>
                <c:pt idx="20">
                  <c:v>10000</c:v>
                </c:pt>
                <c:pt idx="21">
                  <c:v>12589.254117941671</c:v>
                </c:pt>
                <c:pt idx="22">
                  <c:v>15848.931924611146</c:v>
                </c:pt>
                <c:pt idx="23">
                  <c:v>19952.623149688792</c:v>
                </c:pt>
                <c:pt idx="24">
                  <c:v>25118.86431509586</c:v>
                </c:pt>
                <c:pt idx="25">
                  <c:v>31622.77660168384</c:v>
                </c:pt>
                <c:pt idx="26">
                  <c:v>39810.717055349742</c:v>
                </c:pt>
                <c:pt idx="27">
                  <c:v>50118.723362727294</c:v>
                </c:pt>
                <c:pt idx="28">
                  <c:v>63095.734448019342</c:v>
                </c:pt>
                <c:pt idx="29">
                  <c:v>79432.823472428237</c:v>
                </c:pt>
                <c:pt idx="30">
                  <c:v>100000</c:v>
                </c:pt>
                <c:pt idx="31">
                  <c:v>125892.54117941685</c:v>
                </c:pt>
                <c:pt idx="32">
                  <c:v>158489.31924611164</c:v>
                </c:pt>
                <c:pt idx="33">
                  <c:v>199526.23149688813</c:v>
                </c:pt>
                <c:pt idx="34">
                  <c:v>251188.64315095844</c:v>
                </c:pt>
                <c:pt idx="35">
                  <c:v>316227.7660168382</c:v>
                </c:pt>
                <c:pt idx="36">
                  <c:v>398107.17055349716</c:v>
                </c:pt>
                <c:pt idx="37">
                  <c:v>501187.23362727347</c:v>
                </c:pt>
                <c:pt idx="38">
                  <c:v>630957.34448019415</c:v>
                </c:pt>
                <c:pt idx="39">
                  <c:v>794328.23472428333</c:v>
                </c:pt>
                <c:pt idx="40">
                  <c:v>1000000</c:v>
                </c:pt>
                <c:pt idx="41">
                  <c:v>1258925.4117941677</c:v>
                </c:pt>
                <c:pt idx="42">
                  <c:v>1584893.1924611153</c:v>
                </c:pt>
                <c:pt idx="43">
                  <c:v>1995262.31496888</c:v>
                </c:pt>
                <c:pt idx="44">
                  <c:v>2511886.431509587</c:v>
                </c:pt>
                <c:pt idx="45">
                  <c:v>3162277.6601683851</c:v>
                </c:pt>
                <c:pt idx="46">
                  <c:v>3981071.705534976</c:v>
                </c:pt>
                <c:pt idx="47">
                  <c:v>5011872.3362727314</c:v>
                </c:pt>
                <c:pt idx="48">
                  <c:v>6309573.4448019378</c:v>
                </c:pt>
                <c:pt idx="49">
                  <c:v>7943282.3472428275</c:v>
                </c:pt>
                <c:pt idx="50">
                  <c:v>10000000</c:v>
                </c:pt>
                <c:pt idx="51">
                  <c:v>12589254.117941668</c:v>
                </c:pt>
                <c:pt idx="52">
                  <c:v>15848931.924611172</c:v>
                </c:pt>
                <c:pt idx="53">
                  <c:v>19952623.149688821</c:v>
                </c:pt>
                <c:pt idx="54">
                  <c:v>25118864.315095898</c:v>
                </c:pt>
                <c:pt idx="55">
                  <c:v>31622776.601684563</c:v>
                </c:pt>
                <c:pt idx="56">
                  <c:v>39810717.055349804</c:v>
                </c:pt>
                <c:pt idx="57">
                  <c:v>50118723.362727284</c:v>
                </c:pt>
                <c:pt idx="58">
                  <c:v>63095734.448020898</c:v>
                </c:pt>
                <c:pt idx="59">
                  <c:v>79432823.47243005</c:v>
                </c:pt>
                <c:pt idx="60">
                  <c:v>100000000.00000267</c:v>
                </c:pt>
                <c:pt idx="61">
                  <c:v>125892541.17941682</c:v>
                </c:pt>
                <c:pt idx="62">
                  <c:v>158489319.24611527</c:v>
                </c:pt>
                <c:pt idx="63">
                  <c:v>199526231.49689269</c:v>
                </c:pt>
                <c:pt idx="64">
                  <c:v>251188643.15096372</c:v>
                </c:pt>
                <c:pt idx="65">
                  <c:v>316227766.01684594</c:v>
                </c:pt>
                <c:pt idx="66">
                  <c:v>398107170.55350697</c:v>
                </c:pt>
                <c:pt idx="67">
                  <c:v>501187233.62728405</c:v>
                </c:pt>
                <c:pt idx="68">
                  <c:v>630957344.48020744</c:v>
                </c:pt>
                <c:pt idx="69">
                  <c:v>794328234.7242986</c:v>
                </c:pt>
                <c:pt idx="70">
                  <c:v>1000000000.0000277</c:v>
                </c:pt>
                <c:pt idx="71">
                  <c:v>1258925411.7942009</c:v>
                </c:pt>
                <c:pt idx="72">
                  <c:v>1584893192.4611545</c:v>
                </c:pt>
                <c:pt idx="73">
                  <c:v>1995262314.9689293</c:v>
                </c:pt>
                <c:pt idx="74">
                  <c:v>2511886431.5096402</c:v>
                </c:pt>
                <c:pt idx="75">
                  <c:v>3162277660.1684632</c:v>
                </c:pt>
                <c:pt idx="76">
                  <c:v>3981071705.5350742</c:v>
                </c:pt>
                <c:pt idx="77">
                  <c:v>5011872336.2728462</c:v>
                </c:pt>
                <c:pt idx="78">
                  <c:v>6309573444.8020811</c:v>
                </c:pt>
                <c:pt idx="79">
                  <c:v>7943282347.2429953</c:v>
                </c:pt>
                <c:pt idx="80">
                  <c:v>10000000000</c:v>
                </c:pt>
                <c:pt idx="81">
                  <c:v>12589254117.94171</c:v>
                </c:pt>
                <c:pt idx="82">
                  <c:v>15848931924.611168</c:v>
                </c:pt>
                <c:pt idx="83">
                  <c:v>19952623149.688889</c:v>
                </c:pt>
                <c:pt idx="84">
                  <c:v>25118864315.095894</c:v>
                </c:pt>
                <c:pt idx="85">
                  <c:v>31622776601.68388</c:v>
                </c:pt>
                <c:pt idx="86">
                  <c:v>39810717055.349792</c:v>
                </c:pt>
                <c:pt idx="87">
                  <c:v>50118723362.727272</c:v>
                </c:pt>
                <c:pt idx="88">
                  <c:v>63095734448.019539</c:v>
                </c:pt>
                <c:pt idx="89">
                  <c:v>79432823472.428345</c:v>
                </c:pt>
                <c:pt idx="90">
                  <c:v>100000000000</c:v>
                </c:pt>
                <c:pt idx="91">
                  <c:v>125892541179.41679</c:v>
                </c:pt>
                <c:pt idx="92">
                  <c:v>158489319246.1113</c:v>
                </c:pt>
                <c:pt idx="93">
                  <c:v>199526231496.8891</c:v>
                </c:pt>
                <c:pt idx="94">
                  <c:v>251188643150.9592</c:v>
                </c:pt>
                <c:pt idx="95">
                  <c:v>316227766016.83917</c:v>
                </c:pt>
                <c:pt idx="96">
                  <c:v>398107170553.49841</c:v>
                </c:pt>
                <c:pt idx="97">
                  <c:v>501187233627.27325</c:v>
                </c:pt>
                <c:pt idx="98">
                  <c:v>630957344480.19604</c:v>
                </c:pt>
                <c:pt idx="99">
                  <c:v>794328234724.2843</c:v>
                </c:pt>
                <c:pt idx="100">
                  <c:v>1000000000000</c:v>
                </c:pt>
              </c:numCache>
            </c:numRef>
          </c:xVal>
          <c:yVal>
            <c:numRef>
              <c:f>'Jitter and FOM lines'!$D$65:$D$165</c:f>
              <c:numCache>
                <c:formatCode>0.00</c:formatCode>
                <c:ptCount val="101"/>
                <c:pt idx="0">
                  <c:v>186.72331722916164</c:v>
                </c:pt>
                <c:pt idx="1">
                  <c:v>186.7233172291574</c:v>
                </c:pt>
                <c:pt idx="2">
                  <c:v>186.72331722915072</c:v>
                </c:pt>
                <c:pt idx="3">
                  <c:v>186.72331722914009</c:v>
                </c:pt>
                <c:pt idx="4">
                  <c:v>186.7233172291233</c:v>
                </c:pt>
                <c:pt idx="5">
                  <c:v>186.72331722909664</c:v>
                </c:pt>
                <c:pt idx="6">
                  <c:v>186.72331722905437</c:v>
                </c:pt>
                <c:pt idx="7">
                  <c:v>186.72331722898744</c:v>
                </c:pt>
                <c:pt idx="8">
                  <c:v>186.72331722888131</c:v>
                </c:pt>
                <c:pt idx="9">
                  <c:v>186.72331722871314</c:v>
                </c:pt>
                <c:pt idx="10">
                  <c:v>186.72331722844658</c:v>
                </c:pt>
                <c:pt idx="11">
                  <c:v>186.72331722802414</c:v>
                </c:pt>
                <c:pt idx="12">
                  <c:v>186.72331722735461</c:v>
                </c:pt>
                <c:pt idx="13">
                  <c:v>186.72331722629346</c:v>
                </c:pt>
                <c:pt idx="14">
                  <c:v>186.72331722461166</c:v>
                </c:pt>
                <c:pt idx="15">
                  <c:v>186.72331722194616</c:v>
                </c:pt>
                <c:pt idx="16">
                  <c:v>186.72331721772167</c:v>
                </c:pt>
                <c:pt idx="17">
                  <c:v>186.72331721102628</c:v>
                </c:pt>
                <c:pt idx="18">
                  <c:v>186.72331720041481</c:v>
                </c:pt>
                <c:pt idx="19">
                  <c:v>186.72331718359678</c:v>
                </c:pt>
                <c:pt idx="20">
                  <c:v>186.72331715694199</c:v>
                </c:pt>
                <c:pt idx="21">
                  <c:v>186.72331711469701</c:v>
                </c:pt>
                <c:pt idx="22">
                  <c:v>186.72331704774319</c:v>
                </c:pt>
                <c:pt idx="23">
                  <c:v>186.72331694162855</c:v>
                </c:pt>
                <c:pt idx="24">
                  <c:v>186.72331677344823</c:v>
                </c:pt>
                <c:pt idx="25">
                  <c:v>186.72331650690037</c:v>
                </c:pt>
                <c:pt idx="26">
                  <c:v>186.72331608445054</c:v>
                </c:pt>
                <c:pt idx="27">
                  <c:v>186.72331541491289</c:v>
                </c:pt>
                <c:pt idx="28">
                  <c:v>186.72331435376765</c:v>
                </c:pt>
                <c:pt idx="29">
                  <c:v>186.72331267196682</c:v>
                </c:pt>
                <c:pt idx="30">
                  <c:v>186.72331000649478</c:v>
                </c:pt>
                <c:pt idx="31">
                  <c:v>186.72330578201303</c:v>
                </c:pt>
                <c:pt idx="32">
                  <c:v>186.72329908667749</c:v>
                </c:pt>
                <c:pt idx="33">
                  <c:v>186.72328847532808</c:v>
                </c:pt>
                <c:pt idx="34">
                  <c:v>186.72327165757881</c:v>
                </c:pt>
                <c:pt idx="35">
                  <c:v>186.72324500350928</c:v>
                </c:pt>
                <c:pt idx="36">
                  <c:v>186.7232027603261</c:v>
                </c:pt>
                <c:pt idx="37">
                  <c:v>186.72313581107596</c:v>
                </c:pt>
                <c:pt idx="38">
                  <c:v>186.72302970789315</c:v>
                </c:pt>
                <c:pt idx="39">
                  <c:v>186.72286155630005</c:v>
                </c:pt>
                <c:pt idx="40">
                  <c:v>186.72259508065423</c:v>
                </c:pt>
                <c:pt idx="41">
                  <c:v>186.72217281219017</c:v>
                </c:pt>
                <c:pt idx="42">
                  <c:v>186.72150372993434</c:v>
                </c:pt>
                <c:pt idx="43">
                  <c:v>186.72044372813747</c:v>
                </c:pt>
                <c:pt idx="44">
                  <c:v>186.71876479770307</c:v>
                </c:pt>
                <c:pt idx="45">
                  <c:v>186.71610652846567</c:v>
                </c:pt>
                <c:pt idx="46">
                  <c:v>186.71190011018723</c:v>
                </c:pt>
                <c:pt idx="47">
                  <c:v>186.70525003271862</c:v>
                </c:pt>
                <c:pt idx="48">
                  <c:v>186.69475191033482</c:v>
                </c:pt>
                <c:pt idx="49">
                  <c:v>186.6782167778284</c:v>
                </c:pt>
                <c:pt idx="50">
                  <c:v>186.6522655738888</c:v>
                </c:pt>
                <c:pt idx="51">
                  <c:v>186.61176061620736</c:v>
                </c:pt>
                <c:pt idx="52">
                  <c:v>186.54907322973403</c:v>
                </c:pt>
                <c:pt idx="53">
                  <c:v>186.45328492997146</c:v>
                </c:pt>
                <c:pt idx="54">
                  <c:v>186.30962883983099</c:v>
                </c:pt>
                <c:pt idx="55">
                  <c:v>186.099790506467</c:v>
                </c:pt>
                <c:pt idx="56">
                  <c:v>185.80389112022723</c:v>
                </c:pt>
                <c:pt idx="57">
                  <c:v>185.4045499067785</c:v>
                </c:pt>
                <c:pt idx="58">
                  <c:v>184.89197583920179</c:v>
                </c:pt>
                <c:pt idx="59">
                  <c:v>184.26743968039517</c:v>
                </c:pt>
                <c:pt idx="60">
                  <c:v>183.54279939413249</c:v>
                </c:pt>
                <c:pt idx="61">
                  <c:v>182.73641717490605</c:v>
                </c:pt>
                <c:pt idx="62">
                  <c:v>181.86810733823054</c:v>
                </c:pt>
                <c:pt idx="63">
                  <c:v>180.95550490630544</c:v>
                </c:pt>
                <c:pt idx="64">
                  <c:v>180.01251569158413</c:v>
                </c:pt>
                <c:pt idx="65">
                  <c:v>179.04927277963327</c:v>
                </c:pt>
                <c:pt idx="66">
                  <c:v>178.07278921618769</c:v>
                </c:pt>
                <c:pt idx="67">
                  <c:v>177.08775920302119</c:v>
                </c:pt>
                <c:pt idx="68">
                  <c:v>176.09725800449505</c:v>
                </c:pt>
                <c:pt idx="69">
                  <c:v>175.1032727932263</c:v>
                </c:pt>
                <c:pt idx="70">
                  <c:v>174.1070764586272</c:v>
                </c:pt>
                <c:pt idx="71">
                  <c:v>173.1094798419561</c:v>
                </c:pt>
                <c:pt idx="72">
                  <c:v>172.11099764414999</c:v>
                </c:pt>
                <c:pt idx="73">
                  <c:v>171.11195585874879</c:v>
                </c:pt>
                <c:pt idx="74">
                  <c:v>170.11256066892233</c:v>
                </c:pt>
                <c:pt idx="75">
                  <c:v>169.11294236503704</c:v>
                </c:pt>
                <c:pt idx="76">
                  <c:v>168.11318323353041</c:v>
                </c:pt>
                <c:pt idx="77">
                  <c:v>167.1133352250238</c:v>
                </c:pt>
                <c:pt idx="78">
                  <c:v>166.11343113064709</c:v>
                </c:pt>
                <c:pt idx="79">
                  <c:v>165.11349164518396</c:v>
                </c:pt>
                <c:pt idx="80">
                  <c:v>164.1135298281433</c:v>
                </c:pt>
                <c:pt idx="81">
                  <c:v>163.11355392030731</c:v>
                </c:pt>
                <c:pt idx="82">
                  <c:v>162.11356912157268</c:v>
                </c:pt>
                <c:pt idx="83">
                  <c:v>161.11357871297747</c:v>
                </c:pt>
                <c:pt idx="84">
                  <c:v>160.11358476476656</c:v>
                </c:pt>
                <c:pt idx="85">
                  <c:v>159.11358858319602</c:v>
                </c:pt>
                <c:pt idx="86">
                  <c:v>158.11359099246559</c:v>
                </c:pt>
                <c:pt idx="87">
                  <c:v>157.11359251261328</c:v>
                </c:pt>
                <c:pt idx="88">
                  <c:v>156.11359347176219</c:v>
                </c:pt>
                <c:pt idx="89">
                  <c:v>155.11359407694445</c:v>
                </c:pt>
                <c:pt idx="90">
                  <c:v>154.11359445878873</c:v>
                </c:pt>
                <c:pt idx="91">
                  <c:v>153.11359469971623</c:v>
                </c:pt>
                <c:pt idx="92">
                  <c:v>152.11359485173119</c:v>
                </c:pt>
                <c:pt idx="93">
                  <c:v>151.11359494764616</c:v>
                </c:pt>
                <c:pt idx="94">
                  <c:v>150.11359500816442</c:v>
                </c:pt>
                <c:pt idx="95">
                  <c:v>149.11359504634888</c:v>
                </c:pt>
                <c:pt idx="96">
                  <c:v>148.11359507044165</c:v>
                </c:pt>
                <c:pt idx="97">
                  <c:v>147.11359508564314</c:v>
                </c:pt>
                <c:pt idx="98">
                  <c:v>146.11359509523461</c:v>
                </c:pt>
                <c:pt idx="99">
                  <c:v>145.11359510128645</c:v>
                </c:pt>
                <c:pt idx="100">
                  <c:v>144.11359510510491</c:v>
                </c:pt>
              </c:numCache>
            </c:numRef>
          </c:yVal>
          <c:smooth val="0"/>
          <c:extLst>
            <c:ext xmlns:c16="http://schemas.microsoft.com/office/drawing/2014/chart" uri="{C3380CC4-5D6E-409C-BE32-E72D297353CC}">
              <c16:uniqueId val="{00000008-8FC9-40EB-9F38-9C989B7C6F39}"/>
            </c:ext>
          </c:extLst>
        </c:ser>
        <c:dLbls>
          <c:showLegendKey val="0"/>
          <c:showVal val="0"/>
          <c:showCatName val="0"/>
          <c:showSerName val="0"/>
          <c:showPercent val="0"/>
          <c:showBubbleSize val="0"/>
        </c:dLbls>
        <c:axId val="142065503"/>
        <c:axId val="1"/>
      </c:scatterChart>
      <c:valAx>
        <c:axId val="142065503"/>
        <c:scaling>
          <c:logBase val="10"/>
          <c:orientation val="minMax"/>
          <c:max val="300000000000"/>
          <c:min val="100"/>
        </c:scaling>
        <c:delete val="0"/>
        <c:axPos val="b"/>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[Hz]</a:t>
                </a:r>
              </a:p>
            </c:rich>
          </c:tx>
          <c:layout>
            <c:manualLayout>
              <c:xMode val="edge"/>
              <c:yMode val="edge"/>
              <c:x val="0.44210712325703705"/>
              <c:y val="0.8911220083034912"/>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1.0000000000000002E-2"/>
        <c:crossBetween val="midCat"/>
        <c:majorUnit val="100"/>
      </c:valAx>
      <c:valAx>
        <c:axId val="1"/>
        <c:scaling>
          <c:orientation val="minMax"/>
          <c:max val="190"/>
          <c:min val="120"/>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FOM</a:t>
                </a:r>
                <a:r>
                  <a:rPr lang="en-US" sz="2000" b="1" i="0" u="none" strike="noStrike" baseline="-25000">
                    <a:solidFill>
                      <a:srgbClr val="000000"/>
                    </a:solidFill>
                    <a:latin typeface="Arial"/>
                    <a:cs typeface="Arial"/>
                  </a:rPr>
                  <a:t>S,hf</a:t>
                </a:r>
                <a:r>
                  <a:rPr lang="en-US" sz="2000" b="1" i="0" u="none" strike="noStrike" baseline="0">
                    <a:solidFill>
                      <a:srgbClr val="000000"/>
                    </a:solidFill>
                    <a:latin typeface="Arial"/>
                    <a:cs typeface="Arial"/>
                  </a:rPr>
                  <a:t> [dB]</a:t>
                </a:r>
              </a:p>
            </c:rich>
          </c:tx>
          <c:layout>
            <c:manualLayout>
              <c:xMode val="edge"/>
              <c:yMode val="edge"/>
              <c:x val="1.4733176948221339E-3"/>
              <c:y val="0.3164465576497226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5503"/>
        <c:crosses val="autoZero"/>
        <c:crossBetween val="midCat"/>
      </c:valAx>
      <c:spPr>
        <a:noFill/>
        <a:ln w="25400">
          <a:solidFill>
            <a:srgbClr val="000000"/>
          </a:solidFill>
          <a:prstDash val="solid"/>
        </a:ln>
      </c:spPr>
    </c:plotArea>
    <c:legend>
      <c:legendPos val="r"/>
      <c:layout>
        <c:manualLayout>
          <c:xMode val="edge"/>
          <c:yMode val="edge"/>
          <c:x val="0.13574987877248479"/>
          <c:y val="0.58854943132108484"/>
          <c:w val="0.19844362654413572"/>
          <c:h val="0.2101390702575895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workbookViewId="0"/>
  </sheetViews>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workbookViewId="0"/>
  </sheetViews>
  <pageMargins left="0.75" right="0.75" top="1" bottom="1" header="0.5" footer="0.5"/>
  <headerFooter alignWithMargins="0"/>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workbookViewId="0"/>
  </sheetViews>
  <pageMargins left="0.75" right="0.75" top="1" bottom="1" header="0.5" footer="0.5"/>
  <headerFooter alignWithMargins="0"/>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workbookViewId="0"/>
  </sheetViews>
  <pageMargins left="0.75" right="0.75" top="1" bottom="1" header="0.5" footer="0.5"/>
  <headerFooter alignWithMargins="0"/>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B0C24D28-E227-630F-F58D-8389B585852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26A8F20A-B496-98BA-C66D-177E5D87A4B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D0A79473-C751-CA3D-DB9D-042F461C833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1022B913-FCBA-851A-CED1-495C61296DD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ieeexplore.ieee.org/document/6578688" TargetMode="External"/><Relationship Id="rId18" Type="http://schemas.openxmlformats.org/officeDocument/2006/relationships/hyperlink" Target="https://ieeexplore.ieee.org/document/5986414" TargetMode="External"/><Relationship Id="rId26" Type="http://schemas.openxmlformats.org/officeDocument/2006/relationships/hyperlink" Target="https://ieeexplore.ieee.org/document/5986079" TargetMode="External"/><Relationship Id="rId39" Type="http://schemas.openxmlformats.org/officeDocument/2006/relationships/hyperlink" Target="https://ieeexplore.ieee.org/document/5205316" TargetMode="External"/><Relationship Id="rId21" Type="http://schemas.openxmlformats.org/officeDocument/2006/relationships/hyperlink" Target="https://ieeexplore.ieee.org/document/5986067" TargetMode="External"/><Relationship Id="rId34" Type="http://schemas.openxmlformats.org/officeDocument/2006/relationships/hyperlink" Target="https://ieeexplore.ieee.org/document/5205309" TargetMode="External"/><Relationship Id="rId7" Type="http://schemas.openxmlformats.org/officeDocument/2006/relationships/hyperlink" Target="https://ieeexplore.ieee.org/document/6578722" TargetMode="External"/><Relationship Id="rId2" Type="http://schemas.openxmlformats.org/officeDocument/2006/relationships/hyperlink" Target="https://ieeexplore.ieee.org/document/5986445" TargetMode="External"/><Relationship Id="rId16" Type="http://schemas.openxmlformats.org/officeDocument/2006/relationships/hyperlink" Target="https://ieeexplore.ieee.org/document/5986412" TargetMode="External"/><Relationship Id="rId20" Type="http://schemas.openxmlformats.org/officeDocument/2006/relationships/hyperlink" Target="https://ieeexplore.ieee.org/document/5986066" TargetMode="External"/><Relationship Id="rId29" Type="http://schemas.openxmlformats.org/officeDocument/2006/relationships/hyperlink" Target="https://ieeexplore.ieee.org/document/5986447" TargetMode="External"/><Relationship Id="rId41" Type="http://schemas.openxmlformats.org/officeDocument/2006/relationships/printerSettings" Target="../printerSettings/printerSettings3.bin"/><Relationship Id="rId1" Type="http://schemas.openxmlformats.org/officeDocument/2006/relationships/hyperlink" Target="https://ieeexplore.ieee.org/document/5205344" TargetMode="External"/><Relationship Id="rId6" Type="http://schemas.openxmlformats.org/officeDocument/2006/relationships/hyperlink" Target="https://ieeexplore.ieee.org/document/6578721" TargetMode="External"/><Relationship Id="rId11" Type="http://schemas.openxmlformats.org/officeDocument/2006/relationships/hyperlink" Target="https://ieeexplore.ieee.org/document/6578733" TargetMode="External"/><Relationship Id="rId24" Type="http://schemas.openxmlformats.org/officeDocument/2006/relationships/hyperlink" Target="https://ieeexplore.ieee.org/document/5986070" TargetMode="External"/><Relationship Id="rId32" Type="http://schemas.openxmlformats.org/officeDocument/2006/relationships/hyperlink" Target="https://ieeexplore.ieee.org/document/5205307" TargetMode="External"/><Relationship Id="rId37" Type="http://schemas.openxmlformats.org/officeDocument/2006/relationships/hyperlink" Target="https://ieeexplore.ieee.org/document/5205346" TargetMode="External"/><Relationship Id="rId40" Type="http://schemas.openxmlformats.org/officeDocument/2006/relationships/hyperlink" Target="https://ieeexplore.ieee.org/document/5205318" TargetMode="External"/><Relationship Id="rId5" Type="http://schemas.openxmlformats.org/officeDocument/2006/relationships/hyperlink" Target="https://ieeexplore.ieee.org/abstract/document/6578720" TargetMode="External"/><Relationship Id="rId15" Type="http://schemas.openxmlformats.org/officeDocument/2006/relationships/hyperlink" Target="https://ieeexplore.ieee.org/document/5986411" TargetMode="External"/><Relationship Id="rId23" Type="http://schemas.openxmlformats.org/officeDocument/2006/relationships/hyperlink" Target="https://ieeexplore.ieee.org/document/5986069" TargetMode="External"/><Relationship Id="rId28" Type="http://schemas.openxmlformats.org/officeDocument/2006/relationships/hyperlink" Target="https://ieeexplore.ieee.org/document/5986446" TargetMode="External"/><Relationship Id="rId36" Type="http://schemas.openxmlformats.org/officeDocument/2006/relationships/hyperlink" Target="https://ieeexplore.ieee.org/document/5205345" TargetMode="External"/><Relationship Id="rId10" Type="http://schemas.openxmlformats.org/officeDocument/2006/relationships/hyperlink" Target="https://ieeexplore.ieee.org/document/6578732" TargetMode="External"/><Relationship Id="rId19" Type="http://schemas.openxmlformats.org/officeDocument/2006/relationships/hyperlink" Target="https://ieeexplore.ieee.org/document/5986415" TargetMode="External"/><Relationship Id="rId31" Type="http://schemas.openxmlformats.org/officeDocument/2006/relationships/hyperlink" Target="https://ieeexplore.ieee.org/document/5205306" TargetMode="External"/><Relationship Id="rId4" Type="http://schemas.openxmlformats.org/officeDocument/2006/relationships/hyperlink" Target="https://ieeexplore.ieee.org/document/6578719" TargetMode="External"/><Relationship Id="rId9" Type="http://schemas.openxmlformats.org/officeDocument/2006/relationships/hyperlink" Target="https://ieeexplore.ieee.org/document/6578731" TargetMode="External"/><Relationship Id="rId14" Type="http://schemas.openxmlformats.org/officeDocument/2006/relationships/hyperlink" Target="https://ieeexplore.ieee.org/document/6578690" TargetMode="External"/><Relationship Id="rId22" Type="http://schemas.openxmlformats.org/officeDocument/2006/relationships/hyperlink" Target="https://ieeexplore.ieee.org/document/5986068" TargetMode="External"/><Relationship Id="rId27" Type="http://schemas.openxmlformats.org/officeDocument/2006/relationships/hyperlink" Target="https://ieeexplore.ieee.org/document/5986444" TargetMode="External"/><Relationship Id="rId30" Type="http://schemas.openxmlformats.org/officeDocument/2006/relationships/hyperlink" Target="https://ieeexplore.ieee.org/document/5986448" TargetMode="External"/><Relationship Id="rId35" Type="http://schemas.openxmlformats.org/officeDocument/2006/relationships/hyperlink" Target="https://ieeexplore.ieee.org/document/5205343" TargetMode="External"/><Relationship Id="rId8" Type="http://schemas.openxmlformats.org/officeDocument/2006/relationships/hyperlink" Target="https://ieeexplore.ieee.org/document/6578730" TargetMode="External"/><Relationship Id="rId3" Type="http://schemas.openxmlformats.org/officeDocument/2006/relationships/hyperlink" Target="https://ieeexplore.ieee.org/document/6578723" TargetMode="External"/><Relationship Id="rId12" Type="http://schemas.openxmlformats.org/officeDocument/2006/relationships/hyperlink" Target="https://ieeexplore.ieee.org/document/6578686" TargetMode="External"/><Relationship Id="rId17" Type="http://schemas.openxmlformats.org/officeDocument/2006/relationships/hyperlink" Target="https://ieeexplore.ieee.org/document/5986413" TargetMode="External"/><Relationship Id="rId25" Type="http://schemas.openxmlformats.org/officeDocument/2006/relationships/hyperlink" Target="https://ieeexplore.ieee.org/document/5986078" TargetMode="External"/><Relationship Id="rId33" Type="http://schemas.openxmlformats.org/officeDocument/2006/relationships/hyperlink" Target="https://ieeexplore.ieee.org/document/5205308" TargetMode="External"/><Relationship Id="rId38" Type="http://schemas.openxmlformats.org/officeDocument/2006/relationships/hyperlink" Target="https://ieeexplore.ieee.org/document/52053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8"/>
  <sheetViews>
    <sheetView tabSelected="1" topLeftCell="A45" workbookViewId="0">
      <selection activeCell="A96" sqref="A96"/>
    </sheetView>
  </sheetViews>
  <sheetFormatPr defaultRowHeight="12.5" x14ac:dyDescent="0.25"/>
  <cols>
    <col min="1" max="1" width="176.36328125" customWidth="1"/>
  </cols>
  <sheetData>
    <row r="1" spans="1:2" s="7" customFormat="1" ht="13" x14ac:dyDescent="0.3">
      <c r="A1" s="9" t="s">
        <v>3191</v>
      </c>
    </row>
    <row r="2" spans="1:2" ht="13" x14ac:dyDescent="0.25">
      <c r="A2" s="10" t="s">
        <v>3132</v>
      </c>
    </row>
    <row r="3" spans="1:2" x14ac:dyDescent="0.25">
      <c r="A3" s="11"/>
    </row>
    <row r="4" spans="1:2" ht="50" x14ac:dyDescent="0.25">
      <c r="A4" s="18" t="s">
        <v>1109</v>
      </c>
      <c r="B4" s="23"/>
    </row>
    <row r="6" spans="1:2" x14ac:dyDescent="0.25">
      <c r="A6" s="11" t="s">
        <v>277</v>
      </c>
    </row>
    <row r="7" spans="1:2" x14ac:dyDescent="0.25">
      <c r="A7" s="23" t="s">
        <v>3133</v>
      </c>
    </row>
    <row r="9" spans="1:2" ht="13" x14ac:dyDescent="0.3">
      <c r="A9" s="34" t="s">
        <v>815</v>
      </c>
    </row>
    <row r="11" spans="1:2" ht="25.5" x14ac:dyDescent="0.25">
      <c r="A11" s="10" t="s">
        <v>1186</v>
      </c>
    </row>
    <row r="12" spans="1:2" ht="12.75" customHeight="1" x14ac:dyDescent="0.25">
      <c r="A12" s="10" t="s">
        <v>814</v>
      </c>
    </row>
    <row r="13" spans="1:2" ht="40.5" customHeight="1" x14ac:dyDescent="0.25">
      <c r="A13" s="19" t="s">
        <v>1107</v>
      </c>
    </row>
    <row r="14" spans="1:2" ht="38" x14ac:dyDescent="0.25">
      <c r="A14" s="20" t="s">
        <v>1187</v>
      </c>
    </row>
    <row r="15" spans="1:2" ht="38" x14ac:dyDescent="0.25">
      <c r="A15" s="19" t="s">
        <v>1110</v>
      </c>
    </row>
    <row r="16" spans="1:2" ht="13" x14ac:dyDescent="0.3">
      <c r="A16" s="17" t="s">
        <v>997</v>
      </c>
    </row>
    <row r="17" spans="1:1" ht="13" x14ac:dyDescent="0.3">
      <c r="A17" s="17" t="s">
        <v>1108</v>
      </c>
    </row>
    <row r="18" spans="1:1" ht="25.5" x14ac:dyDescent="0.25">
      <c r="A18" s="19" t="s">
        <v>2717</v>
      </c>
    </row>
    <row r="20" spans="1:1" ht="13" x14ac:dyDescent="0.3">
      <c r="A20" s="34" t="s">
        <v>817</v>
      </c>
    </row>
    <row r="22" spans="1:1" ht="25.5" x14ac:dyDescent="0.25">
      <c r="A22" s="10" t="s">
        <v>1111</v>
      </c>
    </row>
    <row r="23" spans="1:1" ht="38" x14ac:dyDescent="0.25">
      <c r="A23" s="21" t="s">
        <v>998</v>
      </c>
    </row>
    <row r="26" spans="1:1" ht="13" x14ac:dyDescent="0.3">
      <c r="A26" s="34" t="s">
        <v>818</v>
      </c>
    </row>
    <row r="28" spans="1:1" ht="75" x14ac:dyDescent="0.25">
      <c r="A28" s="22" t="s">
        <v>1117</v>
      </c>
    </row>
    <row r="30" spans="1:1" ht="13" x14ac:dyDescent="0.3">
      <c r="A30" s="34" t="s">
        <v>999</v>
      </c>
    </row>
    <row r="32" spans="1:1" ht="39" customHeight="1" x14ac:dyDescent="0.25">
      <c r="A32" s="35" t="s">
        <v>1112</v>
      </c>
    </row>
    <row r="33" spans="1:1" ht="50" x14ac:dyDescent="0.25">
      <c r="A33" s="1" t="s">
        <v>1188</v>
      </c>
    </row>
    <row r="35" spans="1:1" ht="13" x14ac:dyDescent="0.3">
      <c r="A35" s="34" t="s">
        <v>819</v>
      </c>
    </row>
    <row r="37" spans="1:1" ht="25" x14ac:dyDescent="0.25">
      <c r="A37" s="19" t="s">
        <v>820</v>
      </c>
    </row>
    <row r="38" spans="1:1" ht="62.5" x14ac:dyDescent="0.25">
      <c r="A38" s="19" t="s">
        <v>1113</v>
      </c>
    </row>
    <row r="40" spans="1:1" ht="25" x14ac:dyDescent="0.25">
      <c r="A40" s="13" t="s">
        <v>2769</v>
      </c>
    </row>
    <row r="41" spans="1:1" x14ac:dyDescent="0.25">
      <c r="A41" s="11"/>
    </row>
    <row r="42" spans="1:1" x14ac:dyDescent="0.25">
      <c r="A42" s="11" t="s">
        <v>32</v>
      </c>
    </row>
    <row r="43" spans="1:1" x14ac:dyDescent="0.25">
      <c r="A43" s="11" t="s">
        <v>33</v>
      </c>
    </row>
    <row r="44" spans="1:1" x14ac:dyDescent="0.25">
      <c r="A44" s="12"/>
    </row>
    <row r="45" spans="1:1" x14ac:dyDescent="0.25">
      <c r="A45" s="13" t="s">
        <v>278</v>
      </c>
    </row>
    <row r="46" spans="1:1" x14ac:dyDescent="0.25">
      <c r="A46" s="13" t="s">
        <v>777</v>
      </c>
    </row>
    <row r="47" spans="1:1" x14ac:dyDescent="0.25">
      <c r="A47" s="13" t="s">
        <v>776</v>
      </c>
    </row>
    <row r="48" spans="1:1" x14ac:dyDescent="0.25">
      <c r="A48" s="19" t="s">
        <v>994</v>
      </c>
    </row>
    <row r="49" spans="1:1" x14ac:dyDescent="0.25">
      <c r="A49" s="13" t="s">
        <v>993</v>
      </c>
    </row>
    <row r="50" spans="1:1" x14ac:dyDescent="0.25">
      <c r="A50" s="13" t="s">
        <v>1183</v>
      </c>
    </row>
    <row r="52" spans="1:1" ht="13" x14ac:dyDescent="0.3">
      <c r="A52" s="24" t="s">
        <v>242</v>
      </c>
    </row>
    <row r="53" spans="1:1" x14ac:dyDescent="0.25">
      <c r="A53" s="19" t="s">
        <v>775</v>
      </c>
    </row>
    <row r="54" spans="1:1" x14ac:dyDescent="0.25">
      <c r="A54" s="19" t="s">
        <v>821</v>
      </c>
    </row>
    <row r="55" spans="1:1" x14ac:dyDescent="0.25">
      <c r="A55" s="1" t="s">
        <v>292</v>
      </c>
    </row>
    <row r="56" spans="1:1" x14ac:dyDescent="0.25">
      <c r="A56" s="1" t="s">
        <v>293</v>
      </c>
    </row>
    <row r="57" spans="1:1" x14ac:dyDescent="0.25">
      <c r="A57" s="17" t="s">
        <v>394</v>
      </c>
    </row>
    <row r="58" spans="1:1" x14ac:dyDescent="0.25">
      <c r="A58" s="17" t="s">
        <v>393</v>
      </c>
    </row>
    <row r="59" spans="1:1" x14ac:dyDescent="0.25">
      <c r="A59" s="1" t="s">
        <v>395</v>
      </c>
    </row>
    <row r="60" spans="1:1" x14ac:dyDescent="0.25">
      <c r="A60" s="19" t="s">
        <v>816</v>
      </c>
    </row>
    <row r="61" spans="1:1" x14ac:dyDescent="0.25">
      <c r="A61" s="19" t="s">
        <v>824</v>
      </c>
    </row>
    <row r="62" spans="1:1" x14ac:dyDescent="0.25">
      <c r="A62" s="19" t="s">
        <v>825</v>
      </c>
    </row>
    <row r="63" spans="1:1" x14ac:dyDescent="0.25">
      <c r="A63" s="17" t="s">
        <v>826</v>
      </c>
    </row>
    <row r="64" spans="1:1" x14ac:dyDescent="0.25">
      <c r="A64" s="19" t="s">
        <v>1410</v>
      </c>
    </row>
    <row r="65" spans="1:1" x14ac:dyDescent="0.25">
      <c r="A65" s="19" t="s">
        <v>913</v>
      </c>
    </row>
    <row r="66" spans="1:1" x14ac:dyDescent="0.25">
      <c r="A66" s="26" t="s">
        <v>914</v>
      </c>
    </row>
    <row r="67" spans="1:1" x14ac:dyDescent="0.25">
      <c r="A67" s="19" t="s">
        <v>938</v>
      </c>
    </row>
    <row r="68" spans="1:1" x14ac:dyDescent="0.25">
      <c r="A68" s="19" t="s">
        <v>1040</v>
      </c>
    </row>
    <row r="69" spans="1:1" x14ac:dyDescent="0.25">
      <c r="A69" s="19" t="s">
        <v>1000</v>
      </c>
    </row>
    <row r="70" spans="1:1" x14ac:dyDescent="0.25">
      <c r="A70" s="19" t="s">
        <v>1019</v>
      </c>
    </row>
    <row r="71" spans="1:1" x14ac:dyDescent="0.25">
      <c r="A71" s="19" t="s">
        <v>1184</v>
      </c>
    </row>
    <row r="72" spans="1:1" x14ac:dyDescent="0.25">
      <c r="A72" s="19" t="s">
        <v>1106</v>
      </c>
    </row>
    <row r="73" spans="1:1" x14ac:dyDescent="0.25">
      <c r="A73" s="19" t="s">
        <v>1116</v>
      </c>
    </row>
    <row r="74" spans="1:1" x14ac:dyDescent="0.25">
      <c r="A74" s="19" t="s">
        <v>1185</v>
      </c>
    </row>
    <row r="75" spans="1:1" x14ac:dyDescent="0.25">
      <c r="A75" s="19" t="s">
        <v>1191</v>
      </c>
    </row>
    <row r="76" spans="1:1" x14ac:dyDescent="0.25">
      <c r="A76" s="19" t="s">
        <v>1226</v>
      </c>
    </row>
    <row r="77" spans="1:1" x14ac:dyDescent="0.25">
      <c r="A77" s="19" t="s">
        <v>1278</v>
      </c>
    </row>
    <row r="78" spans="1:1" x14ac:dyDescent="0.25">
      <c r="A78" s="19" t="s">
        <v>1317</v>
      </c>
    </row>
    <row r="79" spans="1:1" x14ac:dyDescent="0.25">
      <c r="A79" s="19" t="s">
        <v>1319</v>
      </c>
    </row>
    <row r="80" spans="1:1" x14ac:dyDescent="0.25">
      <c r="A80" s="19" t="s">
        <v>1411</v>
      </c>
    </row>
    <row r="81" spans="1:1" x14ac:dyDescent="0.25">
      <c r="A81" s="19" t="s">
        <v>1470</v>
      </c>
    </row>
    <row r="82" spans="1:1" x14ac:dyDescent="0.25">
      <c r="A82" s="19" t="s">
        <v>1547</v>
      </c>
    </row>
    <row r="83" spans="1:1" x14ac:dyDescent="0.25">
      <c r="A83" s="19" t="s">
        <v>1560</v>
      </c>
    </row>
    <row r="84" spans="1:1" x14ac:dyDescent="0.25">
      <c r="A84" s="19" t="s">
        <v>1582</v>
      </c>
    </row>
    <row r="85" spans="1:1" x14ac:dyDescent="0.25">
      <c r="A85" s="19" t="s">
        <v>1631</v>
      </c>
    </row>
    <row r="86" spans="1:1" x14ac:dyDescent="0.25">
      <c r="A86" s="19" t="s">
        <v>1720</v>
      </c>
    </row>
    <row r="87" spans="1:1" x14ac:dyDescent="0.25">
      <c r="A87" s="19" t="s">
        <v>1756</v>
      </c>
    </row>
    <row r="88" spans="1:1" x14ac:dyDescent="0.25">
      <c r="A88" s="19" t="s">
        <v>1814</v>
      </c>
    </row>
    <row r="89" spans="1:1" x14ac:dyDescent="0.25">
      <c r="A89" s="19" t="s">
        <v>1847</v>
      </c>
    </row>
    <row r="90" spans="1:1" x14ac:dyDescent="0.25">
      <c r="A90" s="19" t="s">
        <v>2718</v>
      </c>
    </row>
    <row r="91" spans="1:1" x14ac:dyDescent="0.25">
      <c r="A91" s="19" t="s">
        <v>2997</v>
      </c>
    </row>
    <row r="92" spans="1:1" x14ac:dyDescent="0.25">
      <c r="A92" s="19" t="s">
        <v>3057</v>
      </c>
    </row>
    <row r="93" spans="1:1" x14ac:dyDescent="0.25">
      <c r="A93" s="19" t="s">
        <v>3058</v>
      </c>
    </row>
    <row r="94" spans="1:1" x14ac:dyDescent="0.25">
      <c r="A94" s="19" t="s">
        <v>3134</v>
      </c>
    </row>
    <row r="95" spans="1:1" x14ac:dyDescent="0.25">
      <c r="A95" s="15" t="s">
        <v>3274</v>
      </c>
    </row>
    <row r="96" spans="1:1" x14ac:dyDescent="0.25">
      <c r="A96" s="25" t="s">
        <v>3359</v>
      </c>
    </row>
    <row r="97" spans="1:1" x14ac:dyDescent="0.25">
      <c r="A97" s="15"/>
    </row>
    <row r="98" spans="1:1" x14ac:dyDescent="0.25">
      <c r="A98" s="15"/>
    </row>
    <row r="99" spans="1:1" x14ac:dyDescent="0.25">
      <c r="A99" s="15"/>
    </row>
    <row r="100" spans="1:1" x14ac:dyDescent="0.25">
      <c r="A100" s="25"/>
    </row>
    <row r="101" spans="1:1" x14ac:dyDescent="0.25">
      <c r="A101" s="15"/>
    </row>
    <row r="102" spans="1:1" x14ac:dyDescent="0.25">
      <c r="A102" s="15"/>
    </row>
    <row r="103" spans="1:1" x14ac:dyDescent="0.25">
      <c r="A103" s="25"/>
    </row>
    <row r="104" spans="1:1" x14ac:dyDescent="0.25">
      <c r="A104" s="15"/>
    </row>
    <row r="105" spans="1:1" x14ac:dyDescent="0.25">
      <c r="A105" s="15"/>
    </row>
    <row r="106" spans="1:1" x14ac:dyDescent="0.25">
      <c r="A106" s="25"/>
    </row>
    <row r="107" spans="1:1" x14ac:dyDescent="0.25">
      <c r="A107" s="15"/>
    </row>
    <row r="108" spans="1:1" x14ac:dyDescent="0.25">
      <c r="A108" s="15"/>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460"/>
  <sheetViews>
    <sheetView zoomScaleNormal="100" workbookViewId="0">
      <pane ySplit="1" topLeftCell="A415" activePane="bottomLeft" state="frozen"/>
      <selection pane="bottomLeft" activeCell="X432" sqref="X432"/>
    </sheetView>
  </sheetViews>
  <sheetFormatPr defaultColWidth="9.08984375" defaultRowHeight="13" x14ac:dyDescent="0.3"/>
  <cols>
    <col min="1" max="1" width="11.08984375" style="106" customWidth="1"/>
    <col min="2" max="2" width="5.81640625" style="58" bestFit="1" customWidth="1"/>
    <col min="3" max="3" width="7.36328125" style="58" bestFit="1" customWidth="1"/>
    <col min="4" max="4" width="17.54296875" style="115" bestFit="1" customWidth="1"/>
    <col min="5" max="5" width="13.6328125" style="84" bestFit="1" customWidth="1"/>
    <col min="6" max="6" width="8.36328125" style="95" customWidth="1"/>
    <col min="7" max="7" width="20.81640625" style="89" customWidth="1"/>
    <col min="8" max="8" width="14" style="89" customWidth="1"/>
    <col min="9" max="9" width="17.36328125" style="140" customWidth="1"/>
    <col min="10" max="10" width="24" style="106" customWidth="1"/>
    <col min="11" max="11" width="27.7265625" style="86" customWidth="1"/>
    <col min="12" max="12" width="13.1796875" style="86" customWidth="1"/>
    <col min="13" max="13" width="12.36328125" style="86" customWidth="1"/>
    <col min="14" max="14" width="13.08984375" style="86" customWidth="1"/>
    <col min="15" max="15" width="13.36328125" style="58" bestFit="1" customWidth="1"/>
    <col min="16" max="16" width="15.36328125" style="88" bestFit="1" customWidth="1"/>
    <col min="17" max="17" width="15.54296875" style="87" bestFit="1" customWidth="1"/>
    <col min="18" max="18" width="12.54296875" style="58" bestFit="1" customWidth="1"/>
    <col min="19" max="19" width="16.36328125" style="87" bestFit="1" customWidth="1"/>
    <col min="20" max="20" width="11.08984375" style="54" bestFit="1" customWidth="1"/>
    <col min="21" max="21" width="9.6328125" style="87" bestFit="1" customWidth="1"/>
    <col min="22" max="22" width="12.08984375" style="88" bestFit="1" customWidth="1"/>
    <col min="23" max="23" width="12.54296875" style="58" bestFit="1" customWidth="1"/>
    <col min="24" max="24" width="18.36328125" style="88" bestFit="1" customWidth="1"/>
    <col min="25" max="25" width="12.6328125" style="58" bestFit="1" customWidth="1"/>
    <col min="26" max="26" width="12.90625" style="94" bestFit="1" customWidth="1"/>
    <col min="27" max="27" width="8.81640625" style="107" bestFit="1" customWidth="1"/>
    <col min="28" max="28" width="12.08984375" style="58" bestFit="1" customWidth="1"/>
    <col min="29" max="29" width="12.08984375" style="58" customWidth="1"/>
    <col min="30" max="30" width="14.36328125" style="58" bestFit="1" customWidth="1"/>
    <col min="31" max="31" width="21.08984375" style="88" bestFit="1" customWidth="1"/>
    <col min="32" max="32" width="21.6328125" style="88" bestFit="1" customWidth="1"/>
    <col min="33" max="33" width="12.08984375" style="88" bestFit="1" customWidth="1"/>
    <col min="34" max="34" width="12.81640625" style="58" bestFit="1" customWidth="1"/>
    <col min="35" max="35" width="14.08984375" style="56" bestFit="1" customWidth="1"/>
    <col min="36" max="36" width="19.08984375" style="58" bestFit="1" customWidth="1"/>
    <col min="37" max="16384" width="9.08984375" style="58"/>
  </cols>
  <sheetData>
    <row r="1" spans="1:36" x14ac:dyDescent="0.3">
      <c r="A1" s="51" t="s">
        <v>34</v>
      </c>
      <c r="B1" s="51" t="s">
        <v>20</v>
      </c>
      <c r="C1" s="51" t="s">
        <v>21</v>
      </c>
      <c r="D1" s="51" t="s">
        <v>24</v>
      </c>
      <c r="E1" s="51" t="s">
        <v>202</v>
      </c>
      <c r="F1" s="51" t="s">
        <v>103</v>
      </c>
      <c r="G1" s="51" t="s">
        <v>104</v>
      </c>
      <c r="H1" s="51" t="s">
        <v>771</v>
      </c>
      <c r="I1" s="51" t="s">
        <v>2240</v>
      </c>
      <c r="J1" s="51" t="s">
        <v>2242</v>
      </c>
      <c r="K1" s="52" t="s">
        <v>105</v>
      </c>
      <c r="L1" s="51" t="s">
        <v>2707</v>
      </c>
      <c r="M1" s="51" t="s">
        <v>2708</v>
      </c>
      <c r="N1" s="51" t="s">
        <v>2709</v>
      </c>
      <c r="O1" s="53" t="s">
        <v>1087</v>
      </c>
      <c r="P1" s="52" t="s">
        <v>864</v>
      </c>
      <c r="Q1" s="54" t="s">
        <v>1043</v>
      </c>
      <c r="R1" s="55" t="s">
        <v>1044</v>
      </c>
      <c r="S1" s="55" t="s">
        <v>1042</v>
      </c>
      <c r="T1" s="55" t="s">
        <v>107</v>
      </c>
      <c r="U1" s="55" t="s">
        <v>108</v>
      </c>
      <c r="V1" s="51" t="s">
        <v>1072</v>
      </c>
      <c r="W1" s="55" t="s">
        <v>109</v>
      </c>
      <c r="X1" s="51" t="s">
        <v>1073</v>
      </c>
      <c r="Y1" s="55" t="s">
        <v>772</v>
      </c>
      <c r="Z1" s="55" t="s">
        <v>106</v>
      </c>
      <c r="AA1" s="31" t="s">
        <v>773</v>
      </c>
      <c r="AB1" s="31" t="s">
        <v>774</v>
      </c>
      <c r="AC1" s="31" t="s">
        <v>2095</v>
      </c>
      <c r="AD1" s="55" t="s">
        <v>110</v>
      </c>
      <c r="AE1" s="31" t="s">
        <v>1047</v>
      </c>
      <c r="AF1" s="31" t="s">
        <v>1045</v>
      </c>
      <c r="AG1" s="31" t="s">
        <v>1048</v>
      </c>
      <c r="AH1" s="31" t="s">
        <v>1046</v>
      </c>
      <c r="AI1" s="56" t="s">
        <v>1177</v>
      </c>
      <c r="AJ1" s="57" t="s">
        <v>1181</v>
      </c>
    </row>
    <row r="2" spans="1:36" s="62" customFormat="1" x14ac:dyDescent="0.3">
      <c r="A2" s="59">
        <v>1997</v>
      </c>
      <c r="B2" s="60">
        <v>8.1</v>
      </c>
      <c r="C2" s="61" t="s">
        <v>23</v>
      </c>
      <c r="D2" s="61" t="s">
        <v>31</v>
      </c>
      <c r="E2" s="30">
        <v>1</v>
      </c>
      <c r="F2" s="125" t="s">
        <v>6</v>
      </c>
      <c r="G2" s="28" t="s">
        <v>396</v>
      </c>
      <c r="H2" s="28" t="s">
        <v>2469</v>
      </c>
      <c r="I2" s="125" t="s">
        <v>2472</v>
      </c>
      <c r="J2" s="148" t="str">
        <f>IF(I2&lt;&gt;"?", HYPERLINK(CONCATENATE("https://doi.org/",I2)), "")</f>
        <v>https://doi.org/10.1109/ISSCC.1997.585301</v>
      </c>
      <c r="K2" s="28" t="s">
        <v>1050</v>
      </c>
      <c r="L2" s="60">
        <v>5</v>
      </c>
      <c r="M2" s="60"/>
      <c r="N2" s="60"/>
      <c r="O2" s="62" t="s">
        <v>1050</v>
      </c>
      <c r="P2" s="28">
        <v>2.1549999999999998</v>
      </c>
      <c r="Q2" s="60"/>
      <c r="R2" s="63">
        <f>Z2/2</f>
        <v>100000</v>
      </c>
      <c r="S2" s="60">
        <f>9.1*6.02+1.76</f>
        <v>56.541999999999994</v>
      </c>
      <c r="T2" s="60"/>
      <c r="U2" s="60"/>
      <c r="V2" s="60"/>
      <c r="W2" s="60"/>
      <c r="X2" s="29">
        <f t="shared" ref="X2:X65" si="0">+IF(ISNUMBER($S2),$S2,MIN($V2,$T2,$U2,$W2))</f>
        <v>56.541999999999994</v>
      </c>
      <c r="Y2" s="63">
        <f>0.0024*5</f>
        <v>1.1999999999999999E-2</v>
      </c>
      <c r="Z2" s="63">
        <v>200000</v>
      </c>
      <c r="AA2" s="64">
        <v>1</v>
      </c>
      <c r="AB2" s="63">
        <f t="shared" ref="AB2:AB33" si="1">Z2/AA2</f>
        <v>200000</v>
      </c>
      <c r="AC2" s="63" t="s">
        <v>2096</v>
      </c>
      <c r="AD2" s="65">
        <f t="shared" ref="AD2:AD65" si="2">Y2/AB2*1000000000000</f>
        <v>59999.999999999993</v>
      </c>
      <c r="AE2" s="29" t="str">
        <f t="shared" ref="AE2:AE33" si="3">IF(ISNUMBER($Q2), $AD2*1000/2^(($Q2-1.76)/6.02), "")</f>
        <v/>
      </c>
      <c r="AF2" s="29">
        <f t="shared" ref="AF2:AF65" si="4">$AD2*1000/2^(($X2-1.76)/6.02)</f>
        <v>109339.8036957196</v>
      </c>
      <c r="AG2" s="54" t="str">
        <f t="shared" ref="AG2:AG33" si="5">IF(ISNUMBER($Q2), $Q2+10*LOG10($AB2/2/$Y2), "")</f>
        <v/>
      </c>
      <c r="AH2" s="54">
        <f t="shared" ref="AH2:AH65" si="6">$X2+10*LOG10($AB2/2/$Y2)</f>
        <v>125.75018753952375</v>
      </c>
      <c r="AI2" s="66">
        <f>AF2/AB2</f>
        <v>0.54669901847859803</v>
      </c>
      <c r="AJ2" s="67">
        <f>AH2+10*LOG10(AB2)</f>
        <v>178.76048749616356</v>
      </c>
    </row>
    <row r="3" spans="1:36" x14ac:dyDescent="0.3">
      <c r="A3" s="64">
        <v>1997</v>
      </c>
      <c r="B3" s="60">
        <v>8.1999999999999993</v>
      </c>
      <c r="C3" s="61" t="s">
        <v>23</v>
      </c>
      <c r="D3" s="61" t="s">
        <v>28</v>
      </c>
      <c r="E3" s="61" t="s">
        <v>204</v>
      </c>
      <c r="F3" s="125" t="s">
        <v>365</v>
      </c>
      <c r="G3" s="28" t="s">
        <v>1967</v>
      </c>
      <c r="H3" s="28" t="s">
        <v>2607</v>
      </c>
      <c r="I3" s="125" t="s">
        <v>2608</v>
      </c>
      <c r="J3" s="148" t="str">
        <f t="shared" ref="J3:J66" si="7">IF(I3&lt;&gt;"?", HYPERLINK(CONCATENATE("https://doi.org/",I3)), "")</f>
        <v>https://doi.org/10.1109/ISSCC.1997.585303</v>
      </c>
      <c r="K3" s="28" t="s">
        <v>1050</v>
      </c>
      <c r="L3" s="60">
        <v>5</v>
      </c>
      <c r="M3" s="60"/>
      <c r="N3" s="60"/>
      <c r="O3" s="56" t="s">
        <v>1050</v>
      </c>
      <c r="P3" s="28">
        <v>7</v>
      </c>
      <c r="Q3" s="68"/>
      <c r="R3" s="63">
        <f>Z3/2</f>
        <v>25000000</v>
      </c>
      <c r="S3" s="60"/>
      <c r="T3" s="60">
        <v>64</v>
      </c>
      <c r="U3" s="60"/>
      <c r="V3" s="60"/>
      <c r="W3" s="60">
        <v>75</v>
      </c>
      <c r="X3" s="29">
        <f t="shared" si="0"/>
        <v>64</v>
      </c>
      <c r="Y3" s="63">
        <v>0.3</v>
      </c>
      <c r="Z3" s="63">
        <v>50000000</v>
      </c>
      <c r="AA3" s="64">
        <v>1</v>
      </c>
      <c r="AB3" s="63">
        <f t="shared" si="1"/>
        <v>50000000</v>
      </c>
      <c r="AC3" s="63" t="s">
        <v>2096</v>
      </c>
      <c r="AD3" s="65">
        <f t="shared" si="2"/>
        <v>6000</v>
      </c>
      <c r="AE3" s="29" t="str">
        <f t="shared" si="3"/>
        <v/>
      </c>
      <c r="AF3" s="29">
        <f t="shared" si="4"/>
        <v>4632.7741547883852</v>
      </c>
      <c r="AG3" s="54" t="str">
        <f t="shared" si="5"/>
        <v/>
      </c>
      <c r="AH3" s="54">
        <f t="shared" si="6"/>
        <v>143.20818753952375</v>
      </c>
      <c r="AI3" s="66">
        <f t="shared" ref="AI3:AI66" si="8">AF3/AB3</f>
        <v>9.2655483095767708E-5</v>
      </c>
      <c r="AJ3" s="67">
        <f t="shared" ref="AJ3:AJ66" si="9">AH3+10*LOG10(AB3)</f>
        <v>220.19788758288394</v>
      </c>
    </row>
    <row r="4" spans="1:36" x14ac:dyDescent="0.3">
      <c r="A4" s="64">
        <v>1997</v>
      </c>
      <c r="B4" s="60">
        <v>8.3000000000000007</v>
      </c>
      <c r="C4" s="61" t="s">
        <v>23</v>
      </c>
      <c r="D4" s="61" t="s">
        <v>28</v>
      </c>
      <c r="E4" s="30">
        <v>0.5</v>
      </c>
      <c r="F4" s="125" t="s">
        <v>1953</v>
      </c>
      <c r="G4" s="28" t="s">
        <v>1968</v>
      </c>
      <c r="H4" s="28" t="s">
        <v>2606</v>
      </c>
      <c r="I4" s="125" t="s">
        <v>2608</v>
      </c>
      <c r="J4" s="148" t="str">
        <f t="shared" si="7"/>
        <v>https://doi.org/10.1109/ISSCC.1997.585303</v>
      </c>
      <c r="K4" s="28" t="s">
        <v>1050</v>
      </c>
      <c r="L4" s="60">
        <v>5</v>
      </c>
      <c r="M4" s="60"/>
      <c r="N4" s="60"/>
      <c r="O4" s="56" t="s">
        <v>1050</v>
      </c>
      <c r="P4" s="28">
        <v>1</v>
      </c>
      <c r="Q4" s="68"/>
      <c r="R4" s="63">
        <f>Z4/2</f>
        <v>25000000</v>
      </c>
      <c r="S4" s="60">
        <f>1.76+8.6*6.02</f>
        <v>53.531999999999989</v>
      </c>
      <c r="T4" s="60"/>
      <c r="U4" s="60"/>
      <c r="V4" s="60"/>
      <c r="W4" s="60"/>
      <c r="X4" s="29">
        <f t="shared" si="0"/>
        <v>53.531999999999989</v>
      </c>
      <c r="Y4" s="63">
        <v>0.17</v>
      </c>
      <c r="Z4" s="63">
        <v>50000000</v>
      </c>
      <c r="AA4" s="64">
        <v>1</v>
      </c>
      <c r="AB4" s="63">
        <f t="shared" si="1"/>
        <v>50000000</v>
      </c>
      <c r="AC4" s="63" t="s">
        <v>2096</v>
      </c>
      <c r="AD4" s="65">
        <f t="shared" si="2"/>
        <v>3400.0000000000005</v>
      </c>
      <c r="AE4" s="29" t="str">
        <f t="shared" si="3"/>
        <v/>
      </c>
      <c r="AF4" s="29">
        <f t="shared" si="4"/>
        <v>8762.357219976253</v>
      </c>
      <c r="AG4" s="54" t="str">
        <f t="shared" si="5"/>
        <v/>
      </c>
      <c r="AH4" s="54">
        <f t="shared" si="6"/>
        <v>135.20691087293761</v>
      </c>
      <c r="AI4" s="66">
        <f t="shared" si="8"/>
        <v>1.7524714439952506E-4</v>
      </c>
      <c r="AJ4" s="67">
        <f t="shared" si="9"/>
        <v>212.1966109162978</v>
      </c>
    </row>
    <row r="5" spans="1:36" ht="13.5" customHeight="1" x14ac:dyDescent="0.3">
      <c r="A5" s="64">
        <v>1997</v>
      </c>
      <c r="B5" s="60">
        <v>8.4</v>
      </c>
      <c r="C5" s="61" t="s">
        <v>23</v>
      </c>
      <c r="D5" s="61" t="s">
        <v>136</v>
      </c>
      <c r="E5" s="61" t="s">
        <v>210</v>
      </c>
      <c r="F5" s="125" t="s">
        <v>135</v>
      </c>
      <c r="G5" s="28" t="s">
        <v>397</v>
      </c>
      <c r="H5" s="69" t="s">
        <v>2609</v>
      </c>
      <c r="I5" s="125" t="s">
        <v>2610</v>
      </c>
      <c r="J5" s="148" t="str">
        <f t="shared" si="7"/>
        <v>https://doi.org/10.1109/ISSCC.1997.585305</v>
      </c>
      <c r="K5" s="28" t="s">
        <v>1050</v>
      </c>
      <c r="L5" s="60">
        <v>5</v>
      </c>
      <c r="M5" s="60"/>
      <c r="N5" s="60">
        <v>-4.5</v>
      </c>
      <c r="O5" s="56" t="s">
        <v>1050</v>
      </c>
      <c r="P5" s="70"/>
      <c r="Q5" s="68"/>
      <c r="R5" s="63">
        <f>Z5/2</f>
        <v>64000000</v>
      </c>
      <c r="S5" s="60"/>
      <c r="T5" s="60">
        <v>58.4</v>
      </c>
      <c r="U5" s="60"/>
      <c r="V5" s="60"/>
      <c r="W5" s="60"/>
      <c r="X5" s="29">
        <f t="shared" si="0"/>
        <v>58.4</v>
      </c>
      <c r="Y5" s="63">
        <v>5.7</v>
      </c>
      <c r="Z5" s="63">
        <v>128000000</v>
      </c>
      <c r="AA5" s="64">
        <v>1</v>
      </c>
      <c r="AB5" s="63">
        <f t="shared" si="1"/>
        <v>128000000</v>
      </c>
      <c r="AC5" s="63" t="s">
        <v>2096</v>
      </c>
      <c r="AD5" s="65">
        <f t="shared" si="2"/>
        <v>44531.250000000007</v>
      </c>
      <c r="AE5" s="29" t="str">
        <f t="shared" si="3"/>
        <v/>
      </c>
      <c r="AF5" s="29">
        <f t="shared" si="4"/>
        <v>65521.324450269094</v>
      </c>
      <c r="AG5" s="54" t="str">
        <f t="shared" si="5"/>
        <v/>
      </c>
      <c r="AH5" s="54">
        <f t="shared" si="6"/>
        <v>128.90305118311397</v>
      </c>
      <c r="AI5" s="66">
        <f t="shared" si="8"/>
        <v>5.1188534726772728E-4</v>
      </c>
      <c r="AJ5" s="67">
        <f t="shared" si="9"/>
        <v>209.97515087959266</v>
      </c>
    </row>
    <row r="6" spans="1:36" x14ac:dyDescent="0.3">
      <c r="A6" s="64">
        <v>1997</v>
      </c>
      <c r="B6" s="60">
        <v>8.8000000000000007</v>
      </c>
      <c r="C6" s="61" t="s">
        <v>23</v>
      </c>
      <c r="D6" s="61" t="s">
        <v>26</v>
      </c>
      <c r="E6" s="30">
        <v>1.4</v>
      </c>
      <c r="F6" s="125" t="s">
        <v>137</v>
      </c>
      <c r="G6" s="28" t="s">
        <v>398</v>
      </c>
      <c r="H6" s="28" t="s">
        <v>2612</v>
      </c>
      <c r="I6" s="125" t="s">
        <v>2611</v>
      </c>
      <c r="J6" s="148" t="str">
        <f t="shared" si="7"/>
        <v>https://doi.org/10.1109/ISSCC.1997.585309</v>
      </c>
      <c r="K6" s="28" t="s">
        <v>1</v>
      </c>
      <c r="L6" s="60">
        <v>5</v>
      </c>
      <c r="M6" s="60"/>
      <c r="N6" s="60"/>
      <c r="O6" s="56" t="s">
        <v>1050</v>
      </c>
      <c r="P6" s="28">
        <v>27.28</v>
      </c>
      <c r="Q6" s="68"/>
      <c r="R6" s="63">
        <f>Z6/2</f>
        <v>2500000</v>
      </c>
      <c r="S6" s="60">
        <v>84.9</v>
      </c>
      <c r="T6" s="60">
        <v>86.9</v>
      </c>
      <c r="U6" s="60"/>
      <c r="V6" s="60"/>
      <c r="W6" s="60">
        <v>93</v>
      </c>
      <c r="X6" s="29">
        <f t="shared" si="0"/>
        <v>84.9</v>
      </c>
      <c r="Y6" s="63">
        <v>0.13</v>
      </c>
      <c r="Z6" s="63">
        <v>5000000</v>
      </c>
      <c r="AA6" s="64">
        <v>1</v>
      </c>
      <c r="AB6" s="63">
        <f t="shared" si="1"/>
        <v>5000000</v>
      </c>
      <c r="AC6" s="63" t="s">
        <v>2096</v>
      </c>
      <c r="AD6" s="65">
        <f t="shared" si="2"/>
        <v>26000</v>
      </c>
      <c r="AE6" s="29" t="str">
        <f t="shared" si="3"/>
        <v/>
      </c>
      <c r="AF6" s="29">
        <f t="shared" si="4"/>
        <v>1809.5020894018626</v>
      </c>
      <c r="AG6" s="54" t="str">
        <f t="shared" si="5"/>
        <v/>
      </c>
      <c r="AH6" s="54">
        <f t="shared" si="6"/>
        <v>157.73996656365202</v>
      </c>
      <c r="AI6" s="66">
        <f t="shared" si="8"/>
        <v>3.6190041788037252E-4</v>
      </c>
      <c r="AJ6" s="67">
        <f t="shared" si="9"/>
        <v>224.72966660701221</v>
      </c>
    </row>
    <row r="7" spans="1:36" x14ac:dyDescent="0.3">
      <c r="A7" s="64">
        <v>1997</v>
      </c>
      <c r="B7" s="60">
        <v>13.1</v>
      </c>
      <c r="C7" s="61" t="s">
        <v>22</v>
      </c>
      <c r="D7" s="61" t="s">
        <v>399</v>
      </c>
      <c r="E7" s="30">
        <v>0.6</v>
      </c>
      <c r="F7" s="125" t="s">
        <v>400</v>
      </c>
      <c r="G7" s="28" t="s">
        <v>401</v>
      </c>
      <c r="H7" s="28" t="s">
        <v>2614</v>
      </c>
      <c r="I7" s="125" t="s">
        <v>2613</v>
      </c>
      <c r="J7" s="148" t="str">
        <f t="shared" si="7"/>
        <v>https://doi.org/10.1109/ISSCC.1997.585335</v>
      </c>
      <c r="K7" s="28" t="s">
        <v>1050</v>
      </c>
      <c r="L7" s="60"/>
      <c r="M7" s="60"/>
      <c r="N7" s="60"/>
      <c r="O7" s="56" t="s">
        <v>1050</v>
      </c>
      <c r="P7" s="28">
        <v>31.8</v>
      </c>
      <c r="Q7" s="68"/>
      <c r="R7" s="63">
        <v>1250000</v>
      </c>
      <c r="S7" s="60"/>
      <c r="T7" s="60">
        <v>89</v>
      </c>
      <c r="U7" s="60"/>
      <c r="V7" s="60"/>
      <c r="W7" s="60">
        <v>97</v>
      </c>
      <c r="X7" s="29">
        <f t="shared" si="0"/>
        <v>89</v>
      </c>
      <c r="Y7" s="63">
        <v>0.55000000000000004</v>
      </c>
      <c r="Z7" s="63">
        <v>20000000</v>
      </c>
      <c r="AA7" s="64">
        <v>8</v>
      </c>
      <c r="AB7" s="63">
        <f t="shared" si="1"/>
        <v>2500000</v>
      </c>
      <c r="AC7" s="63" t="s">
        <v>2096</v>
      </c>
      <c r="AD7" s="65">
        <f t="shared" si="2"/>
        <v>220000</v>
      </c>
      <c r="AE7" s="29" t="str">
        <f t="shared" si="3"/>
        <v/>
      </c>
      <c r="AF7" s="29">
        <f t="shared" si="4"/>
        <v>9549.661831950154</v>
      </c>
      <c r="AG7" s="54" t="str">
        <f t="shared" si="5"/>
        <v/>
      </c>
      <c r="AH7" s="54">
        <f t="shared" si="6"/>
        <v>152.56547323513811</v>
      </c>
      <c r="AI7" s="66">
        <f t="shared" si="8"/>
        <v>3.8198647327800615E-3</v>
      </c>
      <c r="AJ7" s="67">
        <f t="shared" si="9"/>
        <v>216.54487332185849</v>
      </c>
    </row>
    <row r="8" spans="1:36" x14ac:dyDescent="0.3">
      <c r="A8" s="64">
        <v>1997</v>
      </c>
      <c r="B8" s="60">
        <v>13.2</v>
      </c>
      <c r="C8" s="61" t="s">
        <v>22</v>
      </c>
      <c r="D8" s="61" t="s">
        <v>25</v>
      </c>
      <c r="E8" s="30">
        <v>0.5</v>
      </c>
      <c r="F8" s="125" t="s">
        <v>402</v>
      </c>
      <c r="G8" s="28" t="s">
        <v>403</v>
      </c>
      <c r="H8" s="28" t="s">
        <v>404</v>
      </c>
      <c r="I8" s="125" t="s">
        <v>2615</v>
      </c>
      <c r="J8" s="148" t="str">
        <f t="shared" si="7"/>
        <v>https://doi.org/10.1109/ISSCC.1997.585336</v>
      </c>
      <c r="K8" s="28" t="s">
        <v>1050</v>
      </c>
      <c r="L8" s="60">
        <v>1.5</v>
      </c>
      <c r="M8" s="60"/>
      <c r="N8" s="60"/>
      <c r="O8" s="56" t="s">
        <v>1050</v>
      </c>
      <c r="P8" s="70">
        <v>0.39</v>
      </c>
      <c r="Q8" s="68"/>
      <c r="R8" s="63">
        <v>1000</v>
      </c>
      <c r="S8" s="60">
        <v>81</v>
      </c>
      <c r="T8" s="60"/>
      <c r="U8" s="60">
        <v>88</v>
      </c>
      <c r="V8" s="60"/>
      <c r="W8" s="60"/>
      <c r="X8" s="29">
        <f t="shared" si="0"/>
        <v>81</v>
      </c>
      <c r="Y8" s="63">
        <v>5.5000000000000003E-4</v>
      </c>
      <c r="Z8" s="63">
        <v>1000000</v>
      </c>
      <c r="AA8" s="64">
        <v>500</v>
      </c>
      <c r="AB8" s="63">
        <f t="shared" si="1"/>
        <v>2000</v>
      </c>
      <c r="AC8" s="63" t="s">
        <v>2096</v>
      </c>
      <c r="AD8" s="65">
        <f t="shared" si="2"/>
        <v>275000</v>
      </c>
      <c r="AE8" s="29" t="str">
        <f t="shared" si="3"/>
        <v/>
      </c>
      <c r="AF8" s="29">
        <f t="shared" si="4"/>
        <v>29987.334712030333</v>
      </c>
      <c r="AG8" s="54" t="str">
        <f t="shared" si="5"/>
        <v/>
      </c>
      <c r="AH8" s="54">
        <f t="shared" si="6"/>
        <v>143.59637310505755</v>
      </c>
      <c r="AI8" s="66">
        <f t="shared" si="8"/>
        <v>14.993667356015166</v>
      </c>
      <c r="AJ8" s="67">
        <f t="shared" si="9"/>
        <v>176.60667306169736</v>
      </c>
    </row>
    <row r="9" spans="1:36" x14ac:dyDescent="0.3">
      <c r="A9" s="64">
        <v>1997</v>
      </c>
      <c r="B9" s="60">
        <v>13.3</v>
      </c>
      <c r="C9" s="61" t="s">
        <v>22</v>
      </c>
      <c r="D9" s="61" t="s">
        <v>1954</v>
      </c>
      <c r="E9" s="30">
        <v>0.6</v>
      </c>
      <c r="F9" s="125" t="s">
        <v>406</v>
      </c>
      <c r="G9" s="28" t="s">
        <v>407</v>
      </c>
      <c r="H9" s="28" t="s">
        <v>408</v>
      </c>
      <c r="I9" s="125" t="s">
        <v>2616</v>
      </c>
      <c r="J9" s="148" t="str">
        <f t="shared" si="7"/>
        <v>https://doi.org/10.1109/ISSCC.1997.585337</v>
      </c>
      <c r="K9" s="28" t="s">
        <v>138</v>
      </c>
      <c r="L9" s="60">
        <v>3.3</v>
      </c>
      <c r="M9" s="60"/>
      <c r="N9" s="60"/>
      <c r="O9" s="56" t="s">
        <v>1050</v>
      </c>
      <c r="P9" s="28">
        <v>2.73</v>
      </c>
      <c r="Q9" s="68"/>
      <c r="R9" s="63">
        <v>200000</v>
      </c>
      <c r="S9" s="60">
        <v>75</v>
      </c>
      <c r="T9" s="60"/>
      <c r="U9" s="60">
        <v>75</v>
      </c>
      <c r="V9" s="60"/>
      <c r="W9" s="60"/>
      <c r="X9" s="29">
        <f t="shared" si="0"/>
        <v>75</v>
      </c>
      <c r="Y9" s="63">
        <v>7.1999999999999995E-2</v>
      </c>
      <c r="Z9" s="63">
        <v>40000000</v>
      </c>
      <c r="AA9" s="64">
        <v>100</v>
      </c>
      <c r="AB9" s="63">
        <f t="shared" si="1"/>
        <v>400000</v>
      </c>
      <c r="AC9" s="63">
        <v>20000000</v>
      </c>
      <c r="AD9" s="65">
        <f t="shared" si="2"/>
        <v>180000</v>
      </c>
      <c r="AE9" s="29" t="str">
        <f t="shared" si="3"/>
        <v/>
      </c>
      <c r="AF9" s="29">
        <f t="shared" si="4"/>
        <v>39165.851639104651</v>
      </c>
      <c r="AG9" s="54" t="str">
        <f t="shared" si="5"/>
        <v/>
      </c>
      <c r="AH9" s="54">
        <f t="shared" si="6"/>
        <v>139.43697499232712</v>
      </c>
      <c r="AI9" s="66">
        <f t="shared" si="8"/>
        <v>9.7914629097761621E-2</v>
      </c>
      <c r="AJ9" s="67">
        <f t="shared" si="9"/>
        <v>195.45757490560675</v>
      </c>
    </row>
    <row r="10" spans="1:36" x14ac:dyDescent="0.3">
      <c r="A10" s="64">
        <v>1997</v>
      </c>
      <c r="B10" s="60">
        <v>13.4</v>
      </c>
      <c r="C10" s="61" t="s">
        <v>22</v>
      </c>
      <c r="D10" s="61" t="s">
        <v>1955</v>
      </c>
      <c r="E10" s="61" t="s">
        <v>203</v>
      </c>
      <c r="F10" s="125" t="s">
        <v>409</v>
      </c>
      <c r="G10" s="28" t="s">
        <v>410</v>
      </c>
      <c r="H10" s="28" t="s">
        <v>411</v>
      </c>
      <c r="I10" s="125" t="s">
        <v>2617</v>
      </c>
      <c r="J10" s="148" t="str">
        <f t="shared" si="7"/>
        <v>https://doi.org/10.1109/ISSCC.1997.585338</v>
      </c>
      <c r="K10" s="28" t="s">
        <v>279</v>
      </c>
      <c r="L10" s="60"/>
      <c r="M10" s="60"/>
      <c r="N10" s="60"/>
      <c r="O10" s="56" t="s">
        <v>1050</v>
      </c>
      <c r="P10" s="28">
        <v>0.5625</v>
      </c>
      <c r="Q10" s="68"/>
      <c r="R10" s="63">
        <v>62600000</v>
      </c>
      <c r="S10" s="60">
        <v>44.1</v>
      </c>
      <c r="T10" s="60"/>
      <c r="U10" s="60"/>
      <c r="V10" s="60"/>
      <c r="W10" s="60"/>
      <c r="X10" s="29">
        <f t="shared" si="0"/>
        <v>44.1</v>
      </c>
      <c r="Y10" s="63">
        <v>1.4</v>
      </c>
      <c r="Z10" s="63">
        <v>4000000000</v>
      </c>
      <c r="AA10" s="64">
        <v>31.948881789137381</v>
      </c>
      <c r="AB10" s="63">
        <f t="shared" si="1"/>
        <v>125200000</v>
      </c>
      <c r="AC10" s="63">
        <v>55000000</v>
      </c>
      <c r="AD10" s="65">
        <f t="shared" si="2"/>
        <v>11182.108626198082</v>
      </c>
      <c r="AE10" s="29" t="str">
        <f t="shared" si="3"/>
        <v/>
      </c>
      <c r="AF10" s="29">
        <f t="shared" si="4"/>
        <v>85371.466280255001</v>
      </c>
      <c r="AG10" s="54" t="str">
        <f t="shared" si="5"/>
        <v/>
      </c>
      <c r="AH10" s="54">
        <f t="shared" si="6"/>
        <v>120.60446297532192</v>
      </c>
      <c r="AI10" s="66">
        <f t="shared" si="8"/>
        <v>6.8188072108829872E-4</v>
      </c>
      <c r="AJ10" s="67">
        <f t="shared" si="9"/>
        <v>201.58050626406603</v>
      </c>
    </row>
    <row r="11" spans="1:36" x14ac:dyDescent="0.3">
      <c r="A11" s="64">
        <v>1997</v>
      </c>
      <c r="B11" s="60">
        <v>13.5</v>
      </c>
      <c r="C11" s="61" t="s">
        <v>22</v>
      </c>
      <c r="D11" s="61" t="s">
        <v>1956</v>
      </c>
      <c r="E11" s="61">
        <v>0.8</v>
      </c>
      <c r="F11" s="125" t="s">
        <v>413</v>
      </c>
      <c r="G11" s="28" t="s">
        <v>414</v>
      </c>
      <c r="H11" s="28" t="s">
        <v>415</v>
      </c>
      <c r="I11" s="125" t="s">
        <v>2618</v>
      </c>
      <c r="J11" s="148" t="str">
        <f t="shared" si="7"/>
        <v>https://doi.org/10.1109/ISSCC.1997.585339</v>
      </c>
      <c r="K11" s="28" t="s">
        <v>280</v>
      </c>
      <c r="L11" s="60"/>
      <c r="M11" s="60"/>
      <c r="N11" s="60"/>
      <c r="O11" s="56" t="s">
        <v>1050</v>
      </c>
      <c r="P11" s="28">
        <v>4.32</v>
      </c>
      <c r="Q11" s="68"/>
      <c r="R11" s="63">
        <v>200000</v>
      </c>
      <c r="S11" s="60">
        <v>62</v>
      </c>
      <c r="T11" s="60"/>
      <c r="U11" s="60">
        <v>67</v>
      </c>
      <c r="V11" s="60"/>
      <c r="W11" s="60"/>
      <c r="X11" s="29">
        <f t="shared" si="0"/>
        <v>62</v>
      </c>
      <c r="Y11" s="63">
        <v>0.13</v>
      </c>
      <c r="Z11" s="63">
        <v>10000000</v>
      </c>
      <c r="AA11" s="64">
        <v>25</v>
      </c>
      <c r="AB11" s="63">
        <f t="shared" si="1"/>
        <v>400000</v>
      </c>
      <c r="AC11" s="63">
        <v>3750000</v>
      </c>
      <c r="AD11" s="65">
        <f t="shared" si="2"/>
        <v>325000</v>
      </c>
      <c r="AE11" s="29" t="str">
        <f t="shared" si="3"/>
        <v/>
      </c>
      <c r="AF11" s="29">
        <f t="shared" si="4"/>
        <v>315924.42595246487</v>
      </c>
      <c r="AG11" s="54" t="str">
        <f t="shared" si="5"/>
        <v/>
      </c>
      <c r="AH11" s="54">
        <f t="shared" si="6"/>
        <v>123.87086643357145</v>
      </c>
      <c r="AI11" s="66">
        <f t="shared" si="8"/>
        <v>0.78981106488116215</v>
      </c>
      <c r="AJ11" s="67">
        <f t="shared" si="9"/>
        <v>179.89146634685108</v>
      </c>
    </row>
    <row r="12" spans="1:36" x14ac:dyDescent="0.3">
      <c r="A12" s="64">
        <v>1997</v>
      </c>
      <c r="B12" s="60">
        <v>13.6</v>
      </c>
      <c r="C12" s="61" t="s">
        <v>22</v>
      </c>
      <c r="D12" s="61" t="s">
        <v>25</v>
      </c>
      <c r="E12" s="61">
        <v>0.8</v>
      </c>
      <c r="F12" s="125" t="s">
        <v>416</v>
      </c>
      <c r="G12" s="28" t="s">
        <v>417</v>
      </c>
      <c r="H12" s="28" t="s">
        <v>418</v>
      </c>
      <c r="I12" s="125" t="s">
        <v>2619</v>
      </c>
      <c r="J12" s="148" t="str">
        <f t="shared" si="7"/>
        <v>https://doi.org/10.1109/ISSCC.1997.585340</v>
      </c>
      <c r="K12" s="28" t="s">
        <v>1050</v>
      </c>
      <c r="L12" s="60"/>
      <c r="M12" s="60"/>
      <c r="N12" s="60"/>
      <c r="O12" s="56" t="s">
        <v>1050</v>
      </c>
      <c r="P12" s="28">
        <v>25</v>
      </c>
      <c r="Q12" s="68"/>
      <c r="R12" s="63">
        <v>48000</v>
      </c>
      <c r="S12" s="60">
        <v>110</v>
      </c>
      <c r="T12" s="60"/>
      <c r="U12" s="60">
        <v>118</v>
      </c>
      <c r="V12" s="60"/>
      <c r="W12" s="60"/>
      <c r="X12" s="29">
        <f t="shared" si="0"/>
        <v>110</v>
      </c>
      <c r="Y12" s="63">
        <v>0.76</v>
      </c>
      <c r="Z12" s="63">
        <v>6144000</v>
      </c>
      <c r="AA12" s="64">
        <v>64</v>
      </c>
      <c r="AB12" s="63">
        <f t="shared" si="1"/>
        <v>96000</v>
      </c>
      <c r="AC12" s="63" t="s">
        <v>2096</v>
      </c>
      <c r="AD12" s="65">
        <f t="shared" si="2"/>
        <v>7916666.666666667</v>
      </c>
      <c r="AE12" s="29" t="str">
        <f t="shared" si="3"/>
        <v/>
      </c>
      <c r="AF12" s="29">
        <f t="shared" si="4"/>
        <v>30619.848333036189</v>
      </c>
      <c r="AG12" s="54" t="str">
        <f t="shared" si="5"/>
        <v/>
      </c>
      <c r="AH12" s="54">
        <f t="shared" si="6"/>
        <v>158.00427645094797</v>
      </c>
      <c r="AI12" s="66">
        <f t="shared" si="8"/>
        <v>0.31895675346912694</v>
      </c>
      <c r="AJ12" s="67">
        <f t="shared" si="9"/>
        <v>207.82698878134366</v>
      </c>
    </row>
    <row r="13" spans="1:36" x14ac:dyDescent="0.3">
      <c r="A13" s="64">
        <v>1997</v>
      </c>
      <c r="B13" s="60">
        <v>13.7</v>
      </c>
      <c r="C13" s="61" t="s">
        <v>22</v>
      </c>
      <c r="D13" s="61" t="s">
        <v>30</v>
      </c>
      <c r="E13" s="30">
        <v>0.5</v>
      </c>
      <c r="F13" s="125" t="s">
        <v>419</v>
      </c>
      <c r="G13" s="28" t="s">
        <v>420</v>
      </c>
      <c r="H13" s="28" t="s">
        <v>421</v>
      </c>
      <c r="I13" s="125" t="s">
        <v>2620</v>
      </c>
      <c r="J13" s="148" t="str">
        <f t="shared" si="7"/>
        <v>https://doi.org/10.1109/ISSCC.1997.585345</v>
      </c>
      <c r="K13" s="28" t="s">
        <v>1050</v>
      </c>
      <c r="L13" s="60">
        <v>3.3</v>
      </c>
      <c r="M13" s="60"/>
      <c r="N13" s="60"/>
      <c r="O13" s="56" t="s">
        <v>1050</v>
      </c>
      <c r="P13" s="28">
        <v>0.4</v>
      </c>
      <c r="Q13" s="68"/>
      <c r="R13" s="63">
        <v>20000</v>
      </c>
      <c r="S13" s="60"/>
      <c r="T13" s="60"/>
      <c r="U13" s="60">
        <v>96</v>
      </c>
      <c r="V13" s="60">
        <v>104</v>
      </c>
      <c r="W13" s="60"/>
      <c r="X13" s="29">
        <f t="shared" si="0"/>
        <v>96</v>
      </c>
      <c r="Y13" s="63">
        <v>2.3E-3</v>
      </c>
      <c r="Z13" s="63">
        <v>5644800</v>
      </c>
      <c r="AA13" s="64">
        <v>141.12</v>
      </c>
      <c r="AB13" s="63">
        <f t="shared" si="1"/>
        <v>40000</v>
      </c>
      <c r="AC13" s="63" t="s">
        <v>2096</v>
      </c>
      <c r="AD13" s="65">
        <f t="shared" si="2"/>
        <v>57500</v>
      </c>
      <c r="AE13" s="29" t="str">
        <f t="shared" si="3"/>
        <v/>
      </c>
      <c r="AF13" s="29">
        <f t="shared" si="4"/>
        <v>1114.8033831440021</v>
      </c>
      <c r="AG13" s="54" t="str">
        <f t="shared" si="5"/>
        <v/>
      </c>
      <c r="AH13" s="54">
        <f t="shared" si="6"/>
        <v>165.39302159646388</v>
      </c>
      <c r="AI13" s="66">
        <f t="shared" si="8"/>
        <v>2.787008457860005E-2</v>
      </c>
      <c r="AJ13" s="67">
        <f t="shared" si="9"/>
        <v>211.41362150974351</v>
      </c>
    </row>
    <row r="14" spans="1:36" x14ac:dyDescent="0.3">
      <c r="A14" s="59">
        <v>1998</v>
      </c>
      <c r="B14" s="60">
        <v>4.4000000000000004</v>
      </c>
      <c r="C14" s="61" t="s">
        <v>22</v>
      </c>
      <c r="D14" s="61" t="s">
        <v>25</v>
      </c>
      <c r="E14" s="61">
        <v>0.6</v>
      </c>
      <c r="F14" s="71" t="s">
        <v>422</v>
      </c>
      <c r="G14" s="28" t="s">
        <v>423</v>
      </c>
      <c r="H14" s="28" t="s">
        <v>424</v>
      </c>
      <c r="I14" s="125" t="s">
        <v>2621</v>
      </c>
      <c r="J14" s="148" t="str">
        <f t="shared" si="7"/>
        <v>https://doi.org/10.1109/ISSCC.1998.672377</v>
      </c>
      <c r="K14" s="28" t="s">
        <v>1050</v>
      </c>
      <c r="L14" s="60"/>
      <c r="M14" s="60"/>
      <c r="N14" s="60"/>
      <c r="O14" s="56" t="s">
        <v>1050</v>
      </c>
      <c r="P14" s="70"/>
      <c r="Q14" s="68"/>
      <c r="R14" s="63">
        <v>100000</v>
      </c>
      <c r="S14" s="60"/>
      <c r="T14" s="60"/>
      <c r="U14" s="60">
        <v>79</v>
      </c>
      <c r="V14" s="60">
        <v>75</v>
      </c>
      <c r="W14" s="60"/>
      <c r="X14" s="29">
        <f t="shared" si="0"/>
        <v>75</v>
      </c>
      <c r="Y14" s="63">
        <v>9.5999999999999992E-3</v>
      </c>
      <c r="Z14" s="63">
        <v>5000000</v>
      </c>
      <c r="AA14" s="64">
        <v>25</v>
      </c>
      <c r="AB14" s="63">
        <f t="shared" si="1"/>
        <v>200000</v>
      </c>
      <c r="AC14" s="63" t="s">
        <v>2096</v>
      </c>
      <c r="AD14" s="65">
        <f t="shared" si="2"/>
        <v>47999.999999999993</v>
      </c>
      <c r="AE14" s="29" t="str">
        <f t="shared" si="3"/>
        <v/>
      </c>
      <c r="AF14" s="29">
        <f t="shared" si="4"/>
        <v>10444.227103761239</v>
      </c>
      <c r="AG14" s="54" t="str">
        <f t="shared" si="5"/>
        <v/>
      </c>
      <c r="AH14" s="54">
        <f t="shared" si="6"/>
        <v>145.17728766960431</v>
      </c>
      <c r="AI14" s="66">
        <f t="shared" si="8"/>
        <v>5.2221135518806194E-2</v>
      </c>
      <c r="AJ14" s="67">
        <f t="shared" si="9"/>
        <v>198.18758762624412</v>
      </c>
    </row>
    <row r="15" spans="1:36" x14ac:dyDescent="0.3">
      <c r="A15" s="64">
        <v>1998</v>
      </c>
      <c r="B15" s="60">
        <v>4.5999999999999996</v>
      </c>
      <c r="C15" s="61" t="s">
        <v>22</v>
      </c>
      <c r="D15" s="61" t="s">
        <v>425</v>
      </c>
      <c r="E15" s="61">
        <v>0.5</v>
      </c>
      <c r="F15" s="125" t="s">
        <v>426</v>
      </c>
      <c r="G15" s="28" t="s">
        <v>257</v>
      </c>
      <c r="H15" s="28" t="s">
        <v>258</v>
      </c>
      <c r="I15" s="125" t="s">
        <v>2622</v>
      </c>
      <c r="J15" s="148" t="str">
        <f t="shared" si="7"/>
        <v>https://doi.org/10.1109/ISSCC.1998.672379</v>
      </c>
      <c r="K15" s="28" t="s">
        <v>1050</v>
      </c>
      <c r="L15" s="60"/>
      <c r="M15" s="60"/>
      <c r="N15" s="60"/>
      <c r="O15" s="56" t="s">
        <v>1050</v>
      </c>
      <c r="P15" s="28">
        <v>0.85</v>
      </c>
      <c r="Q15" s="68"/>
      <c r="R15" s="63">
        <v>16000</v>
      </c>
      <c r="S15" s="60">
        <v>62</v>
      </c>
      <c r="T15" s="60"/>
      <c r="U15" s="60">
        <v>77</v>
      </c>
      <c r="V15" s="60"/>
      <c r="W15" s="60"/>
      <c r="X15" s="29">
        <f t="shared" si="0"/>
        <v>62</v>
      </c>
      <c r="Y15" s="63">
        <v>4.0000000000000003E-5</v>
      </c>
      <c r="Z15" s="63">
        <v>1538000</v>
      </c>
      <c r="AA15" s="64">
        <v>48.0625</v>
      </c>
      <c r="AB15" s="63">
        <f t="shared" si="1"/>
        <v>32000</v>
      </c>
      <c r="AC15" s="63" t="s">
        <v>2096</v>
      </c>
      <c r="AD15" s="65">
        <f t="shared" si="2"/>
        <v>1250</v>
      </c>
      <c r="AE15" s="29" t="str">
        <f t="shared" si="3"/>
        <v/>
      </c>
      <c r="AF15" s="29">
        <f t="shared" si="4"/>
        <v>1215.0939459710187</v>
      </c>
      <c r="AG15" s="54" t="str">
        <f t="shared" si="5"/>
        <v/>
      </c>
      <c r="AH15" s="54">
        <f t="shared" si="6"/>
        <v>148.02059991327963</v>
      </c>
      <c r="AI15" s="66">
        <f t="shared" si="8"/>
        <v>3.7971685811594331E-2</v>
      </c>
      <c r="AJ15" s="67">
        <f t="shared" si="9"/>
        <v>193.07209969647869</v>
      </c>
    </row>
    <row r="16" spans="1:36" x14ac:dyDescent="0.3">
      <c r="A16" s="64">
        <v>1998</v>
      </c>
      <c r="B16" s="60">
        <v>9.1</v>
      </c>
      <c r="C16" s="61" t="s">
        <v>23</v>
      </c>
      <c r="D16" s="61" t="s">
        <v>26</v>
      </c>
      <c r="E16" s="61">
        <v>0.7</v>
      </c>
      <c r="F16" s="125" t="s">
        <v>281</v>
      </c>
      <c r="G16" s="28" t="s">
        <v>259</v>
      </c>
      <c r="H16" s="28" t="s">
        <v>282</v>
      </c>
      <c r="I16" s="125" t="s">
        <v>2623</v>
      </c>
      <c r="J16" s="148" t="str">
        <f t="shared" si="7"/>
        <v>https://doi.org/10.1109/ISSCC.1998.672406</v>
      </c>
      <c r="K16" s="28" t="s">
        <v>1050</v>
      </c>
      <c r="L16" s="60">
        <v>5</v>
      </c>
      <c r="M16" s="60"/>
      <c r="N16" s="60"/>
      <c r="O16" s="56" t="s">
        <v>1050</v>
      </c>
      <c r="P16" s="28">
        <v>9</v>
      </c>
      <c r="Q16" s="68"/>
      <c r="R16" s="63">
        <v>10000000</v>
      </c>
      <c r="S16" s="60"/>
      <c r="T16" s="60">
        <v>65.400000000000006</v>
      </c>
      <c r="U16" s="60"/>
      <c r="V16" s="60">
        <v>70.599999999999994</v>
      </c>
      <c r="W16" s="60"/>
      <c r="X16" s="29">
        <f t="shared" si="0"/>
        <v>65.400000000000006</v>
      </c>
      <c r="Y16" s="63">
        <v>0.25</v>
      </c>
      <c r="Z16" s="63">
        <v>20000000</v>
      </c>
      <c r="AA16" s="64">
        <v>1</v>
      </c>
      <c r="AB16" s="63">
        <f t="shared" si="1"/>
        <v>20000000</v>
      </c>
      <c r="AC16" s="63" t="s">
        <v>2096</v>
      </c>
      <c r="AD16" s="65">
        <f t="shared" si="2"/>
        <v>12500</v>
      </c>
      <c r="AE16" s="29" t="str">
        <f t="shared" si="3"/>
        <v/>
      </c>
      <c r="AF16" s="29">
        <f t="shared" si="4"/>
        <v>8214.7228554220892</v>
      </c>
      <c r="AG16" s="54" t="str">
        <f t="shared" si="5"/>
        <v/>
      </c>
      <c r="AH16" s="54">
        <f t="shared" si="6"/>
        <v>141.42059991327963</v>
      </c>
      <c r="AI16" s="66">
        <f t="shared" si="8"/>
        <v>4.1073614277110443E-4</v>
      </c>
      <c r="AJ16" s="67">
        <f t="shared" si="9"/>
        <v>214.43089986991944</v>
      </c>
    </row>
    <row r="17" spans="1:36" x14ac:dyDescent="0.3">
      <c r="A17" s="64">
        <v>1998</v>
      </c>
      <c r="B17" s="60">
        <v>9.1999999999999993</v>
      </c>
      <c r="C17" s="61" t="s">
        <v>23</v>
      </c>
      <c r="D17" s="61" t="s">
        <v>260</v>
      </c>
      <c r="E17" s="61">
        <v>1</v>
      </c>
      <c r="F17" s="125" t="s">
        <v>283</v>
      </c>
      <c r="G17" s="28" t="s">
        <v>261</v>
      </c>
      <c r="H17" s="28" t="s">
        <v>262</v>
      </c>
      <c r="I17" s="125" t="s">
        <v>2624</v>
      </c>
      <c r="J17" s="148" t="str">
        <f t="shared" si="7"/>
        <v>https://doi.org/10.1109/ISSCC.1998.672407</v>
      </c>
      <c r="K17" s="28" t="s">
        <v>1050</v>
      </c>
      <c r="L17" s="60"/>
      <c r="M17" s="60"/>
      <c r="N17" s="60"/>
      <c r="O17" s="56" t="s">
        <v>1050</v>
      </c>
      <c r="P17" s="28">
        <v>22</v>
      </c>
      <c r="Q17" s="68"/>
      <c r="R17" s="63">
        <v>20000000</v>
      </c>
      <c r="S17" s="60">
        <v>55</v>
      </c>
      <c r="T17" s="60"/>
      <c r="U17" s="60">
        <v>55</v>
      </c>
      <c r="V17" s="60"/>
      <c r="W17" s="60">
        <v>72</v>
      </c>
      <c r="X17" s="29">
        <f t="shared" si="0"/>
        <v>55</v>
      </c>
      <c r="Y17" s="63">
        <v>0.56499999999999995</v>
      </c>
      <c r="Z17" s="63">
        <v>40000000</v>
      </c>
      <c r="AA17" s="64">
        <v>1</v>
      </c>
      <c r="AB17" s="63">
        <f t="shared" si="1"/>
        <v>40000000</v>
      </c>
      <c r="AC17" s="63" t="s">
        <v>2096</v>
      </c>
      <c r="AD17" s="65">
        <f t="shared" si="2"/>
        <v>14125</v>
      </c>
      <c r="AE17" s="29" t="str">
        <f t="shared" si="3"/>
        <v/>
      </c>
      <c r="AF17" s="29">
        <f t="shared" si="4"/>
        <v>30741.367249462306</v>
      </c>
      <c r="AG17" s="54" t="str">
        <f t="shared" si="5"/>
        <v/>
      </c>
      <c r="AH17" s="54">
        <f t="shared" si="6"/>
        <v>130.48981547844542</v>
      </c>
      <c r="AI17" s="66">
        <f t="shared" si="8"/>
        <v>7.6853418123655763E-4</v>
      </c>
      <c r="AJ17" s="67">
        <f t="shared" si="9"/>
        <v>206.51041539172505</v>
      </c>
    </row>
    <row r="18" spans="1:36" x14ac:dyDescent="0.3">
      <c r="A18" s="64">
        <v>1998</v>
      </c>
      <c r="B18" s="60">
        <v>9.3000000000000007</v>
      </c>
      <c r="C18" s="61" t="s">
        <v>23</v>
      </c>
      <c r="D18" s="61" t="s">
        <v>260</v>
      </c>
      <c r="E18" s="61">
        <v>1</v>
      </c>
      <c r="F18" s="125" t="s">
        <v>263</v>
      </c>
      <c r="G18" s="28" t="s">
        <v>450</v>
      </c>
      <c r="H18" s="28" t="s">
        <v>284</v>
      </c>
      <c r="I18" s="125" t="s">
        <v>2625</v>
      </c>
      <c r="J18" s="148" t="str">
        <f t="shared" si="7"/>
        <v>https://doi.org/10.1109/ISSCC.1998.672408</v>
      </c>
      <c r="K18" s="28" t="s">
        <v>1050</v>
      </c>
      <c r="L18" s="60"/>
      <c r="M18" s="60"/>
      <c r="N18" s="60"/>
      <c r="O18" s="56" t="s">
        <v>1050</v>
      </c>
      <c r="P18" s="28">
        <v>42</v>
      </c>
      <c r="Q18" s="68"/>
      <c r="R18" s="63">
        <v>20000000</v>
      </c>
      <c r="S18" s="60">
        <v>58</v>
      </c>
      <c r="T18" s="60"/>
      <c r="U18" s="60"/>
      <c r="V18" s="60"/>
      <c r="W18" s="60"/>
      <c r="X18" s="29">
        <f t="shared" si="0"/>
        <v>58</v>
      </c>
      <c r="Y18" s="63">
        <v>0.65</v>
      </c>
      <c r="Z18" s="63">
        <v>40000000</v>
      </c>
      <c r="AA18" s="64">
        <v>1</v>
      </c>
      <c r="AB18" s="63">
        <f t="shared" si="1"/>
        <v>40000000</v>
      </c>
      <c r="AC18" s="63" t="s">
        <v>2096</v>
      </c>
      <c r="AD18" s="65">
        <f t="shared" si="2"/>
        <v>16250</v>
      </c>
      <c r="AE18" s="29" t="str">
        <f t="shared" si="3"/>
        <v/>
      </c>
      <c r="AF18" s="29">
        <f t="shared" si="4"/>
        <v>25036.472550455492</v>
      </c>
      <c r="AG18" s="54" t="str">
        <f t="shared" si="5"/>
        <v/>
      </c>
      <c r="AH18" s="54">
        <f t="shared" si="6"/>
        <v>132.88116639021126</v>
      </c>
      <c r="AI18" s="66">
        <f t="shared" si="8"/>
        <v>6.2591181376138731E-4</v>
      </c>
      <c r="AJ18" s="67">
        <f t="shared" si="9"/>
        <v>208.90176630349089</v>
      </c>
    </row>
    <row r="19" spans="1:36" x14ac:dyDescent="0.3">
      <c r="A19" s="64">
        <v>1998</v>
      </c>
      <c r="B19" s="60">
        <v>9.4</v>
      </c>
      <c r="C19" s="61" t="s">
        <v>23</v>
      </c>
      <c r="D19" s="61" t="s">
        <v>26</v>
      </c>
      <c r="E19" s="61">
        <v>0.5</v>
      </c>
      <c r="F19" s="125" t="s">
        <v>285</v>
      </c>
      <c r="G19" s="28" t="s">
        <v>451</v>
      </c>
      <c r="H19" s="28" t="s">
        <v>286</v>
      </c>
      <c r="I19" s="125" t="s">
        <v>2626</v>
      </c>
      <c r="J19" s="148" t="str">
        <f t="shared" si="7"/>
        <v>https://doi.org/10.1109/ISSCC.1998.672409</v>
      </c>
      <c r="K19" s="28" t="s">
        <v>1050</v>
      </c>
      <c r="L19" s="60">
        <v>3.3</v>
      </c>
      <c r="M19" s="60"/>
      <c r="N19" s="60"/>
      <c r="O19" s="56" t="s">
        <v>1050</v>
      </c>
      <c r="P19" s="28">
        <v>14.5</v>
      </c>
      <c r="Q19" s="68"/>
      <c r="R19" s="63">
        <v>5000000</v>
      </c>
      <c r="S19" s="60">
        <v>67</v>
      </c>
      <c r="T19" s="60"/>
      <c r="U19" s="60"/>
      <c r="V19" s="60"/>
      <c r="W19" s="60"/>
      <c r="X19" s="29">
        <f t="shared" si="0"/>
        <v>67</v>
      </c>
      <c r="Y19" s="63">
        <v>0.26500000000000001</v>
      </c>
      <c r="Z19" s="63">
        <v>10000000</v>
      </c>
      <c r="AA19" s="64">
        <v>1</v>
      </c>
      <c r="AB19" s="63">
        <f t="shared" si="1"/>
        <v>10000000</v>
      </c>
      <c r="AC19" s="63" t="s">
        <v>2096</v>
      </c>
      <c r="AD19" s="65">
        <f t="shared" si="2"/>
        <v>26500.000000000004</v>
      </c>
      <c r="AE19" s="29" t="str">
        <f t="shared" si="3"/>
        <v/>
      </c>
      <c r="AF19" s="29">
        <f t="shared" si="4"/>
        <v>14485.076882354591</v>
      </c>
      <c r="AG19" s="54" t="str">
        <f t="shared" si="5"/>
        <v/>
      </c>
      <c r="AH19" s="54">
        <f t="shared" si="6"/>
        <v>139.75724130399209</v>
      </c>
      <c r="AI19" s="66">
        <f t="shared" si="8"/>
        <v>1.4485076882354592E-3</v>
      </c>
      <c r="AJ19" s="67">
        <f t="shared" si="9"/>
        <v>209.75724130399209</v>
      </c>
    </row>
    <row r="20" spans="1:36" x14ac:dyDescent="0.3">
      <c r="A20" s="64">
        <v>1998</v>
      </c>
      <c r="B20" s="60">
        <v>9.5</v>
      </c>
      <c r="C20" s="61" t="s">
        <v>23</v>
      </c>
      <c r="D20" s="61" t="s">
        <v>260</v>
      </c>
      <c r="E20" s="61">
        <v>0.5</v>
      </c>
      <c r="F20" s="125" t="s">
        <v>452</v>
      </c>
      <c r="G20" s="28" t="s">
        <v>1969</v>
      </c>
      <c r="H20" s="28" t="s">
        <v>1049</v>
      </c>
      <c r="I20" s="125" t="s">
        <v>2627</v>
      </c>
      <c r="J20" s="148" t="str">
        <f t="shared" si="7"/>
        <v>https://doi.org/10.1109/ISSCC.1998.672410</v>
      </c>
      <c r="K20" s="28" t="s">
        <v>1050</v>
      </c>
      <c r="L20" s="60"/>
      <c r="M20" s="60"/>
      <c r="N20" s="60"/>
      <c r="O20" s="56" t="s">
        <v>1050</v>
      </c>
      <c r="P20" s="28">
        <v>5.5</v>
      </c>
      <c r="Q20" s="68"/>
      <c r="R20" s="63">
        <v>37500000</v>
      </c>
      <c r="S20" s="60">
        <v>43.3</v>
      </c>
      <c r="T20" s="60">
        <v>46.3</v>
      </c>
      <c r="U20" s="60">
        <v>47</v>
      </c>
      <c r="V20" s="60"/>
      <c r="W20" s="60">
        <v>51</v>
      </c>
      <c r="X20" s="29">
        <f t="shared" si="0"/>
        <v>43.3</v>
      </c>
      <c r="Y20" s="63">
        <v>7.0000000000000007E-2</v>
      </c>
      <c r="Z20" s="63">
        <v>75000000</v>
      </c>
      <c r="AA20" s="64">
        <v>1</v>
      </c>
      <c r="AB20" s="63">
        <f t="shared" si="1"/>
        <v>75000000</v>
      </c>
      <c r="AC20" s="63" t="s">
        <v>2096</v>
      </c>
      <c r="AD20" s="65">
        <f t="shared" si="2"/>
        <v>933.33333333333337</v>
      </c>
      <c r="AE20" s="29" t="str">
        <f t="shared" si="3"/>
        <v/>
      </c>
      <c r="AF20" s="29">
        <f t="shared" si="4"/>
        <v>7813.2153852025058</v>
      </c>
      <c r="AG20" s="54" t="str">
        <f t="shared" si="5"/>
        <v/>
      </c>
      <c r="AH20" s="54">
        <f t="shared" si="6"/>
        <v>130.58933227713462</v>
      </c>
      <c r="AI20" s="66">
        <f t="shared" si="8"/>
        <v>1.041762051360334E-4</v>
      </c>
      <c r="AJ20" s="67">
        <f t="shared" si="9"/>
        <v>209.33994491105162</v>
      </c>
    </row>
    <row r="21" spans="1:36" x14ac:dyDescent="0.3">
      <c r="A21" s="64">
        <v>1998</v>
      </c>
      <c r="B21" s="60">
        <v>9.6</v>
      </c>
      <c r="C21" s="61" t="s">
        <v>23</v>
      </c>
      <c r="D21" s="61" t="s">
        <v>27</v>
      </c>
      <c r="E21" s="61" t="s">
        <v>205</v>
      </c>
      <c r="F21" s="125" t="s">
        <v>287</v>
      </c>
      <c r="G21" s="28" t="s">
        <v>453</v>
      </c>
      <c r="H21" s="72" t="s">
        <v>288</v>
      </c>
      <c r="I21" s="125" t="s">
        <v>2628</v>
      </c>
      <c r="J21" s="148" t="str">
        <f t="shared" si="7"/>
        <v>https://doi.org/10.1109/ISSCC.1998.672411</v>
      </c>
      <c r="K21" s="72" t="s">
        <v>1050</v>
      </c>
      <c r="L21" s="60"/>
      <c r="M21" s="60"/>
      <c r="N21" s="60"/>
      <c r="O21" s="56" t="s">
        <v>1050</v>
      </c>
      <c r="P21" s="28">
        <v>0.75</v>
      </c>
      <c r="Q21" s="68"/>
      <c r="R21" s="63">
        <v>175000000</v>
      </c>
      <c r="S21" s="60">
        <v>31</v>
      </c>
      <c r="T21" s="60"/>
      <c r="U21" s="60"/>
      <c r="V21" s="60"/>
      <c r="W21" s="60"/>
      <c r="X21" s="29">
        <f t="shared" si="0"/>
        <v>31</v>
      </c>
      <c r="Y21" s="63">
        <v>0.22500000000000001</v>
      </c>
      <c r="Z21" s="63">
        <v>350000000</v>
      </c>
      <c r="AA21" s="64">
        <v>1</v>
      </c>
      <c r="AB21" s="63">
        <f t="shared" si="1"/>
        <v>350000000</v>
      </c>
      <c r="AC21" s="63" t="s">
        <v>2096</v>
      </c>
      <c r="AD21" s="65">
        <f t="shared" si="2"/>
        <v>642.85714285714289</v>
      </c>
      <c r="AE21" s="29" t="str">
        <f t="shared" si="3"/>
        <v/>
      </c>
      <c r="AF21" s="29">
        <f t="shared" si="4"/>
        <v>22180.369694339977</v>
      </c>
      <c r="AG21" s="54" t="str">
        <f t="shared" si="5"/>
        <v/>
      </c>
      <c r="AH21" s="54">
        <f t="shared" si="6"/>
        <v>119.90855530574932</v>
      </c>
      <c r="AI21" s="66">
        <f t="shared" si="8"/>
        <v>6.3372484840971369E-5</v>
      </c>
      <c r="AJ21" s="67">
        <f t="shared" si="9"/>
        <v>205.34923574925207</v>
      </c>
    </row>
    <row r="22" spans="1:36" x14ac:dyDescent="0.3">
      <c r="A22" s="64">
        <v>1998</v>
      </c>
      <c r="B22" s="60">
        <v>9.6999999999999993</v>
      </c>
      <c r="C22" s="61" t="s">
        <v>23</v>
      </c>
      <c r="D22" s="61" t="s">
        <v>28</v>
      </c>
      <c r="E22" s="61" t="s">
        <v>206</v>
      </c>
      <c r="F22" s="125" t="s">
        <v>289</v>
      </c>
      <c r="G22" s="28" t="s">
        <v>1970</v>
      </c>
      <c r="H22" s="28" t="s">
        <v>2470</v>
      </c>
      <c r="I22" s="125" t="s">
        <v>2629</v>
      </c>
      <c r="J22" s="148" t="str">
        <f t="shared" si="7"/>
        <v>https://doi.org/10.1109/ISSCC.1998.672412</v>
      </c>
      <c r="K22" s="28" t="s">
        <v>1050</v>
      </c>
      <c r="L22" s="60">
        <v>3.2</v>
      </c>
      <c r="M22" s="60"/>
      <c r="N22" s="60"/>
      <c r="O22" s="56" t="s">
        <v>1050</v>
      </c>
      <c r="P22" s="28">
        <v>0.6</v>
      </c>
      <c r="Q22" s="68"/>
      <c r="R22" s="63">
        <v>200000000</v>
      </c>
      <c r="S22" s="60">
        <v>29.2</v>
      </c>
      <c r="T22" s="60"/>
      <c r="U22" s="60"/>
      <c r="V22" s="60">
        <v>33.6</v>
      </c>
      <c r="W22" s="60"/>
      <c r="X22" s="29">
        <f t="shared" si="0"/>
        <v>29.2</v>
      </c>
      <c r="Y22" s="63">
        <v>0.2</v>
      </c>
      <c r="Z22" s="63">
        <v>400000000</v>
      </c>
      <c r="AA22" s="64">
        <v>1</v>
      </c>
      <c r="AB22" s="63">
        <f t="shared" si="1"/>
        <v>400000000</v>
      </c>
      <c r="AC22" s="63" t="s">
        <v>2096</v>
      </c>
      <c r="AD22" s="65">
        <f t="shared" si="2"/>
        <v>500.00000000000006</v>
      </c>
      <c r="AE22" s="29" t="str">
        <f t="shared" si="3"/>
        <v/>
      </c>
      <c r="AF22" s="29">
        <f t="shared" si="4"/>
        <v>21224.295320925372</v>
      </c>
      <c r="AG22" s="54" t="str">
        <f t="shared" si="5"/>
        <v/>
      </c>
      <c r="AH22" s="54">
        <f t="shared" si="6"/>
        <v>119.2</v>
      </c>
      <c r="AI22" s="66">
        <f t="shared" si="8"/>
        <v>5.3060738302313427E-5</v>
      </c>
      <c r="AJ22" s="67">
        <f t="shared" si="9"/>
        <v>205.22059991327961</v>
      </c>
    </row>
    <row r="23" spans="1:36" x14ac:dyDescent="0.3">
      <c r="A23" s="59">
        <v>1999</v>
      </c>
      <c r="B23" s="60">
        <v>3.1</v>
      </c>
      <c r="C23" s="61" t="s">
        <v>22</v>
      </c>
      <c r="D23" s="61" t="s">
        <v>25</v>
      </c>
      <c r="E23" s="61">
        <v>0.5</v>
      </c>
      <c r="F23" s="125" t="s">
        <v>454</v>
      </c>
      <c r="G23" s="28" t="s">
        <v>455</v>
      </c>
      <c r="H23" s="28" t="s">
        <v>2471</v>
      </c>
      <c r="I23" s="125" t="s">
        <v>2630</v>
      </c>
      <c r="J23" s="148" t="str">
        <f t="shared" si="7"/>
        <v>https://doi.org/10.1109/ISSCC.1999.759091</v>
      </c>
      <c r="K23" s="28" t="s">
        <v>1050</v>
      </c>
      <c r="L23" s="60">
        <v>1.5</v>
      </c>
      <c r="M23" s="60"/>
      <c r="N23" s="60"/>
      <c r="O23" s="56" t="s">
        <v>1050</v>
      </c>
      <c r="P23" s="28">
        <v>0.53</v>
      </c>
      <c r="Q23" s="68"/>
      <c r="R23" s="63">
        <v>20000</v>
      </c>
      <c r="S23" s="60">
        <v>88</v>
      </c>
      <c r="T23" s="60">
        <v>90</v>
      </c>
      <c r="U23" s="60">
        <v>98.2</v>
      </c>
      <c r="V23" s="60"/>
      <c r="W23" s="60"/>
      <c r="X23" s="29">
        <f t="shared" si="0"/>
        <v>88</v>
      </c>
      <c r="Y23" s="63">
        <f>0.00067*1.5</f>
        <v>1.005E-3</v>
      </c>
      <c r="Z23" s="63">
        <v>2822400</v>
      </c>
      <c r="AA23" s="64">
        <v>70.56</v>
      </c>
      <c r="AB23" s="63">
        <f t="shared" si="1"/>
        <v>40000</v>
      </c>
      <c r="AC23" s="63" t="s">
        <v>2096</v>
      </c>
      <c r="AD23" s="65">
        <f t="shared" si="2"/>
        <v>25125</v>
      </c>
      <c r="AE23" s="29" t="str">
        <f t="shared" si="3"/>
        <v/>
      </c>
      <c r="AF23" s="29">
        <f t="shared" si="4"/>
        <v>1223.7039590232371</v>
      </c>
      <c r="AG23" s="54" t="str">
        <f t="shared" si="5"/>
        <v/>
      </c>
      <c r="AH23" s="54">
        <f t="shared" si="6"/>
        <v>160.98863933907472</v>
      </c>
      <c r="AI23" s="66">
        <f t="shared" si="8"/>
        <v>3.0592598975580927E-2</v>
      </c>
      <c r="AJ23" s="67">
        <f t="shared" si="9"/>
        <v>207.00923925235435</v>
      </c>
    </row>
    <row r="24" spans="1:36" x14ac:dyDescent="0.3">
      <c r="A24" s="64">
        <v>1999</v>
      </c>
      <c r="B24" s="60">
        <v>3.2</v>
      </c>
      <c r="C24" s="61" t="s">
        <v>22</v>
      </c>
      <c r="D24" s="61" t="s">
        <v>30</v>
      </c>
      <c r="E24" s="61">
        <v>0.35</v>
      </c>
      <c r="F24" s="125" t="s">
        <v>456</v>
      </c>
      <c r="G24" s="28" t="s">
        <v>457</v>
      </c>
      <c r="H24" s="28" t="s">
        <v>458</v>
      </c>
      <c r="I24" s="125" t="s">
        <v>2631</v>
      </c>
      <c r="J24" s="148" t="str">
        <f t="shared" si="7"/>
        <v>https://doi.org/10.1109/ISSCC.1999.759363</v>
      </c>
      <c r="K24" s="28" t="s">
        <v>1050</v>
      </c>
      <c r="L24" s="60"/>
      <c r="M24" s="60"/>
      <c r="N24" s="60"/>
      <c r="O24" s="56" t="s">
        <v>1050</v>
      </c>
      <c r="P24" s="28">
        <v>0.2</v>
      </c>
      <c r="Q24" s="68"/>
      <c r="R24" s="63">
        <v>100000</v>
      </c>
      <c r="S24" s="60">
        <v>84</v>
      </c>
      <c r="T24" s="60"/>
      <c r="U24" s="60">
        <v>86</v>
      </c>
      <c r="V24" s="60"/>
      <c r="W24" s="60"/>
      <c r="X24" s="29">
        <f t="shared" si="0"/>
        <v>84</v>
      </c>
      <c r="Y24" s="63">
        <v>1.8E-3</v>
      </c>
      <c r="Z24" s="63">
        <v>13000000</v>
      </c>
      <c r="AA24" s="64">
        <v>65</v>
      </c>
      <c r="AB24" s="63">
        <f t="shared" si="1"/>
        <v>200000</v>
      </c>
      <c r="AC24" s="63" t="s">
        <v>2096</v>
      </c>
      <c r="AD24" s="65">
        <f t="shared" si="2"/>
        <v>9000</v>
      </c>
      <c r="AE24" s="29" t="str">
        <f t="shared" si="3"/>
        <v/>
      </c>
      <c r="AF24" s="29">
        <f t="shared" si="4"/>
        <v>694.75668580656588</v>
      </c>
      <c r="AG24" s="54" t="str">
        <f t="shared" si="5"/>
        <v/>
      </c>
      <c r="AH24" s="54">
        <f t="shared" si="6"/>
        <v>161.44727494896694</v>
      </c>
      <c r="AI24" s="66">
        <f t="shared" si="8"/>
        <v>3.4737834290328295E-3</v>
      </c>
      <c r="AJ24" s="67">
        <f t="shared" si="9"/>
        <v>214.45757490560675</v>
      </c>
    </row>
    <row r="25" spans="1:36" x14ac:dyDescent="0.3">
      <c r="A25" s="64">
        <v>1999</v>
      </c>
      <c r="B25" s="60">
        <v>3.3</v>
      </c>
      <c r="C25" s="61" t="s">
        <v>22</v>
      </c>
      <c r="D25" s="61" t="s">
        <v>399</v>
      </c>
      <c r="E25" s="61">
        <v>1.2</v>
      </c>
      <c r="F25" s="125" t="s">
        <v>459</v>
      </c>
      <c r="G25" s="28" t="s">
        <v>460</v>
      </c>
      <c r="H25" s="28" t="s">
        <v>461</v>
      </c>
      <c r="I25" s="125" t="s">
        <v>2632</v>
      </c>
      <c r="J25" s="148" t="str">
        <f t="shared" si="7"/>
        <v>https://doi.org/10.1109/ISSCC.1999.759092</v>
      </c>
      <c r="K25" s="28" t="s">
        <v>1050</v>
      </c>
      <c r="L25" s="60"/>
      <c r="M25" s="60"/>
      <c r="N25" s="60"/>
      <c r="O25" s="56" t="s">
        <v>1050</v>
      </c>
      <c r="P25" s="28">
        <v>47</v>
      </c>
      <c r="Q25" s="68"/>
      <c r="R25" s="63">
        <v>9000000</v>
      </c>
      <c r="S25" s="60">
        <v>71</v>
      </c>
      <c r="T25" s="60">
        <v>74</v>
      </c>
      <c r="U25" s="60">
        <v>78</v>
      </c>
      <c r="V25" s="60"/>
      <c r="W25" s="60">
        <v>78</v>
      </c>
      <c r="X25" s="29">
        <f t="shared" si="0"/>
        <v>71</v>
      </c>
      <c r="Y25" s="63">
        <v>0.32400000000000001</v>
      </c>
      <c r="Z25" s="63">
        <v>18000000</v>
      </c>
      <c r="AA25" s="64">
        <v>1</v>
      </c>
      <c r="AB25" s="63">
        <f t="shared" si="1"/>
        <v>18000000</v>
      </c>
      <c r="AC25" s="63" t="s">
        <v>2096</v>
      </c>
      <c r="AD25" s="65">
        <f t="shared" si="2"/>
        <v>18000</v>
      </c>
      <c r="AE25" s="29" t="str">
        <f t="shared" si="3"/>
        <v/>
      </c>
      <c r="AF25" s="29">
        <f t="shared" si="4"/>
        <v>6207.65403954676</v>
      </c>
      <c r="AG25" s="54" t="str">
        <f t="shared" si="5"/>
        <v/>
      </c>
      <c r="AH25" s="54">
        <f t="shared" si="6"/>
        <v>145.43697499232712</v>
      </c>
      <c r="AI25" s="66">
        <f t="shared" si="8"/>
        <v>3.4486966886370887E-4</v>
      </c>
      <c r="AJ25" s="67">
        <f t="shared" si="9"/>
        <v>217.98970004336019</v>
      </c>
    </row>
    <row r="26" spans="1:36" x14ac:dyDescent="0.3">
      <c r="A26" s="64">
        <v>1999</v>
      </c>
      <c r="B26" s="60">
        <v>3.4</v>
      </c>
      <c r="C26" s="61" t="s">
        <v>22</v>
      </c>
      <c r="D26" s="61" t="s">
        <v>1955</v>
      </c>
      <c r="E26" s="61">
        <v>0.5</v>
      </c>
      <c r="F26" s="125" t="s">
        <v>462</v>
      </c>
      <c r="G26" s="28" t="s">
        <v>463</v>
      </c>
      <c r="H26" s="28" t="s">
        <v>464</v>
      </c>
      <c r="I26" s="125" t="s">
        <v>2633</v>
      </c>
      <c r="J26" s="148" t="str">
        <f t="shared" si="7"/>
        <v>https://doi.org/10.1109/ISSCC.1999.759093</v>
      </c>
      <c r="K26" s="28" t="s">
        <v>208</v>
      </c>
      <c r="L26" s="60"/>
      <c r="M26" s="60"/>
      <c r="N26" s="60"/>
      <c r="O26" s="56" t="s">
        <v>1050</v>
      </c>
      <c r="P26" s="28">
        <v>0.36</v>
      </c>
      <c r="Q26" s="68"/>
      <c r="R26" s="63">
        <v>200000</v>
      </c>
      <c r="S26" s="60">
        <v>63.5</v>
      </c>
      <c r="T26" s="60"/>
      <c r="U26" s="60">
        <v>67</v>
      </c>
      <c r="V26" s="60"/>
      <c r="W26" s="60"/>
      <c r="X26" s="29">
        <f t="shared" si="0"/>
        <v>63.5</v>
      </c>
      <c r="Y26" s="63">
        <v>0.06</v>
      </c>
      <c r="Z26" s="63">
        <v>80000000</v>
      </c>
      <c r="AA26" s="64">
        <v>200</v>
      </c>
      <c r="AB26" s="63">
        <f t="shared" si="1"/>
        <v>400000</v>
      </c>
      <c r="AC26" s="63">
        <v>10700000</v>
      </c>
      <c r="AD26" s="65">
        <f t="shared" si="2"/>
        <v>150000</v>
      </c>
      <c r="AE26" s="29" t="str">
        <f t="shared" si="3"/>
        <v/>
      </c>
      <c r="AF26" s="29">
        <f t="shared" si="4"/>
        <v>122682.78580300682</v>
      </c>
      <c r="AG26" s="54" t="str">
        <f t="shared" si="5"/>
        <v/>
      </c>
      <c r="AH26" s="54">
        <f t="shared" si="6"/>
        <v>128.72878745280337</v>
      </c>
      <c r="AI26" s="66">
        <f t="shared" si="8"/>
        <v>0.30670696450751705</v>
      </c>
      <c r="AJ26" s="67">
        <f t="shared" si="9"/>
        <v>184.749387366083</v>
      </c>
    </row>
    <row r="27" spans="1:36" x14ac:dyDescent="0.3">
      <c r="A27" s="64">
        <v>1999</v>
      </c>
      <c r="B27" s="60">
        <v>3.7</v>
      </c>
      <c r="C27" s="61" t="s">
        <v>22</v>
      </c>
      <c r="D27" s="61" t="s">
        <v>30</v>
      </c>
      <c r="E27" s="61" t="s">
        <v>209</v>
      </c>
      <c r="F27" s="125" t="s">
        <v>465</v>
      </c>
      <c r="G27" s="28" t="s">
        <v>466</v>
      </c>
      <c r="H27" s="28" t="s">
        <v>467</v>
      </c>
      <c r="I27" s="125" t="s">
        <v>2634</v>
      </c>
      <c r="J27" s="148" t="str">
        <f t="shared" si="7"/>
        <v>https://doi.org/10.1109/ISSCC.1999.759096</v>
      </c>
      <c r="K27" s="28" t="s">
        <v>1050</v>
      </c>
      <c r="L27" s="60"/>
      <c r="M27" s="60"/>
      <c r="N27" s="60"/>
      <c r="O27" s="56" t="s">
        <v>1050</v>
      </c>
      <c r="P27" s="28">
        <v>1.5</v>
      </c>
      <c r="Q27" s="68"/>
      <c r="R27" s="63">
        <v>40000</v>
      </c>
      <c r="S27" s="60">
        <v>66</v>
      </c>
      <c r="T27" s="60"/>
      <c r="U27" s="60">
        <v>72</v>
      </c>
      <c r="V27" s="60"/>
      <c r="W27" s="60"/>
      <c r="X27" s="29">
        <f t="shared" si="0"/>
        <v>66</v>
      </c>
      <c r="Y27" s="63">
        <v>1.7999999999999999E-2</v>
      </c>
      <c r="Z27" s="63">
        <v>20000000</v>
      </c>
      <c r="AA27" s="64">
        <v>250</v>
      </c>
      <c r="AB27" s="63">
        <f t="shared" si="1"/>
        <v>80000</v>
      </c>
      <c r="AC27" s="63" t="s">
        <v>2096</v>
      </c>
      <c r="AD27" s="65">
        <f t="shared" si="2"/>
        <v>225000</v>
      </c>
      <c r="AE27" s="29" t="str">
        <f t="shared" si="3"/>
        <v/>
      </c>
      <c r="AF27" s="29">
        <f t="shared" si="4"/>
        <v>137994.70789146892</v>
      </c>
      <c r="AG27" s="54" t="str">
        <f t="shared" si="5"/>
        <v/>
      </c>
      <c r="AH27" s="54">
        <f t="shared" si="6"/>
        <v>129.46787486224656</v>
      </c>
      <c r="AI27" s="66">
        <f t="shared" si="8"/>
        <v>1.7249338486433614</v>
      </c>
      <c r="AJ27" s="67">
        <f t="shared" si="9"/>
        <v>178.498774732166</v>
      </c>
    </row>
    <row r="28" spans="1:36" x14ac:dyDescent="0.3">
      <c r="A28" s="64">
        <v>1999</v>
      </c>
      <c r="B28" s="60">
        <v>18.100000000000001</v>
      </c>
      <c r="C28" s="61" t="s">
        <v>23</v>
      </c>
      <c r="D28" s="61" t="s">
        <v>238</v>
      </c>
      <c r="E28" s="61">
        <v>1.5</v>
      </c>
      <c r="F28" s="125" t="s">
        <v>468</v>
      </c>
      <c r="G28" s="28" t="s">
        <v>469</v>
      </c>
      <c r="H28" s="28" t="s">
        <v>290</v>
      </c>
      <c r="I28" s="125" t="s">
        <v>2635</v>
      </c>
      <c r="J28" s="148" t="str">
        <f t="shared" si="7"/>
        <v>https://doi.org/10.1109/ISSCC.1999.759266</v>
      </c>
      <c r="K28" s="28" t="s">
        <v>1050</v>
      </c>
      <c r="L28" s="60"/>
      <c r="M28" s="60"/>
      <c r="N28" s="60"/>
      <c r="O28" s="56" t="s">
        <v>1050</v>
      </c>
      <c r="P28" s="28">
        <v>5.94</v>
      </c>
      <c r="Q28" s="68"/>
      <c r="R28" s="63">
        <v>62500</v>
      </c>
      <c r="S28" s="60">
        <v>71</v>
      </c>
      <c r="T28" s="60"/>
      <c r="U28" s="60"/>
      <c r="V28" s="60">
        <v>90</v>
      </c>
      <c r="W28" s="60">
        <v>95</v>
      </c>
      <c r="X28" s="29">
        <f t="shared" si="0"/>
        <v>71</v>
      </c>
      <c r="Y28" s="63">
        <v>1.6E-2</v>
      </c>
      <c r="Z28" s="63">
        <v>125000</v>
      </c>
      <c r="AA28" s="64">
        <v>1</v>
      </c>
      <c r="AB28" s="63">
        <f t="shared" si="1"/>
        <v>125000</v>
      </c>
      <c r="AC28" s="63" t="s">
        <v>2096</v>
      </c>
      <c r="AD28" s="65">
        <f t="shared" si="2"/>
        <v>128000.00000000001</v>
      </c>
      <c r="AE28" s="29" t="str">
        <f t="shared" si="3"/>
        <v/>
      </c>
      <c r="AF28" s="29">
        <f t="shared" si="4"/>
        <v>44143.31761455474</v>
      </c>
      <c r="AG28" s="54" t="str">
        <f t="shared" si="5"/>
        <v/>
      </c>
      <c r="AH28" s="54">
        <f t="shared" si="6"/>
        <v>136.9176003468815</v>
      </c>
      <c r="AI28" s="66">
        <f t="shared" si="8"/>
        <v>0.35314654091643793</v>
      </c>
      <c r="AJ28" s="67">
        <f t="shared" si="9"/>
        <v>187.88670047696206</v>
      </c>
    </row>
    <row r="29" spans="1:36" x14ac:dyDescent="0.3">
      <c r="A29" s="64">
        <v>1999</v>
      </c>
      <c r="B29" s="60">
        <v>18.2</v>
      </c>
      <c r="C29" s="61" t="s">
        <v>23</v>
      </c>
      <c r="D29" s="61" t="s">
        <v>29</v>
      </c>
      <c r="E29" s="61">
        <v>0.35</v>
      </c>
      <c r="F29" s="125" t="s">
        <v>153</v>
      </c>
      <c r="G29" s="28" t="s">
        <v>1971</v>
      </c>
      <c r="H29" s="28" t="s">
        <v>470</v>
      </c>
      <c r="I29" s="125" t="s">
        <v>2636</v>
      </c>
      <c r="J29" s="148" t="str">
        <f t="shared" si="7"/>
        <v>https://doi.org/10.1109/ISSCC.1999.759267</v>
      </c>
      <c r="K29" s="28" t="s">
        <v>471</v>
      </c>
      <c r="L29" s="60">
        <v>3.3</v>
      </c>
      <c r="M29" s="60"/>
      <c r="N29" s="60"/>
      <c r="O29" s="56" t="s">
        <v>1050</v>
      </c>
      <c r="P29" s="28">
        <v>0.8</v>
      </c>
      <c r="Q29" s="68"/>
      <c r="R29" s="63">
        <v>12500000</v>
      </c>
      <c r="S29" s="60">
        <f>7.8*6.02+1.76</f>
        <v>48.715999999999994</v>
      </c>
      <c r="T29" s="60">
        <v>59.6</v>
      </c>
      <c r="U29" s="60"/>
      <c r="V29" s="60">
        <v>62.8</v>
      </c>
      <c r="W29" s="60">
        <v>72</v>
      </c>
      <c r="X29" s="29">
        <f t="shared" si="0"/>
        <v>48.715999999999994</v>
      </c>
      <c r="Y29" s="63">
        <v>0.19500000000000001</v>
      </c>
      <c r="Z29" s="63">
        <v>25000000</v>
      </c>
      <c r="AA29" s="64">
        <v>1</v>
      </c>
      <c r="AB29" s="63">
        <f t="shared" si="1"/>
        <v>25000000</v>
      </c>
      <c r="AC29" s="63" t="s">
        <v>2096</v>
      </c>
      <c r="AD29" s="65">
        <f t="shared" si="2"/>
        <v>7800</v>
      </c>
      <c r="AE29" s="29" t="str">
        <f t="shared" si="3"/>
        <v/>
      </c>
      <c r="AF29" s="29">
        <f t="shared" si="4"/>
        <v>34999.403003815918</v>
      </c>
      <c r="AG29" s="54" t="str">
        <f t="shared" si="5"/>
        <v/>
      </c>
      <c r="AH29" s="54">
        <f t="shared" si="6"/>
        <v>126.78475401645538</v>
      </c>
      <c r="AI29" s="66">
        <f t="shared" si="8"/>
        <v>1.3999761201526368E-3</v>
      </c>
      <c r="AJ29" s="67">
        <f t="shared" si="9"/>
        <v>200.76415410317577</v>
      </c>
    </row>
    <row r="30" spans="1:36" x14ac:dyDescent="0.3">
      <c r="A30" s="64">
        <v>1999</v>
      </c>
      <c r="B30" s="60">
        <v>18.3</v>
      </c>
      <c r="C30" s="61" t="s">
        <v>23</v>
      </c>
      <c r="D30" s="61" t="s">
        <v>28</v>
      </c>
      <c r="E30" s="61" t="s">
        <v>207</v>
      </c>
      <c r="F30" s="125" t="s">
        <v>154</v>
      </c>
      <c r="G30" s="28" t="s">
        <v>1972</v>
      </c>
      <c r="H30" s="28" t="s">
        <v>155</v>
      </c>
      <c r="I30" s="125" t="s">
        <v>2637</v>
      </c>
      <c r="J30" s="148" t="str">
        <f t="shared" si="7"/>
        <v>https://doi.org/10.1109/ISSCC.1999.759268</v>
      </c>
      <c r="K30" s="28" t="s">
        <v>472</v>
      </c>
      <c r="L30" s="60">
        <v>5</v>
      </c>
      <c r="M30" s="60"/>
      <c r="N30" s="60"/>
      <c r="O30" s="56" t="s">
        <v>1050</v>
      </c>
      <c r="P30" s="28">
        <v>0.8</v>
      </c>
      <c r="Q30" s="68"/>
      <c r="R30" s="63">
        <v>20000000</v>
      </c>
      <c r="S30" s="60">
        <f>8.7*6.02+1.76</f>
        <v>54.133999999999993</v>
      </c>
      <c r="T30" s="60">
        <v>59</v>
      </c>
      <c r="U30" s="60"/>
      <c r="V30" s="60">
        <v>62</v>
      </c>
      <c r="W30" s="60">
        <v>67</v>
      </c>
      <c r="X30" s="29">
        <f t="shared" si="0"/>
        <v>54.133999999999993</v>
      </c>
      <c r="Y30" s="63">
        <v>6.5000000000000002E-2</v>
      </c>
      <c r="Z30" s="63">
        <v>40000000</v>
      </c>
      <c r="AA30" s="64">
        <v>1</v>
      </c>
      <c r="AB30" s="63">
        <f t="shared" si="1"/>
        <v>40000000</v>
      </c>
      <c r="AC30" s="63" t="s">
        <v>2096</v>
      </c>
      <c r="AD30" s="65">
        <f t="shared" si="2"/>
        <v>1625</v>
      </c>
      <c r="AE30" s="29" t="str">
        <f t="shared" si="3"/>
        <v/>
      </c>
      <c r="AF30" s="29">
        <f t="shared" si="4"/>
        <v>3907.4407650107246</v>
      </c>
      <c r="AG30" s="54" t="str">
        <f t="shared" si="5"/>
        <v/>
      </c>
      <c r="AH30" s="54">
        <f t="shared" si="6"/>
        <v>139.01516639021125</v>
      </c>
      <c r="AI30" s="66">
        <f t="shared" si="8"/>
        <v>9.7686019125268114E-5</v>
      </c>
      <c r="AJ30" s="67">
        <f t="shared" si="9"/>
        <v>215.03576630349087</v>
      </c>
    </row>
    <row r="31" spans="1:36" x14ac:dyDescent="0.3">
      <c r="A31" s="64">
        <v>1999</v>
      </c>
      <c r="B31" s="60">
        <v>18.399999999999999</v>
      </c>
      <c r="C31" s="61" t="s">
        <v>23</v>
      </c>
      <c r="D31" s="61" t="s">
        <v>29</v>
      </c>
      <c r="E31" s="61">
        <v>0.5</v>
      </c>
      <c r="F31" s="125" t="s">
        <v>156</v>
      </c>
      <c r="G31" s="28" t="s">
        <v>473</v>
      </c>
      <c r="H31" s="28" t="s">
        <v>474</v>
      </c>
      <c r="I31" s="125" t="s">
        <v>2638</v>
      </c>
      <c r="J31" s="148" t="str">
        <f t="shared" si="7"/>
        <v>https://doi.org/10.1109/ISSCC.1999.759270</v>
      </c>
      <c r="K31" s="28" t="s">
        <v>1050</v>
      </c>
      <c r="L31" s="60"/>
      <c r="M31" s="60"/>
      <c r="N31" s="60"/>
      <c r="O31" s="56" t="s">
        <v>1050</v>
      </c>
      <c r="P31" s="28">
        <v>1.6</v>
      </c>
      <c r="Q31" s="68"/>
      <c r="R31" s="63">
        <v>10000000</v>
      </c>
      <c r="S31" s="60">
        <v>58.7</v>
      </c>
      <c r="T31" s="60">
        <v>60.5</v>
      </c>
      <c r="U31" s="60"/>
      <c r="V31" s="60">
        <v>64</v>
      </c>
      <c r="W31" s="60">
        <v>64</v>
      </c>
      <c r="X31" s="29">
        <f t="shared" si="0"/>
        <v>58.7</v>
      </c>
      <c r="Y31" s="63">
        <v>7.4999999999999997E-2</v>
      </c>
      <c r="Z31" s="63">
        <v>20000000</v>
      </c>
      <c r="AA31" s="64">
        <v>1</v>
      </c>
      <c r="AB31" s="63">
        <f t="shared" si="1"/>
        <v>20000000</v>
      </c>
      <c r="AC31" s="63" t="s">
        <v>2096</v>
      </c>
      <c r="AD31" s="65">
        <f t="shared" si="2"/>
        <v>3749.9999999999995</v>
      </c>
      <c r="AE31" s="29" t="str">
        <f t="shared" si="3"/>
        <v/>
      </c>
      <c r="AF31" s="29">
        <f t="shared" si="4"/>
        <v>5330.249702406496</v>
      </c>
      <c r="AG31" s="54" t="str">
        <f t="shared" si="5"/>
        <v/>
      </c>
      <c r="AH31" s="54">
        <f t="shared" si="6"/>
        <v>139.94938736608299</v>
      </c>
      <c r="AI31" s="66">
        <f t="shared" si="8"/>
        <v>2.6651248512032482E-4</v>
      </c>
      <c r="AJ31" s="67">
        <f t="shared" si="9"/>
        <v>212.9596873227228</v>
      </c>
    </row>
    <row r="32" spans="1:36" x14ac:dyDescent="0.3">
      <c r="A32" s="64">
        <v>1999</v>
      </c>
      <c r="B32" s="60">
        <v>18.5</v>
      </c>
      <c r="C32" s="61" t="s">
        <v>23</v>
      </c>
      <c r="D32" s="61" t="s">
        <v>27</v>
      </c>
      <c r="E32" s="61">
        <v>0.4</v>
      </c>
      <c r="F32" s="125" t="s">
        <v>157</v>
      </c>
      <c r="G32" s="28" t="s">
        <v>1973</v>
      </c>
      <c r="H32" s="28" t="s">
        <v>475</v>
      </c>
      <c r="I32" s="125" t="s">
        <v>2639</v>
      </c>
      <c r="J32" s="148" t="str">
        <f t="shared" si="7"/>
        <v>https://doi.org/10.1109/ISSCC.1999.759272</v>
      </c>
      <c r="K32" s="28" t="s">
        <v>1050</v>
      </c>
      <c r="L32" s="60">
        <v>3.3</v>
      </c>
      <c r="M32" s="60"/>
      <c r="N32" s="60"/>
      <c r="O32" s="56" t="s">
        <v>1050</v>
      </c>
      <c r="P32" s="28">
        <v>2.4</v>
      </c>
      <c r="Q32" s="68"/>
      <c r="R32" s="63">
        <v>250000000</v>
      </c>
      <c r="S32" s="60">
        <f>5.5*6.02+1.76</f>
        <v>34.869999999999997</v>
      </c>
      <c r="T32" s="60"/>
      <c r="U32" s="60"/>
      <c r="V32" s="60"/>
      <c r="W32" s="60"/>
      <c r="X32" s="29">
        <f t="shared" si="0"/>
        <v>34.869999999999997</v>
      </c>
      <c r="Y32" s="63">
        <v>0.4</v>
      </c>
      <c r="Z32" s="63">
        <v>500000000</v>
      </c>
      <c r="AA32" s="64">
        <v>1</v>
      </c>
      <c r="AB32" s="63">
        <f t="shared" si="1"/>
        <v>500000000</v>
      </c>
      <c r="AC32" s="63" t="s">
        <v>2096</v>
      </c>
      <c r="AD32" s="65">
        <f t="shared" si="2"/>
        <v>800</v>
      </c>
      <c r="AE32" s="29" t="str">
        <f t="shared" si="3"/>
        <v/>
      </c>
      <c r="AF32" s="29">
        <f t="shared" si="4"/>
        <v>17677.669529663686</v>
      </c>
      <c r="AG32" s="54" t="str">
        <f t="shared" si="5"/>
        <v/>
      </c>
      <c r="AH32" s="54">
        <f t="shared" si="6"/>
        <v>122.82880017344075</v>
      </c>
      <c r="AI32" s="66">
        <f t="shared" si="8"/>
        <v>3.535533905932737E-5</v>
      </c>
      <c r="AJ32" s="67">
        <f t="shared" si="9"/>
        <v>209.81850021680094</v>
      </c>
    </row>
    <row r="33" spans="1:36" x14ac:dyDescent="0.3">
      <c r="A33" s="64">
        <v>1999</v>
      </c>
      <c r="B33" s="60">
        <v>18.600000000000001</v>
      </c>
      <c r="C33" s="61" t="s">
        <v>23</v>
      </c>
      <c r="D33" s="61" t="s">
        <v>27</v>
      </c>
      <c r="E33" s="61">
        <v>0.6</v>
      </c>
      <c r="F33" s="125" t="s">
        <v>158</v>
      </c>
      <c r="G33" s="28" t="s">
        <v>476</v>
      </c>
      <c r="H33" s="28" t="s">
        <v>477</v>
      </c>
      <c r="I33" s="125" t="s">
        <v>2640</v>
      </c>
      <c r="J33" s="148" t="str">
        <f t="shared" si="7"/>
        <v>https://doi.org/10.1109/ISSCC.1999.759274</v>
      </c>
      <c r="K33" s="28" t="s">
        <v>1050</v>
      </c>
      <c r="L33" s="60"/>
      <c r="M33" s="60"/>
      <c r="N33" s="60"/>
      <c r="O33" s="56" t="s">
        <v>1050</v>
      </c>
      <c r="P33" s="28">
        <v>5.25</v>
      </c>
      <c r="Q33" s="68">
        <v>33.200000000000003</v>
      </c>
      <c r="R33" s="63">
        <v>100000000</v>
      </c>
      <c r="S33" s="60">
        <v>27.5</v>
      </c>
      <c r="T33" s="60"/>
      <c r="U33" s="60"/>
      <c r="V33" s="60"/>
      <c r="W33" s="60"/>
      <c r="X33" s="29">
        <f t="shared" si="0"/>
        <v>27.5</v>
      </c>
      <c r="Y33" s="63">
        <v>0.33</v>
      </c>
      <c r="Z33" s="63">
        <v>500000000</v>
      </c>
      <c r="AA33" s="64">
        <v>1</v>
      </c>
      <c r="AB33" s="63">
        <f t="shared" si="1"/>
        <v>500000000</v>
      </c>
      <c r="AC33" s="63" t="s">
        <v>2096</v>
      </c>
      <c r="AD33" s="65">
        <f t="shared" si="2"/>
        <v>660</v>
      </c>
      <c r="AE33" s="29">
        <f t="shared" si="3"/>
        <v>17676.133805660171</v>
      </c>
      <c r="AF33" s="29">
        <f t="shared" si="4"/>
        <v>34073.416478507315</v>
      </c>
      <c r="AG33" s="54">
        <f t="shared" si="5"/>
        <v>121.99426068794149</v>
      </c>
      <c r="AH33" s="54">
        <f t="shared" si="6"/>
        <v>116.29426068794149</v>
      </c>
      <c r="AI33" s="66">
        <f t="shared" si="8"/>
        <v>6.8146832957014636E-5</v>
      </c>
      <c r="AJ33" s="67">
        <f t="shared" si="9"/>
        <v>203.28396073130168</v>
      </c>
    </row>
    <row r="34" spans="1:36" x14ac:dyDescent="0.3">
      <c r="A34" s="59">
        <v>2000</v>
      </c>
      <c r="B34" s="60">
        <v>2.1</v>
      </c>
      <c r="C34" s="61" t="s">
        <v>23</v>
      </c>
      <c r="D34" s="61" t="s">
        <v>28</v>
      </c>
      <c r="E34" s="61" t="s">
        <v>210</v>
      </c>
      <c r="F34" s="125" t="s">
        <v>159</v>
      </c>
      <c r="G34" s="28" t="s">
        <v>478</v>
      </c>
      <c r="H34" s="28" t="s">
        <v>479</v>
      </c>
      <c r="I34" s="125" t="s">
        <v>2641</v>
      </c>
      <c r="J34" s="148" t="str">
        <f t="shared" si="7"/>
        <v>https://doi.org/10.1109/ISSCC.2000.839679</v>
      </c>
      <c r="K34" s="28" t="s">
        <v>1050</v>
      </c>
      <c r="L34" s="60"/>
      <c r="M34" s="60"/>
      <c r="N34" s="60"/>
      <c r="O34" s="56" t="s">
        <v>1050</v>
      </c>
      <c r="P34" s="28">
        <v>261</v>
      </c>
      <c r="Q34" s="68"/>
      <c r="R34" s="63">
        <v>50000000</v>
      </c>
      <c r="S34" s="60"/>
      <c r="T34" s="60">
        <v>75</v>
      </c>
      <c r="U34" s="60"/>
      <c r="V34" s="60"/>
      <c r="W34" s="60"/>
      <c r="X34" s="29">
        <f t="shared" si="0"/>
        <v>75</v>
      </c>
      <c r="Y34" s="63">
        <v>1.25</v>
      </c>
      <c r="Z34" s="63">
        <v>100000000</v>
      </c>
      <c r="AA34" s="64">
        <v>1</v>
      </c>
      <c r="AB34" s="63">
        <f t="shared" ref="AB34:AB65" si="10">Z34/AA34</f>
        <v>100000000</v>
      </c>
      <c r="AC34" s="63" t="s">
        <v>2096</v>
      </c>
      <c r="AD34" s="65">
        <f t="shared" si="2"/>
        <v>12500</v>
      </c>
      <c r="AE34" s="29" t="str">
        <f t="shared" ref="AE34:AE65" si="11">IF(ISNUMBER($Q34), $AD34*1000/2^(($Q34-1.76)/6.02), "")</f>
        <v/>
      </c>
      <c r="AF34" s="29">
        <f t="shared" si="4"/>
        <v>2719.8508082711564</v>
      </c>
      <c r="AG34" s="54" t="str">
        <f t="shared" ref="AG34:AG65" si="12">IF(ISNUMBER($Q34), $Q34+10*LOG10($AB34/2/$Y34), "")</f>
        <v/>
      </c>
      <c r="AH34" s="54">
        <f t="shared" si="6"/>
        <v>151.02059991327963</v>
      </c>
      <c r="AI34" s="66">
        <f t="shared" si="8"/>
        <v>2.7198508082711564E-5</v>
      </c>
      <c r="AJ34" s="67">
        <f t="shared" si="9"/>
        <v>231.02059991327963</v>
      </c>
    </row>
    <row r="35" spans="1:36" x14ac:dyDescent="0.3">
      <c r="A35" s="64">
        <v>2000</v>
      </c>
      <c r="B35" s="60">
        <v>2.2000000000000002</v>
      </c>
      <c r="C35" s="61" t="s">
        <v>23</v>
      </c>
      <c r="D35" s="61" t="s">
        <v>28</v>
      </c>
      <c r="E35" s="61">
        <v>0.5</v>
      </c>
      <c r="F35" s="125" t="s">
        <v>160</v>
      </c>
      <c r="G35" s="28" t="s">
        <v>480</v>
      </c>
      <c r="H35" s="28" t="s">
        <v>481</v>
      </c>
      <c r="I35" s="125" t="s">
        <v>2642</v>
      </c>
      <c r="J35" s="148" t="str">
        <f t="shared" si="7"/>
        <v>https://doi.org/10.1109/ISSCC.2000.839680</v>
      </c>
      <c r="K35" s="28" t="s">
        <v>1050</v>
      </c>
      <c r="L35" s="60"/>
      <c r="M35" s="60"/>
      <c r="N35" s="60"/>
      <c r="O35" s="56" t="s">
        <v>1050</v>
      </c>
      <c r="P35" s="28">
        <v>8.6999999999999993</v>
      </c>
      <c r="Q35" s="68"/>
      <c r="R35" s="63">
        <v>20000000</v>
      </c>
      <c r="S35" s="60"/>
      <c r="T35" s="60">
        <v>66</v>
      </c>
      <c r="U35" s="60"/>
      <c r="V35" s="60"/>
      <c r="W35" s="60">
        <v>82</v>
      </c>
      <c r="X35" s="29">
        <f t="shared" si="0"/>
        <v>66</v>
      </c>
      <c r="Y35" s="63">
        <v>0.8</v>
      </c>
      <c r="Z35" s="63">
        <v>40000000</v>
      </c>
      <c r="AA35" s="64">
        <v>1</v>
      </c>
      <c r="AB35" s="63">
        <f t="shared" si="10"/>
        <v>40000000</v>
      </c>
      <c r="AC35" s="63" t="s">
        <v>2096</v>
      </c>
      <c r="AD35" s="65">
        <f t="shared" si="2"/>
        <v>20000</v>
      </c>
      <c r="AE35" s="29" t="str">
        <f t="shared" si="11"/>
        <v/>
      </c>
      <c r="AF35" s="29">
        <f t="shared" si="4"/>
        <v>12266.196257019459</v>
      </c>
      <c r="AG35" s="54" t="str">
        <f t="shared" si="12"/>
        <v/>
      </c>
      <c r="AH35" s="54">
        <f t="shared" si="6"/>
        <v>139.97940008672037</v>
      </c>
      <c r="AI35" s="66">
        <f t="shared" si="8"/>
        <v>3.0665490642548649E-4</v>
      </c>
      <c r="AJ35" s="67">
        <f t="shared" si="9"/>
        <v>216</v>
      </c>
    </row>
    <row r="36" spans="1:36" x14ac:dyDescent="0.3">
      <c r="A36" s="64">
        <v>2000</v>
      </c>
      <c r="B36" s="60">
        <v>2.2999999999999998</v>
      </c>
      <c r="C36" s="61" t="s">
        <v>23</v>
      </c>
      <c r="D36" s="61" t="s">
        <v>26</v>
      </c>
      <c r="E36" s="61">
        <v>0.5</v>
      </c>
      <c r="F36" s="125" t="s">
        <v>161</v>
      </c>
      <c r="G36" s="28" t="s">
        <v>482</v>
      </c>
      <c r="H36" s="28" t="s">
        <v>483</v>
      </c>
      <c r="I36" s="125" t="s">
        <v>2643</v>
      </c>
      <c r="J36" s="148" t="str">
        <f t="shared" si="7"/>
        <v>https://doi.org/10.1109/ISSCC.2000.839681</v>
      </c>
      <c r="K36" s="28" t="s">
        <v>1050</v>
      </c>
      <c r="L36" s="60"/>
      <c r="M36" s="60"/>
      <c r="N36" s="60"/>
      <c r="O36" s="56" t="s">
        <v>1050</v>
      </c>
      <c r="P36" s="28">
        <v>10</v>
      </c>
      <c r="Q36" s="68"/>
      <c r="R36" s="63">
        <v>32500000</v>
      </c>
      <c r="S36" s="60">
        <v>70</v>
      </c>
      <c r="T36" s="60">
        <v>70</v>
      </c>
      <c r="U36" s="60"/>
      <c r="V36" s="60"/>
      <c r="W36" s="60"/>
      <c r="X36" s="29">
        <f t="shared" si="0"/>
        <v>70</v>
      </c>
      <c r="Y36" s="63">
        <v>0.43</v>
      </c>
      <c r="Z36" s="63">
        <v>65000000</v>
      </c>
      <c r="AA36" s="64">
        <v>1</v>
      </c>
      <c r="AB36" s="63">
        <f t="shared" si="10"/>
        <v>65000000</v>
      </c>
      <c r="AC36" s="63" t="s">
        <v>2096</v>
      </c>
      <c r="AD36" s="65">
        <f t="shared" si="2"/>
        <v>6615.3846153846152</v>
      </c>
      <c r="AE36" s="29" t="str">
        <f t="shared" si="11"/>
        <v/>
      </c>
      <c r="AF36" s="29">
        <f t="shared" si="4"/>
        <v>2559.8533244820019</v>
      </c>
      <c r="AG36" s="54" t="str">
        <f t="shared" si="12"/>
        <v/>
      </c>
      <c r="AH36" s="54">
        <f t="shared" si="6"/>
        <v>148.78414905399288</v>
      </c>
      <c r="AI36" s="66">
        <f t="shared" si="8"/>
        <v>3.9382358838184647E-5</v>
      </c>
      <c r="AJ36" s="67">
        <f t="shared" si="9"/>
        <v>226.91328262042143</v>
      </c>
    </row>
    <row r="37" spans="1:36" x14ac:dyDescent="0.3">
      <c r="A37" s="64">
        <v>2000</v>
      </c>
      <c r="B37" s="60">
        <v>2.4</v>
      </c>
      <c r="C37" s="61" t="s">
        <v>23</v>
      </c>
      <c r="D37" s="61" t="s">
        <v>28</v>
      </c>
      <c r="E37" s="61">
        <v>0.6</v>
      </c>
      <c r="F37" s="125" t="s">
        <v>162</v>
      </c>
      <c r="G37" s="28" t="s">
        <v>484</v>
      </c>
      <c r="H37" s="28" t="s">
        <v>485</v>
      </c>
      <c r="I37" s="125" t="s">
        <v>2644</v>
      </c>
      <c r="J37" s="148" t="str">
        <f t="shared" si="7"/>
        <v>https://doi.org/10.1109/ISSCC.2000.839682</v>
      </c>
      <c r="K37" s="28" t="s">
        <v>1050</v>
      </c>
      <c r="L37" s="60"/>
      <c r="M37" s="60"/>
      <c r="N37" s="60"/>
      <c r="O37" s="56" t="s">
        <v>1050</v>
      </c>
      <c r="P37" s="28">
        <v>16</v>
      </c>
      <c r="Q37" s="68"/>
      <c r="R37" s="63">
        <v>25000000</v>
      </c>
      <c r="S37" s="60">
        <v>64</v>
      </c>
      <c r="T37" s="60"/>
      <c r="U37" s="60"/>
      <c r="V37" s="60"/>
      <c r="W37" s="60">
        <v>82</v>
      </c>
      <c r="X37" s="29">
        <f t="shared" si="0"/>
        <v>64</v>
      </c>
      <c r="Y37" s="63">
        <v>0.85</v>
      </c>
      <c r="Z37" s="63">
        <v>50000000</v>
      </c>
      <c r="AA37" s="64">
        <v>1</v>
      </c>
      <c r="AB37" s="63">
        <f t="shared" si="10"/>
        <v>50000000</v>
      </c>
      <c r="AC37" s="63" t="s">
        <v>2096</v>
      </c>
      <c r="AD37" s="65">
        <f t="shared" si="2"/>
        <v>17000</v>
      </c>
      <c r="AE37" s="29" t="str">
        <f t="shared" si="11"/>
        <v/>
      </c>
      <c r="AF37" s="29">
        <f t="shared" si="4"/>
        <v>13126.19343856709</v>
      </c>
      <c r="AG37" s="54" t="str">
        <f t="shared" si="12"/>
        <v/>
      </c>
      <c r="AH37" s="54">
        <f t="shared" si="6"/>
        <v>138.68521082957744</v>
      </c>
      <c r="AI37" s="66">
        <f t="shared" si="8"/>
        <v>2.6252386877134178E-4</v>
      </c>
      <c r="AJ37" s="67">
        <f t="shared" si="9"/>
        <v>215.67491087293763</v>
      </c>
    </row>
    <row r="38" spans="1:36" x14ac:dyDescent="0.3">
      <c r="A38" s="64">
        <v>2000</v>
      </c>
      <c r="B38" s="60">
        <v>2.5</v>
      </c>
      <c r="C38" s="61" t="s">
        <v>23</v>
      </c>
      <c r="D38" s="61" t="s">
        <v>26</v>
      </c>
      <c r="E38" s="61">
        <v>0.5</v>
      </c>
      <c r="F38" s="125" t="s">
        <v>163</v>
      </c>
      <c r="G38" s="28" t="s">
        <v>486</v>
      </c>
      <c r="H38" s="28" t="s">
        <v>487</v>
      </c>
      <c r="I38" s="125" t="s">
        <v>2645</v>
      </c>
      <c r="J38" s="148" t="str">
        <f t="shared" si="7"/>
        <v>https://doi.org/10.1109/ISSCC.2000.839683</v>
      </c>
      <c r="K38" s="28" t="s">
        <v>1050</v>
      </c>
      <c r="L38" s="60"/>
      <c r="M38" s="60"/>
      <c r="N38" s="60"/>
      <c r="O38" s="56" t="s">
        <v>1050</v>
      </c>
      <c r="P38" s="28">
        <v>10.3</v>
      </c>
      <c r="Q38" s="68"/>
      <c r="R38" s="63">
        <v>40000000</v>
      </c>
      <c r="S38" s="60">
        <v>44.3</v>
      </c>
      <c r="T38" s="60"/>
      <c r="U38" s="60"/>
      <c r="V38" s="60">
        <v>54.9</v>
      </c>
      <c r="W38" s="60">
        <v>59.3</v>
      </c>
      <c r="X38" s="29">
        <f t="shared" si="0"/>
        <v>44.3</v>
      </c>
      <c r="Y38" s="63">
        <v>0.25</v>
      </c>
      <c r="Z38" s="63">
        <v>80000000</v>
      </c>
      <c r="AA38" s="64">
        <v>1</v>
      </c>
      <c r="AB38" s="63">
        <f t="shared" si="10"/>
        <v>80000000</v>
      </c>
      <c r="AC38" s="63" t="s">
        <v>2096</v>
      </c>
      <c r="AD38" s="65">
        <f t="shared" si="2"/>
        <v>3125</v>
      </c>
      <c r="AE38" s="29" t="str">
        <f t="shared" si="11"/>
        <v/>
      </c>
      <c r="AF38" s="29">
        <f t="shared" si="4"/>
        <v>23315.141683901769</v>
      </c>
      <c r="AG38" s="54" t="str">
        <f t="shared" si="12"/>
        <v/>
      </c>
      <c r="AH38" s="54">
        <f t="shared" si="6"/>
        <v>126.34119982655925</v>
      </c>
      <c r="AI38" s="66">
        <f t="shared" si="8"/>
        <v>2.9143927104877213E-4</v>
      </c>
      <c r="AJ38" s="67">
        <f t="shared" si="9"/>
        <v>205.3720996964787</v>
      </c>
    </row>
    <row r="39" spans="1:36" x14ac:dyDescent="0.3">
      <c r="A39" s="64">
        <v>2000</v>
      </c>
      <c r="B39" s="60">
        <v>2.7</v>
      </c>
      <c r="C39" s="61" t="s">
        <v>23</v>
      </c>
      <c r="D39" s="61" t="s">
        <v>26</v>
      </c>
      <c r="E39" s="61">
        <v>0.5</v>
      </c>
      <c r="F39" s="125" t="s">
        <v>164</v>
      </c>
      <c r="G39" s="28" t="s">
        <v>488</v>
      </c>
      <c r="H39" s="28" t="s">
        <v>489</v>
      </c>
      <c r="I39" s="125" t="s">
        <v>2646</v>
      </c>
      <c r="J39" s="148" t="str">
        <f t="shared" si="7"/>
        <v>https://doi.org/10.1109/ISSCC.2000.839685</v>
      </c>
      <c r="K39" s="28" t="s">
        <v>1050</v>
      </c>
      <c r="L39" s="60"/>
      <c r="M39" s="60"/>
      <c r="N39" s="60"/>
      <c r="O39" s="56" t="s">
        <v>1050</v>
      </c>
      <c r="P39" s="28">
        <v>10.8</v>
      </c>
      <c r="Q39" s="68"/>
      <c r="R39" s="63">
        <v>10000000</v>
      </c>
      <c r="S39" s="60"/>
      <c r="T39" s="60">
        <v>73.099999999999994</v>
      </c>
      <c r="U39" s="60">
        <v>83.1</v>
      </c>
      <c r="V39" s="60">
        <v>80.3</v>
      </c>
      <c r="W39" s="60"/>
      <c r="X39" s="29">
        <f t="shared" si="0"/>
        <v>73.099999999999994</v>
      </c>
      <c r="Y39" s="63">
        <v>0.72</v>
      </c>
      <c r="Z39" s="63">
        <v>20000000</v>
      </c>
      <c r="AA39" s="64">
        <v>1</v>
      </c>
      <c r="AB39" s="63">
        <f t="shared" si="10"/>
        <v>20000000</v>
      </c>
      <c r="AC39" s="63" t="s">
        <v>2096</v>
      </c>
      <c r="AD39" s="65">
        <f t="shared" si="2"/>
        <v>36000</v>
      </c>
      <c r="AE39" s="29" t="str">
        <f t="shared" si="11"/>
        <v/>
      </c>
      <c r="AF39" s="29">
        <f t="shared" si="4"/>
        <v>9748.7074366343604</v>
      </c>
      <c r="AG39" s="54" t="str">
        <f t="shared" si="12"/>
        <v/>
      </c>
      <c r="AH39" s="54">
        <f t="shared" si="6"/>
        <v>144.52667503568733</v>
      </c>
      <c r="AI39" s="66">
        <f t="shared" si="8"/>
        <v>4.8743537183171801E-4</v>
      </c>
      <c r="AJ39" s="67">
        <f t="shared" si="9"/>
        <v>217.53697499232715</v>
      </c>
    </row>
    <row r="40" spans="1:36" x14ac:dyDescent="0.3">
      <c r="A40" s="64">
        <v>2000</v>
      </c>
      <c r="B40" s="60">
        <v>20.2</v>
      </c>
      <c r="C40" s="61" t="s">
        <v>22</v>
      </c>
      <c r="D40" s="61" t="s">
        <v>25</v>
      </c>
      <c r="E40" s="61">
        <v>0.65</v>
      </c>
      <c r="F40" s="125" t="s">
        <v>490</v>
      </c>
      <c r="G40" s="28" t="s">
        <v>491</v>
      </c>
      <c r="H40" s="28" t="s">
        <v>492</v>
      </c>
      <c r="I40" s="125" t="s">
        <v>2647</v>
      </c>
      <c r="J40" s="148" t="str">
        <f t="shared" si="7"/>
        <v>https://doi.org/10.1109/ISSCC.2000.839805</v>
      </c>
      <c r="K40" s="28" t="s">
        <v>1050</v>
      </c>
      <c r="L40" s="60"/>
      <c r="M40" s="60"/>
      <c r="N40" s="60"/>
      <c r="O40" s="56" t="s">
        <v>1050</v>
      </c>
      <c r="P40" s="28">
        <v>5.3436000000000003</v>
      </c>
      <c r="Q40" s="68"/>
      <c r="R40" s="63">
        <v>1250000</v>
      </c>
      <c r="S40" s="60">
        <v>89</v>
      </c>
      <c r="T40" s="60">
        <v>95</v>
      </c>
      <c r="U40" s="60">
        <v>97</v>
      </c>
      <c r="V40" s="60">
        <v>97</v>
      </c>
      <c r="W40" s="60"/>
      <c r="X40" s="29">
        <f t="shared" si="0"/>
        <v>89</v>
      </c>
      <c r="Y40" s="63">
        <v>0.29499999999999998</v>
      </c>
      <c r="Z40" s="63">
        <v>60000000</v>
      </c>
      <c r="AA40" s="64">
        <v>24</v>
      </c>
      <c r="AB40" s="63">
        <f t="shared" si="10"/>
        <v>2500000</v>
      </c>
      <c r="AC40" s="63" t="s">
        <v>2096</v>
      </c>
      <c r="AD40" s="65">
        <f t="shared" si="2"/>
        <v>118000</v>
      </c>
      <c r="AE40" s="29" t="str">
        <f t="shared" si="11"/>
        <v/>
      </c>
      <c r="AF40" s="29">
        <f t="shared" si="4"/>
        <v>5122.0913462278095</v>
      </c>
      <c r="AG40" s="54" t="str">
        <f t="shared" si="12"/>
        <v/>
      </c>
      <c r="AH40" s="54">
        <f t="shared" si="6"/>
        <v>155.27087997029895</v>
      </c>
      <c r="AI40" s="66">
        <f t="shared" si="8"/>
        <v>2.0488365384911237E-3</v>
      </c>
      <c r="AJ40" s="67">
        <f t="shared" si="9"/>
        <v>219.25028005701932</v>
      </c>
    </row>
    <row r="41" spans="1:36" x14ac:dyDescent="0.3">
      <c r="A41" s="64">
        <v>2000</v>
      </c>
      <c r="B41" s="60">
        <v>20.3</v>
      </c>
      <c r="C41" s="61" t="s">
        <v>22</v>
      </c>
      <c r="D41" s="61" t="s">
        <v>25</v>
      </c>
      <c r="E41" s="61">
        <v>0.5</v>
      </c>
      <c r="F41" s="125" t="s">
        <v>493</v>
      </c>
      <c r="G41" s="28" t="s">
        <v>494</v>
      </c>
      <c r="H41" s="28" t="s">
        <v>495</v>
      </c>
      <c r="I41" s="125" t="s">
        <v>2648</v>
      </c>
      <c r="J41" s="148" t="str">
        <f t="shared" si="7"/>
        <v>https://doi.org/10.1109/ISSCC.2000.839806</v>
      </c>
      <c r="K41" s="28" t="s">
        <v>1050</v>
      </c>
      <c r="L41" s="60"/>
      <c r="M41" s="60"/>
      <c r="N41" s="60"/>
      <c r="O41" s="56" t="s">
        <v>1050</v>
      </c>
      <c r="P41" s="28">
        <v>26.24</v>
      </c>
      <c r="Q41" s="68"/>
      <c r="R41" s="63">
        <v>1250000</v>
      </c>
      <c r="S41" s="60">
        <v>84</v>
      </c>
      <c r="T41" s="60">
        <v>90</v>
      </c>
      <c r="U41" s="60">
        <v>90</v>
      </c>
      <c r="V41" s="60"/>
      <c r="W41" s="60">
        <v>102</v>
      </c>
      <c r="X41" s="29">
        <f t="shared" si="0"/>
        <v>84</v>
      </c>
      <c r="Y41" s="63">
        <v>0.27</v>
      </c>
      <c r="Z41" s="63">
        <v>20000000</v>
      </c>
      <c r="AA41" s="64">
        <v>8</v>
      </c>
      <c r="AB41" s="63">
        <f t="shared" si="10"/>
        <v>2500000</v>
      </c>
      <c r="AC41" s="63" t="s">
        <v>2096</v>
      </c>
      <c r="AD41" s="65">
        <f t="shared" si="2"/>
        <v>108000</v>
      </c>
      <c r="AE41" s="29" t="str">
        <f t="shared" si="11"/>
        <v/>
      </c>
      <c r="AF41" s="29">
        <f t="shared" si="4"/>
        <v>8337.0802296787897</v>
      </c>
      <c r="AG41" s="54" t="str">
        <f t="shared" si="12"/>
        <v/>
      </c>
      <c r="AH41" s="54">
        <f t="shared" si="6"/>
        <v>150.65546248849068</v>
      </c>
      <c r="AI41" s="66">
        <f t="shared" si="8"/>
        <v>3.3348320918715159E-3</v>
      </c>
      <c r="AJ41" s="67">
        <f t="shared" si="9"/>
        <v>214.63486257521106</v>
      </c>
    </row>
    <row r="42" spans="1:36" x14ac:dyDescent="0.3">
      <c r="A42" s="64">
        <v>2000</v>
      </c>
      <c r="B42" s="60">
        <v>20.399999999999999</v>
      </c>
      <c r="C42" s="61" t="s">
        <v>22</v>
      </c>
      <c r="D42" s="61" t="s">
        <v>1955</v>
      </c>
      <c r="E42" s="61">
        <v>0.35</v>
      </c>
      <c r="F42" s="125" t="s">
        <v>496</v>
      </c>
      <c r="G42" s="28" t="s">
        <v>369</v>
      </c>
      <c r="H42" s="28" t="s">
        <v>370</v>
      </c>
      <c r="I42" s="125" t="s">
        <v>2649</v>
      </c>
      <c r="J42" s="148" t="str">
        <f t="shared" si="7"/>
        <v>https://doi.org/10.1109/ISSCC.2000.839807</v>
      </c>
      <c r="K42" s="28" t="s">
        <v>1050</v>
      </c>
      <c r="L42" s="60"/>
      <c r="M42" s="60"/>
      <c r="N42" s="60"/>
      <c r="O42" s="56" t="s">
        <v>1050</v>
      </c>
      <c r="P42" s="28">
        <v>0.6</v>
      </c>
      <c r="Q42" s="68"/>
      <c r="R42" s="63">
        <v>200000</v>
      </c>
      <c r="S42" s="60"/>
      <c r="T42" s="60">
        <v>77</v>
      </c>
      <c r="U42" s="60">
        <v>80</v>
      </c>
      <c r="V42" s="60"/>
      <c r="W42" s="60"/>
      <c r="X42" s="29">
        <f t="shared" si="0"/>
        <v>77</v>
      </c>
      <c r="Y42" s="63">
        <v>0.01</v>
      </c>
      <c r="Z42" s="63">
        <v>21070000</v>
      </c>
      <c r="AA42" s="64">
        <v>52.674999999999997</v>
      </c>
      <c r="AB42" s="63">
        <f t="shared" si="10"/>
        <v>400000</v>
      </c>
      <c r="AC42" s="63">
        <v>10700000</v>
      </c>
      <c r="AD42" s="65">
        <f t="shared" si="2"/>
        <v>25000</v>
      </c>
      <c r="AE42" s="29" t="str">
        <f t="shared" si="11"/>
        <v/>
      </c>
      <c r="AF42" s="29">
        <f t="shared" si="4"/>
        <v>4320.8094359079587</v>
      </c>
      <c r="AG42" s="54" t="str">
        <f t="shared" si="12"/>
        <v/>
      </c>
      <c r="AH42" s="54">
        <f t="shared" si="6"/>
        <v>150.01029995663981</v>
      </c>
      <c r="AI42" s="66">
        <f t="shared" si="8"/>
        <v>1.0802023589769897E-2</v>
      </c>
      <c r="AJ42" s="67">
        <f t="shared" si="9"/>
        <v>206.03089986991944</v>
      </c>
    </row>
    <row r="43" spans="1:36" x14ac:dyDescent="0.3">
      <c r="A43" s="64">
        <v>2000</v>
      </c>
      <c r="B43" s="60">
        <v>20.5</v>
      </c>
      <c r="C43" s="61" t="s">
        <v>22</v>
      </c>
      <c r="D43" s="61" t="s">
        <v>1957</v>
      </c>
      <c r="E43" s="61">
        <v>0.25</v>
      </c>
      <c r="F43" s="125" t="s">
        <v>371</v>
      </c>
      <c r="G43" s="28" t="s">
        <v>372</v>
      </c>
      <c r="H43" s="28" t="s">
        <v>373</v>
      </c>
      <c r="I43" s="125" t="s">
        <v>2244</v>
      </c>
      <c r="J43" s="148" t="str">
        <f t="shared" si="7"/>
        <v>https://doi.org/10.1109/ISSCC.2000.839808</v>
      </c>
      <c r="K43" s="28" t="s">
        <v>1050</v>
      </c>
      <c r="L43" s="60"/>
      <c r="M43" s="60"/>
      <c r="N43" s="60"/>
      <c r="O43" s="56" t="s">
        <v>1050</v>
      </c>
      <c r="P43" s="28">
        <v>2.8</v>
      </c>
      <c r="Q43" s="68"/>
      <c r="R43" s="63">
        <v>2000000</v>
      </c>
      <c r="S43" s="60">
        <v>70</v>
      </c>
      <c r="T43" s="60"/>
      <c r="U43" s="60">
        <v>75</v>
      </c>
      <c r="V43" s="60"/>
      <c r="W43" s="60"/>
      <c r="X43" s="29">
        <f t="shared" si="0"/>
        <v>70</v>
      </c>
      <c r="Y43" s="63">
        <v>0.11</v>
      </c>
      <c r="Z43" s="63">
        <v>64000000</v>
      </c>
      <c r="AA43" s="64">
        <v>16</v>
      </c>
      <c r="AB43" s="63">
        <f t="shared" si="10"/>
        <v>4000000</v>
      </c>
      <c r="AC43" s="63">
        <v>16000000</v>
      </c>
      <c r="AD43" s="65">
        <f t="shared" si="2"/>
        <v>27500</v>
      </c>
      <c r="AE43" s="29" t="str">
        <f t="shared" si="11"/>
        <v/>
      </c>
      <c r="AF43" s="29">
        <f t="shared" si="4"/>
        <v>10641.25073839902</v>
      </c>
      <c r="AG43" s="54" t="str">
        <f t="shared" si="12"/>
        <v/>
      </c>
      <c r="AH43" s="54">
        <f t="shared" si="6"/>
        <v>142.59637310505755</v>
      </c>
      <c r="AI43" s="66">
        <f t="shared" si="8"/>
        <v>2.6603126845997551E-3</v>
      </c>
      <c r="AJ43" s="67">
        <f t="shared" si="9"/>
        <v>208.61697301833718</v>
      </c>
    </row>
    <row r="44" spans="1:36" x14ac:dyDescent="0.3">
      <c r="A44" s="59">
        <v>2001</v>
      </c>
      <c r="B44" s="60">
        <v>3.1</v>
      </c>
      <c r="C44" s="61" t="s">
        <v>22</v>
      </c>
      <c r="D44" s="61" t="s">
        <v>25</v>
      </c>
      <c r="E44" s="61">
        <v>0.25</v>
      </c>
      <c r="F44" s="125" t="s">
        <v>374</v>
      </c>
      <c r="G44" s="28" t="s">
        <v>375</v>
      </c>
      <c r="H44" s="28" t="s">
        <v>376</v>
      </c>
      <c r="I44" s="125" t="s">
        <v>2650</v>
      </c>
      <c r="J44" s="148" t="str">
        <f t="shared" si="7"/>
        <v>https://doi.org/10.1109/ISSCC.2001.912538</v>
      </c>
      <c r="K44" s="28" t="s">
        <v>1051</v>
      </c>
      <c r="L44" s="60"/>
      <c r="M44" s="60"/>
      <c r="N44" s="60"/>
      <c r="O44" s="56" t="s">
        <v>1050</v>
      </c>
      <c r="P44" s="28">
        <v>0.36</v>
      </c>
      <c r="Q44" s="68"/>
      <c r="R44" s="63">
        <v>5000000</v>
      </c>
      <c r="S44" s="60">
        <v>51</v>
      </c>
      <c r="T44" s="60">
        <v>52</v>
      </c>
      <c r="U44" s="60">
        <v>53</v>
      </c>
      <c r="V44" s="60">
        <v>58</v>
      </c>
      <c r="W44" s="60"/>
      <c r="X44" s="29">
        <f t="shared" si="0"/>
        <v>51</v>
      </c>
      <c r="Y44" s="63">
        <v>1.35E-2</v>
      </c>
      <c r="Z44" s="63">
        <v>138240000</v>
      </c>
      <c r="AA44" s="64">
        <v>13.824</v>
      </c>
      <c r="AB44" s="63">
        <f t="shared" si="10"/>
        <v>10000000</v>
      </c>
      <c r="AC44" s="63" t="s">
        <v>2096</v>
      </c>
      <c r="AD44" s="65">
        <f t="shared" si="2"/>
        <v>1350</v>
      </c>
      <c r="AE44" s="29" t="str">
        <f t="shared" si="11"/>
        <v/>
      </c>
      <c r="AF44" s="29">
        <f t="shared" si="4"/>
        <v>4656.8089601404463</v>
      </c>
      <c r="AG44" s="54" t="str">
        <f t="shared" si="12"/>
        <v/>
      </c>
      <c r="AH44" s="54">
        <f t="shared" si="6"/>
        <v>136.68636235841012</v>
      </c>
      <c r="AI44" s="66">
        <f t="shared" si="8"/>
        <v>4.6568089601404464E-4</v>
      </c>
      <c r="AJ44" s="67">
        <f t="shared" si="9"/>
        <v>206.68636235841012</v>
      </c>
    </row>
    <row r="45" spans="1:36" x14ac:dyDescent="0.3">
      <c r="A45" s="64">
        <v>2001</v>
      </c>
      <c r="B45" s="60">
        <v>3.2</v>
      </c>
      <c r="C45" s="61" t="s">
        <v>22</v>
      </c>
      <c r="D45" s="61" t="s">
        <v>25</v>
      </c>
      <c r="E45" s="61" t="s">
        <v>205</v>
      </c>
      <c r="F45" s="125" t="s">
        <v>377</v>
      </c>
      <c r="G45" s="28" t="s">
        <v>378</v>
      </c>
      <c r="H45" s="28" t="s">
        <v>379</v>
      </c>
      <c r="I45" s="125" t="s">
        <v>2651</v>
      </c>
      <c r="J45" s="148" t="str">
        <f t="shared" si="7"/>
        <v>https://doi.org/10.1109/ISSCC.2001.912539</v>
      </c>
      <c r="K45" s="28" t="s">
        <v>1050</v>
      </c>
      <c r="L45" s="60"/>
      <c r="M45" s="60"/>
      <c r="N45" s="60"/>
      <c r="O45" s="56" t="s">
        <v>1050</v>
      </c>
      <c r="P45" s="28">
        <v>0.4</v>
      </c>
      <c r="Q45" s="68"/>
      <c r="R45" s="63">
        <v>189000</v>
      </c>
      <c r="S45" s="60">
        <v>84</v>
      </c>
      <c r="T45" s="60"/>
      <c r="U45" s="60">
        <v>84</v>
      </c>
      <c r="V45" s="60"/>
      <c r="W45" s="60"/>
      <c r="X45" s="29">
        <f t="shared" si="0"/>
        <v>84</v>
      </c>
      <c r="Y45" s="63">
        <v>5.0000000000000001E-3</v>
      </c>
      <c r="Z45" s="63">
        <v>13000000</v>
      </c>
      <c r="AA45" s="64">
        <v>34.391534391534393</v>
      </c>
      <c r="AB45" s="63">
        <f t="shared" si="10"/>
        <v>378000</v>
      </c>
      <c r="AC45" s="63" t="s">
        <v>2096</v>
      </c>
      <c r="AD45" s="65">
        <f t="shared" si="2"/>
        <v>13227.513227513227</v>
      </c>
      <c r="AE45" s="29" t="str">
        <f t="shared" si="11"/>
        <v/>
      </c>
      <c r="AF45" s="29">
        <f t="shared" si="4"/>
        <v>1021.1003612677335</v>
      </c>
      <c r="AG45" s="54" t="str">
        <f t="shared" si="12"/>
        <v/>
      </c>
      <c r="AH45" s="54">
        <f t="shared" si="6"/>
        <v>159.77491799837225</v>
      </c>
      <c r="AI45" s="66">
        <f t="shared" si="8"/>
        <v>2.7013237070574962E-3</v>
      </c>
      <c r="AJ45" s="67">
        <f t="shared" si="9"/>
        <v>215.54983599674449</v>
      </c>
    </row>
    <row r="46" spans="1:36" x14ac:dyDescent="0.3">
      <c r="A46" s="64">
        <v>2001</v>
      </c>
      <c r="B46" s="60">
        <v>3.4</v>
      </c>
      <c r="C46" s="61" t="s">
        <v>22</v>
      </c>
      <c r="D46" s="61" t="s">
        <v>25</v>
      </c>
      <c r="E46" s="61">
        <v>0.5</v>
      </c>
      <c r="F46" s="125" t="s">
        <v>380</v>
      </c>
      <c r="G46" s="28" t="s">
        <v>381</v>
      </c>
      <c r="H46" s="28" t="s">
        <v>382</v>
      </c>
      <c r="I46" s="125" t="s">
        <v>2652</v>
      </c>
      <c r="J46" s="148" t="str">
        <f t="shared" si="7"/>
        <v>https://doi.org/10.1109/ISSCC.2001.912541</v>
      </c>
      <c r="K46" s="28" t="s">
        <v>1050</v>
      </c>
      <c r="L46" s="60">
        <v>2.5</v>
      </c>
      <c r="M46" s="60"/>
      <c r="N46" s="60"/>
      <c r="O46" s="56" t="s">
        <v>1050</v>
      </c>
      <c r="P46" s="70"/>
      <c r="Q46" s="68"/>
      <c r="R46" s="63">
        <v>2000000</v>
      </c>
      <c r="S46" s="60">
        <v>87</v>
      </c>
      <c r="T46" s="60">
        <v>90</v>
      </c>
      <c r="U46" s="60">
        <v>95</v>
      </c>
      <c r="V46" s="60"/>
      <c r="W46" s="60"/>
      <c r="X46" s="29">
        <f t="shared" si="0"/>
        <v>87</v>
      </c>
      <c r="Y46" s="63">
        <v>0.15</v>
      </c>
      <c r="Z46" s="63">
        <v>64000000</v>
      </c>
      <c r="AA46" s="64">
        <v>16</v>
      </c>
      <c r="AB46" s="63">
        <f t="shared" si="10"/>
        <v>4000000</v>
      </c>
      <c r="AC46" s="63" t="s">
        <v>2096</v>
      </c>
      <c r="AD46" s="65">
        <f t="shared" si="2"/>
        <v>37500</v>
      </c>
      <c r="AE46" s="29" t="str">
        <f t="shared" si="11"/>
        <v/>
      </c>
      <c r="AF46" s="29">
        <f t="shared" si="4"/>
        <v>2049.3047423611893</v>
      </c>
      <c r="AG46" s="54" t="str">
        <f t="shared" si="12"/>
        <v/>
      </c>
      <c r="AH46" s="54">
        <f t="shared" si="6"/>
        <v>158.249387366083</v>
      </c>
      <c r="AI46" s="66">
        <f t="shared" si="8"/>
        <v>5.1232618559029727E-4</v>
      </c>
      <c r="AJ46" s="67">
        <f t="shared" si="9"/>
        <v>224.26998727936262</v>
      </c>
    </row>
    <row r="47" spans="1:36" x14ac:dyDescent="0.3">
      <c r="A47" s="64">
        <v>2001</v>
      </c>
      <c r="B47" s="60">
        <v>8.1</v>
      </c>
      <c r="C47" s="61" t="s">
        <v>23</v>
      </c>
      <c r="D47" s="61" t="s">
        <v>27</v>
      </c>
      <c r="E47" s="61">
        <v>0.35</v>
      </c>
      <c r="F47" s="125" t="s">
        <v>165</v>
      </c>
      <c r="G47" s="28" t="s">
        <v>2654</v>
      </c>
      <c r="H47" s="28" t="s">
        <v>166</v>
      </c>
      <c r="I47" s="125" t="s">
        <v>2653</v>
      </c>
      <c r="J47" s="148" t="str">
        <f t="shared" si="7"/>
        <v>https://doi.org/10.1109/ISSCC.2001.912571</v>
      </c>
      <c r="K47" s="28" t="s">
        <v>1050</v>
      </c>
      <c r="L47" s="60"/>
      <c r="M47" s="60"/>
      <c r="N47" s="60"/>
      <c r="O47" s="56" t="s">
        <v>1050</v>
      </c>
      <c r="P47" s="28">
        <v>0.8</v>
      </c>
      <c r="Q47" s="68"/>
      <c r="R47" s="63">
        <v>650000000</v>
      </c>
      <c r="S47" s="60">
        <v>35</v>
      </c>
      <c r="T47" s="60"/>
      <c r="U47" s="60"/>
      <c r="V47" s="60"/>
      <c r="W47" s="60">
        <v>44</v>
      </c>
      <c r="X47" s="29">
        <f t="shared" si="0"/>
        <v>35</v>
      </c>
      <c r="Y47" s="63">
        <v>0.54500000000000004</v>
      </c>
      <c r="Z47" s="63">
        <v>1300000000</v>
      </c>
      <c r="AA47" s="64">
        <v>1</v>
      </c>
      <c r="AB47" s="63">
        <f t="shared" si="10"/>
        <v>1300000000</v>
      </c>
      <c r="AC47" s="63" t="s">
        <v>2096</v>
      </c>
      <c r="AD47" s="65">
        <f t="shared" si="2"/>
        <v>419.23076923076928</v>
      </c>
      <c r="AE47" s="29" t="str">
        <f t="shared" si="11"/>
        <v/>
      </c>
      <c r="AF47" s="29">
        <f t="shared" si="4"/>
        <v>9126.1483900944786</v>
      </c>
      <c r="AG47" s="54" t="str">
        <f t="shared" si="12"/>
        <v/>
      </c>
      <c r="AH47" s="54">
        <f t="shared" si="6"/>
        <v>125.76516854366213</v>
      </c>
      <c r="AI47" s="66">
        <f t="shared" si="8"/>
        <v>7.0201141462265222E-6</v>
      </c>
      <c r="AJ47" s="67">
        <f t="shared" si="9"/>
        <v>216.90460206673049</v>
      </c>
    </row>
    <row r="48" spans="1:36" x14ac:dyDescent="0.3">
      <c r="A48" s="64">
        <v>2001</v>
      </c>
      <c r="B48" s="60">
        <v>8.1999999999999993</v>
      </c>
      <c r="C48" s="61" t="s">
        <v>23</v>
      </c>
      <c r="D48" s="61" t="s">
        <v>27</v>
      </c>
      <c r="E48" s="61">
        <v>0.35</v>
      </c>
      <c r="F48" s="125" t="s">
        <v>167</v>
      </c>
      <c r="G48" s="28" t="s">
        <v>2655</v>
      </c>
      <c r="H48" s="28" t="s">
        <v>168</v>
      </c>
      <c r="I48" s="125" t="s">
        <v>2657</v>
      </c>
      <c r="J48" s="148" t="str">
        <f t="shared" si="7"/>
        <v>https://doi.org/10.1109/ISSCC.2001.912572</v>
      </c>
      <c r="K48" s="28" t="s">
        <v>1050</v>
      </c>
      <c r="L48" s="60"/>
      <c r="M48" s="60"/>
      <c r="N48" s="60"/>
      <c r="O48" s="56" t="s">
        <v>1050</v>
      </c>
      <c r="P48" s="28">
        <v>0.35</v>
      </c>
      <c r="Q48" s="68"/>
      <c r="R48" s="63">
        <v>550000000</v>
      </c>
      <c r="S48" s="60">
        <f>5.65*6.02+1.76</f>
        <v>35.772999999999996</v>
      </c>
      <c r="T48" s="60"/>
      <c r="U48" s="60"/>
      <c r="V48" s="60"/>
      <c r="W48" s="60"/>
      <c r="X48" s="29">
        <f t="shared" si="0"/>
        <v>35.772999999999996</v>
      </c>
      <c r="Y48" s="63">
        <v>0.3</v>
      </c>
      <c r="Z48" s="63">
        <v>1100000000</v>
      </c>
      <c r="AA48" s="64">
        <v>1</v>
      </c>
      <c r="AB48" s="63">
        <f t="shared" si="10"/>
        <v>1100000000</v>
      </c>
      <c r="AC48" s="63" t="s">
        <v>2096</v>
      </c>
      <c r="AD48" s="65">
        <f t="shared" si="2"/>
        <v>272.72727272727275</v>
      </c>
      <c r="AE48" s="29" t="str">
        <f t="shared" si="11"/>
        <v/>
      </c>
      <c r="AF48" s="29">
        <f t="shared" si="4"/>
        <v>5431.3663095991287</v>
      </c>
      <c r="AG48" s="54" t="str">
        <f t="shared" si="12"/>
        <v/>
      </c>
      <c r="AH48" s="54">
        <f t="shared" si="6"/>
        <v>128.40541434774582</v>
      </c>
      <c r="AI48" s="66">
        <f t="shared" si="8"/>
        <v>4.9376057359992076E-6</v>
      </c>
      <c r="AJ48" s="67">
        <f t="shared" si="9"/>
        <v>218.81934119932808</v>
      </c>
    </row>
    <row r="49" spans="1:36" x14ac:dyDescent="0.3">
      <c r="A49" s="64">
        <v>2001</v>
      </c>
      <c r="B49" s="60">
        <v>8.3000000000000007</v>
      </c>
      <c r="C49" s="61" t="s">
        <v>23</v>
      </c>
      <c r="D49" s="61" t="s">
        <v>26</v>
      </c>
      <c r="E49" s="61">
        <v>0.18</v>
      </c>
      <c r="F49" s="125" t="s">
        <v>169</v>
      </c>
      <c r="G49" s="28" t="s">
        <v>2656</v>
      </c>
      <c r="H49" s="28" t="s">
        <v>501</v>
      </c>
      <c r="I49" s="125" t="s">
        <v>2661</v>
      </c>
      <c r="J49" s="148" t="str">
        <f t="shared" si="7"/>
        <v>https://doi.org/10.1109/ISSCC.2001.912573</v>
      </c>
      <c r="K49" s="28" t="s">
        <v>1050</v>
      </c>
      <c r="L49" s="60">
        <v>1.8</v>
      </c>
      <c r="M49" s="60"/>
      <c r="N49" s="60"/>
      <c r="O49" s="56" t="s">
        <v>1050</v>
      </c>
      <c r="P49" s="28">
        <v>2.5</v>
      </c>
      <c r="Q49" s="68"/>
      <c r="R49" s="63">
        <v>50000000</v>
      </c>
      <c r="S49" s="60">
        <v>57.12</v>
      </c>
      <c r="T49" s="60">
        <v>58.39</v>
      </c>
      <c r="U49" s="60"/>
      <c r="V49" s="60"/>
      <c r="W49" s="60">
        <v>63.95</v>
      </c>
      <c r="X49" s="29">
        <f t="shared" si="0"/>
        <v>57.12</v>
      </c>
      <c r="Y49" s="63">
        <v>0.18</v>
      </c>
      <c r="Z49" s="63">
        <v>100000000</v>
      </c>
      <c r="AA49" s="64">
        <v>1</v>
      </c>
      <c r="AB49" s="63">
        <f t="shared" si="10"/>
        <v>100000000</v>
      </c>
      <c r="AC49" s="63" t="s">
        <v>2096</v>
      </c>
      <c r="AD49" s="65">
        <f t="shared" si="2"/>
        <v>1800</v>
      </c>
      <c r="AE49" s="29" t="str">
        <f t="shared" si="11"/>
        <v/>
      </c>
      <c r="AF49" s="29">
        <f t="shared" si="4"/>
        <v>3068.9984181125528</v>
      </c>
      <c r="AG49" s="54" t="str">
        <f t="shared" si="12"/>
        <v/>
      </c>
      <c r="AH49" s="54">
        <f t="shared" si="6"/>
        <v>141.55697499232713</v>
      </c>
      <c r="AI49" s="66">
        <f t="shared" si="8"/>
        <v>3.068998418112553E-5</v>
      </c>
      <c r="AJ49" s="67">
        <f t="shared" si="9"/>
        <v>221.55697499232713</v>
      </c>
    </row>
    <row r="50" spans="1:36" x14ac:dyDescent="0.3">
      <c r="A50" s="64">
        <v>2001</v>
      </c>
      <c r="B50" s="60">
        <v>8.4</v>
      </c>
      <c r="C50" s="61" t="s">
        <v>23</v>
      </c>
      <c r="D50" s="61" t="s">
        <v>29</v>
      </c>
      <c r="E50" s="61">
        <v>0.25</v>
      </c>
      <c r="F50" s="125" t="s">
        <v>502</v>
      </c>
      <c r="G50" s="28" t="s">
        <v>2658</v>
      </c>
      <c r="H50" s="28" t="s">
        <v>170</v>
      </c>
      <c r="I50" s="125" t="s">
        <v>2660</v>
      </c>
      <c r="J50" s="148" t="str">
        <f t="shared" si="7"/>
        <v>https://doi.org/10.1109/ISSCC.2001.912574</v>
      </c>
      <c r="K50" s="28" t="s">
        <v>1103</v>
      </c>
      <c r="L50" s="60">
        <v>2.5</v>
      </c>
      <c r="M50" s="60"/>
      <c r="N50" s="60"/>
      <c r="O50" s="56" t="s">
        <v>1050</v>
      </c>
      <c r="P50" s="28">
        <v>1</v>
      </c>
      <c r="Q50" s="68"/>
      <c r="R50" s="63">
        <v>27000000</v>
      </c>
      <c r="S50" s="60">
        <v>67</v>
      </c>
      <c r="T50" s="60"/>
      <c r="U50" s="60"/>
      <c r="V50" s="60">
        <v>70</v>
      </c>
      <c r="W50" s="60"/>
      <c r="X50" s="29">
        <f t="shared" si="0"/>
        <v>67</v>
      </c>
      <c r="Y50" s="63">
        <v>0.29499999999999998</v>
      </c>
      <c r="Z50" s="63">
        <v>54000000</v>
      </c>
      <c r="AA50" s="64">
        <v>1</v>
      </c>
      <c r="AB50" s="63">
        <f t="shared" si="10"/>
        <v>54000000</v>
      </c>
      <c r="AC50" s="63" t="s">
        <v>2096</v>
      </c>
      <c r="AD50" s="65">
        <f t="shared" si="2"/>
        <v>5462.9629629629626</v>
      </c>
      <c r="AE50" s="29" t="str">
        <f t="shared" si="11"/>
        <v/>
      </c>
      <c r="AF50" s="29">
        <f t="shared" si="4"/>
        <v>2986.0920197726091</v>
      </c>
      <c r="AG50" s="54" t="str">
        <f t="shared" si="12"/>
        <v/>
      </c>
      <c r="AH50" s="54">
        <f t="shared" si="6"/>
        <v>146.61541748180824</v>
      </c>
      <c r="AI50" s="66">
        <f t="shared" si="8"/>
        <v>5.5298000366159426E-5</v>
      </c>
      <c r="AJ50" s="67">
        <f t="shared" si="9"/>
        <v>223.9393550800379</v>
      </c>
    </row>
    <row r="51" spans="1:36" x14ac:dyDescent="0.3">
      <c r="A51" s="64">
        <v>2001</v>
      </c>
      <c r="B51" s="60">
        <v>8.5</v>
      </c>
      <c r="C51" s="61" t="s">
        <v>23</v>
      </c>
      <c r="D51" s="61" t="s">
        <v>26</v>
      </c>
      <c r="E51" s="61">
        <v>0.35</v>
      </c>
      <c r="F51" s="125" t="s">
        <v>503</v>
      </c>
      <c r="G51" s="28" t="s">
        <v>2659</v>
      </c>
      <c r="H51" s="28" t="s">
        <v>504</v>
      </c>
      <c r="I51" s="125" t="s">
        <v>2662</v>
      </c>
      <c r="J51" s="148" t="str">
        <f t="shared" si="7"/>
        <v>https://doi.org/10.1109/ISSCC.2001.912575</v>
      </c>
      <c r="K51" s="28" t="s">
        <v>1050</v>
      </c>
      <c r="L51" s="60">
        <v>3</v>
      </c>
      <c r="M51" s="60"/>
      <c r="N51" s="60"/>
      <c r="O51" s="56" t="s">
        <v>1050</v>
      </c>
      <c r="P51" s="28">
        <v>7.8</v>
      </c>
      <c r="Q51" s="68"/>
      <c r="R51" s="63">
        <v>37500000</v>
      </c>
      <c r="S51" s="60">
        <v>72.8</v>
      </c>
      <c r="T51" s="60"/>
      <c r="U51" s="60"/>
      <c r="V51" s="60"/>
      <c r="W51" s="60">
        <v>86</v>
      </c>
      <c r="X51" s="29">
        <f t="shared" si="0"/>
        <v>72.8</v>
      </c>
      <c r="Y51" s="63">
        <v>0.318</v>
      </c>
      <c r="Z51" s="63">
        <v>75000000</v>
      </c>
      <c r="AA51" s="64">
        <v>1</v>
      </c>
      <c r="AB51" s="63">
        <f t="shared" si="10"/>
        <v>75000000</v>
      </c>
      <c r="AC51" s="63" t="s">
        <v>2096</v>
      </c>
      <c r="AD51" s="65">
        <f t="shared" si="2"/>
        <v>4240</v>
      </c>
      <c r="AE51" s="29" t="str">
        <f t="shared" si="11"/>
        <v/>
      </c>
      <c r="AF51" s="29">
        <f t="shared" si="4"/>
        <v>1188.5347604369215</v>
      </c>
      <c r="AG51" s="54" t="str">
        <f t="shared" si="12"/>
        <v/>
      </c>
      <c r="AH51" s="54">
        <f t="shared" si="6"/>
        <v>153.51604147743285</v>
      </c>
      <c r="AI51" s="66">
        <f t="shared" si="8"/>
        <v>1.5847130139158953E-5</v>
      </c>
      <c r="AJ51" s="67">
        <f t="shared" si="9"/>
        <v>232.26665411134985</v>
      </c>
    </row>
    <row r="52" spans="1:36" x14ac:dyDescent="0.3">
      <c r="A52" s="64">
        <v>2001</v>
      </c>
      <c r="B52" s="60">
        <v>8.6</v>
      </c>
      <c r="C52" s="61" t="s">
        <v>23</v>
      </c>
      <c r="D52" s="61" t="s">
        <v>26</v>
      </c>
      <c r="E52" s="61" t="s">
        <v>207</v>
      </c>
      <c r="F52" s="125" t="s">
        <v>505</v>
      </c>
      <c r="G52" s="28" t="s">
        <v>2664</v>
      </c>
      <c r="H52" s="28" t="s">
        <v>506</v>
      </c>
      <c r="I52" s="125" t="s">
        <v>2663</v>
      </c>
      <c r="J52" s="148" t="str">
        <f t="shared" si="7"/>
        <v>https://doi.org/10.1109/ISSCC.2001.912576</v>
      </c>
      <c r="K52" s="28" t="s">
        <v>1050</v>
      </c>
      <c r="L52" s="60">
        <v>3.3</v>
      </c>
      <c r="M52" s="60"/>
      <c r="N52" s="60"/>
      <c r="O52" s="56" t="s">
        <v>1050</v>
      </c>
      <c r="P52" s="28">
        <v>31.35</v>
      </c>
      <c r="Q52" s="68"/>
      <c r="R52" s="63">
        <v>20000000</v>
      </c>
      <c r="S52" s="60"/>
      <c r="T52" s="60">
        <v>74</v>
      </c>
      <c r="U52" s="60"/>
      <c r="V52" s="60"/>
      <c r="W52" s="60">
        <v>84</v>
      </c>
      <c r="X52" s="29">
        <f t="shared" si="0"/>
        <v>74</v>
      </c>
      <c r="Y52" s="63">
        <v>0.86</v>
      </c>
      <c r="Z52" s="63">
        <v>40000000</v>
      </c>
      <c r="AA52" s="64">
        <v>1</v>
      </c>
      <c r="AB52" s="63">
        <f t="shared" si="10"/>
        <v>40000000</v>
      </c>
      <c r="AC52" s="63" t="s">
        <v>2096</v>
      </c>
      <c r="AD52" s="65">
        <f t="shared" si="2"/>
        <v>21500</v>
      </c>
      <c r="AE52" s="29" t="str">
        <f t="shared" si="11"/>
        <v/>
      </c>
      <c r="AF52" s="29">
        <f t="shared" si="4"/>
        <v>5249.0234375</v>
      </c>
      <c r="AG52" s="54" t="str">
        <f t="shared" si="12"/>
        <v/>
      </c>
      <c r="AH52" s="54">
        <f t="shared" si="6"/>
        <v>147.66531544420414</v>
      </c>
      <c r="AI52" s="66">
        <f t="shared" si="8"/>
        <v>1.3122558593749999E-4</v>
      </c>
      <c r="AJ52" s="67">
        <f t="shared" si="9"/>
        <v>223.68591535748376</v>
      </c>
    </row>
    <row r="53" spans="1:36" x14ac:dyDescent="0.3">
      <c r="A53" s="59">
        <v>2002</v>
      </c>
      <c r="B53" s="60">
        <v>10.1</v>
      </c>
      <c r="C53" s="61" t="s">
        <v>23</v>
      </c>
      <c r="D53" s="61" t="s">
        <v>260</v>
      </c>
      <c r="E53" s="61">
        <v>0.35</v>
      </c>
      <c r="F53" s="125" t="s">
        <v>171</v>
      </c>
      <c r="G53" s="28" t="s">
        <v>211</v>
      </c>
      <c r="H53" s="28" t="s">
        <v>507</v>
      </c>
      <c r="I53" s="125" t="s">
        <v>2665</v>
      </c>
      <c r="J53" s="148" t="str">
        <f t="shared" si="7"/>
        <v>https://doi.org/10.1109/ISSCC.2002.992988</v>
      </c>
      <c r="K53" s="28" t="s">
        <v>1050</v>
      </c>
      <c r="L53" s="60"/>
      <c r="M53" s="60"/>
      <c r="N53" s="60"/>
      <c r="O53" s="56" t="s">
        <v>1050</v>
      </c>
      <c r="P53" s="28">
        <v>28.845600000000001</v>
      </c>
      <c r="Q53" s="68">
        <f>7*6.02+1.76</f>
        <v>43.9</v>
      </c>
      <c r="R53" s="63">
        <v>1000000000</v>
      </c>
      <c r="S53" s="60">
        <f>6.02*6.2+1.76</f>
        <v>39.083999999999996</v>
      </c>
      <c r="T53" s="60"/>
      <c r="U53" s="60"/>
      <c r="V53" s="60"/>
      <c r="W53" s="60"/>
      <c r="X53" s="29">
        <f t="shared" si="0"/>
        <v>39.083999999999996</v>
      </c>
      <c r="Y53" s="63">
        <v>4.5999999999999996</v>
      </c>
      <c r="Z53" s="63">
        <v>4000000000</v>
      </c>
      <c r="AA53" s="64">
        <v>1</v>
      </c>
      <c r="AB53" s="63">
        <f t="shared" si="10"/>
        <v>4000000000</v>
      </c>
      <c r="AC53" s="63" t="s">
        <v>2096</v>
      </c>
      <c r="AD53" s="65">
        <f t="shared" si="2"/>
        <v>1150</v>
      </c>
      <c r="AE53" s="29">
        <f t="shared" si="11"/>
        <v>8984.3749999999945</v>
      </c>
      <c r="AF53" s="29">
        <f t="shared" si="4"/>
        <v>15642.705434227235</v>
      </c>
      <c r="AG53" s="54">
        <f t="shared" si="12"/>
        <v>130.28272163982408</v>
      </c>
      <c r="AH53" s="54">
        <f t="shared" si="6"/>
        <v>125.46672163982407</v>
      </c>
      <c r="AI53" s="66">
        <f t="shared" si="8"/>
        <v>3.9106763585568086E-6</v>
      </c>
      <c r="AJ53" s="67">
        <f t="shared" si="9"/>
        <v>221.4873215531037</v>
      </c>
    </row>
    <row r="54" spans="1:36" x14ac:dyDescent="0.3">
      <c r="A54" s="64">
        <v>2002</v>
      </c>
      <c r="B54" s="60">
        <v>10.199999999999999</v>
      </c>
      <c r="C54" s="61" t="s">
        <v>23</v>
      </c>
      <c r="D54" s="61" t="s">
        <v>27</v>
      </c>
      <c r="E54" s="61">
        <v>0.18</v>
      </c>
      <c r="F54" s="125" t="s">
        <v>172</v>
      </c>
      <c r="G54" s="28" t="s">
        <v>291</v>
      </c>
      <c r="H54" s="28" t="s">
        <v>508</v>
      </c>
      <c r="I54" s="125" t="s">
        <v>2666</v>
      </c>
      <c r="J54" s="148" t="str">
        <f t="shared" si="7"/>
        <v>https://doi.org/10.1109/ISSCC.2002.992989</v>
      </c>
      <c r="K54" s="28" t="s">
        <v>1050</v>
      </c>
      <c r="L54" s="60"/>
      <c r="M54" s="60"/>
      <c r="N54" s="60"/>
      <c r="O54" s="56" t="s">
        <v>1050</v>
      </c>
      <c r="P54" s="28">
        <v>0.12</v>
      </c>
      <c r="Q54" s="68"/>
      <c r="R54" s="63">
        <v>660000000</v>
      </c>
      <c r="S54" s="60">
        <f>5*6.02+1.76</f>
        <v>31.86</v>
      </c>
      <c r="T54" s="60"/>
      <c r="U54" s="60"/>
      <c r="V54" s="60"/>
      <c r="W54" s="60"/>
      <c r="X54" s="29">
        <f t="shared" si="0"/>
        <v>31.86</v>
      </c>
      <c r="Y54" s="63">
        <v>0.34</v>
      </c>
      <c r="Z54" s="63">
        <v>1600000000</v>
      </c>
      <c r="AA54" s="64">
        <v>1.2121212121212122</v>
      </c>
      <c r="AB54" s="63">
        <f t="shared" si="10"/>
        <v>1320000000</v>
      </c>
      <c r="AC54" s="63" t="s">
        <v>2096</v>
      </c>
      <c r="AD54" s="65">
        <f t="shared" si="2"/>
        <v>257.57575757575756</v>
      </c>
      <c r="AE54" s="29" t="str">
        <f t="shared" si="11"/>
        <v/>
      </c>
      <c r="AF54" s="29">
        <f t="shared" si="4"/>
        <v>8049.242424242424</v>
      </c>
      <c r="AG54" s="54" t="str">
        <f t="shared" si="12"/>
        <v/>
      </c>
      <c r="AH54" s="54">
        <f t="shared" si="6"/>
        <v>124.74065018499614</v>
      </c>
      <c r="AI54" s="66">
        <f t="shared" si="8"/>
        <v>6.0979109274563822E-6</v>
      </c>
      <c r="AJ54" s="67">
        <f t="shared" si="9"/>
        <v>215.94638949705467</v>
      </c>
    </row>
    <row r="55" spans="1:36" x14ac:dyDescent="0.3">
      <c r="A55" s="64">
        <v>2002</v>
      </c>
      <c r="B55" s="60">
        <v>10.3</v>
      </c>
      <c r="C55" s="61" t="s">
        <v>23</v>
      </c>
      <c r="D55" s="61" t="s">
        <v>28</v>
      </c>
      <c r="E55" s="61">
        <v>0.18</v>
      </c>
      <c r="F55" s="125" t="s">
        <v>509</v>
      </c>
      <c r="G55" s="28" t="s">
        <v>1974</v>
      </c>
      <c r="H55" s="28" t="s">
        <v>510</v>
      </c>
      <c r="I55" s="125" t="s">
        <v>2667</v>
      </c>
      <c r="J55" s="148" t="str">
        <f t="shared" si="7"/>
        <v>https://doi.org/10.1109/ISSCC.2002.992990</v>
      </c>
      <c r="K55" s="28" t="s">
        <v>1050</v>
      </c>
      <c r="L55" s="60"/>
      <c r="M55" s="60"/>
      <c r="N55" s="60"/>
      <c r="O55" s="56" t="s">
        <v>1050</v>
      </c>
      <c r="P55" s="28">
        <v>0.3</v>
      </c>
      <c r="Q55" s="68"/>
      <c r="R55" s="63">
        <v>225000000</v>
      </c>
      <c r="S55" s="60">
        <v>36</v>
      </c>
      <c r="T55" s="60"/>
      <c r="U55" s="60"/>
      <c r="V55" s="60"/>
      <c r="W55" s="60"/>
      <c r="X55" s="29">
        <f t="shared" si="0"/>
        <v>36</v>
      </c>
      <c r="Y55" s="63">
        <v>0.05</v>
      </c>
      <c r="Z55" s="63">
        <v>450000000</v>
      </c>
      <c r="AA55" s="64">
        <v>1</v>
      </c>
      <c r="AB55" s="63">
        <f t="shared" si="10"/>
        <v>450000000</v>
      </c>
      <c r="AC55" s="63" t="s">
        <v>2096</v>
      </c>
      <c r="AD55" s="65">
        <f t="shared" si="2"/>
        <v>111.11111111111111</v>
      </c>
      <c r="AE55" s="29" t="str">
        <f t="shared" si="11"/>
        <v/>
      </c>
      <c r="AF55" s="29">
        <f t="shared" si="4"/>
        <v>2155.692863576432</v>
      </c>
      <c r="AG55" s="54" t="str">
        <f t="shared" si="12"/>
        <v/>
      </c>
      <c r="AH55" s="54">
        <f t="shared" si="6"/>
        <v>132.53212513775344</v>
      </c>
      <c r="AI55" s="66">
        <f t="shared" si="8"/>
        <v>4.7904285857254047E-6</v>
      </c>
      <c r="AJ55" s="67">
        <f t="shared" si="9"/>
        <v>219.06425027550688</v>
      </c>
    </row>
    <row r="56" spans="1:36" x14ac:dyDescent="0.3">
      <c r="A56" s="64">
        <v>2002</v>
      </c>
      <c r="B56" s="60">
        <v>10.4</v>
      </c>
      <c r="C56" s="61" t="s">
        <v>23</v>
      </c>
      <c r="D56" s="61" t="s">
        <v>260</v>
      </c>
      <c r="E56" s="61">
        <v>0.35</v>
      </c>
      <c r="F56" s="125" t="s">
        <v>173</v>
      </c>
      <c r="G56" s="28" t="s">
        <v>151</v>
      </c>
      <c r="H56" s="28" t="s">
        <v>511</v>
      </c>
      <c r="I56" s="125" t="s">
        <v>2668</v>
      </c>
      <c r="J56" s="148" t="str">
        <f t="shared" si="7"/>
        <v>https://doi.org/10.1109/ISSCC.2002.992991</v>
      </c>
      <c r="K56" s="28" t="s">
        <v>1104</v>
      </c>
      <c r="L56" s="60"/>
      <c r="M56" s="60"/>
      <c r="N56" s="60"/>
      <c r="O56" s="56" t="s">
        <v>1050</v>
      </c>
      <c r="P56" s="28">
        <v>12.5</v>
      </c>
      <c r="Q56" s="68"/>
      <c r="R56" s="63">
        <v>1000000</v>
      </c>
      <c r="S56" s="60">
        <v>56.8</v>
      </c>
      <c r="T56" s="60"/>
      <c r="U56" s="60"/>
      <c r="V56" s="60">
        <v>62.4</v>
      </c>
      <c r="W56" s="60">
        <v>70.2</v>
      </c>
      <c r="X56" s="29">
        <f t="shared" si="0"/>
        <v>56.8</v>
      </c>
      <c r="Y56" s="63">
        <v>0.23400000000000001</v>
      </c>
      <c r="Z56" s="63">
        <v>120000000</v>
      </c>
      <c r="AA56" s="64">
        <v>1</v>
      </c>
      <c r="AB56" s="63">
        <f t="shared" si="10"/>
        <v>120000000</v>
      </c>
      <c r="AC56" s="63" t="s">
        <v>2096</v>
      </c>
      <c r="AD56" s="65">
        <f t="shared" si="2"/>
        <v>1950</v>
      </c>
      <c r="AE56" s="29" t="str">
        <f t="shared" si="11"/>
        <v/>
      </c>
      <c r="AF56" s="29">
        <f t="shared" si="4"/>
        <v>3449.5334869426124</v>
      </c>
      <c r="AG56" s="54" t="str">
        <f t="shared" si="12"/>
        <v/>
      </c>
      <c r="AH56" s="54">
        <f t="shared" si="6"/>
        <v>140.88935392973502</v>
      </c>
      <c r="AI56" s="66">
        <f t="shared" si="8"/>
        <v>2.8746112391188437E-5</v>
      </c>
      <c r="AJ56" s="67">
        <f t="shared" si="9"/>
        <v>221.68116639021127</v>
      </c>
    </row>
    <row r="57" spans="1:36" x14ac:dyDescent="0.3">
      <c r="A57" s="64">
        <v>2002</v>
      </c>
      <c r="B57" s="60">
        <v>10.5</v>
      </c>
      <c r="C57" s="61" t="s">
        <v>23</v>
      </c>
      <c r="D57" s="61" t="s">
        <v>26</v>
      </c>
      <c r="E57" s="61">
        <v>0.3</v>
      </c>
      <c r="F57" s="125" t="s">
        <v>512</v>
      </c>
      <c r="G57" s="28" t="s">
        <v>212</v>
      </c>
      <c r="H57" s="28" t="s">
        <v>174</v>
      </c>
      <c r="I57" s="125" t="s">
        <v>2669</v>
      </c>
      <c r="J57" s="148" t="str">
        <f t="shared" si="7"/>
        <v>https://doi.org/10.1109/ISSCC.2002.992180</v>
      </c>
      <c r="K57" s="28" t="s">
        <v>1050</v>
      </c>
      <c r="L57" s="60"/>
      <c r="M57" s="60"/>
      <c r="N57" s="60"/>
      <c r="O57" s="56" t="s">
        <v>1050</v>
      </c>
      <c r="P57" s="28">
        <v>3.12</v>
      </c>
      <c r="Q57" s="68"/>
      <c r="R57" s="63">
        <v>15000000</v>
      </c>
      <c r="S57" s="60">
        <v>54</v>
      </c>
      <c r="T57" s="60"/>
      <c r="U57" s="60"/>
      <c r="V57" s="60"/>
      <c r="W57" s="60">
        <v>67</v>
      </c>
      <c r="X57" s="29">
        <f t="shared" si="0"/>
        <v>54</v>
      </c>
      <c r="Y57" s="63">
        <v>1.6E-2</v>
      </c>
      <c r="Z57" s="63">
        <v>30000000</v>
      </c>
      <c r="AA57" s="64">
        <v>1</v>
      </c>
      <c r="AB57" s="63">
        <f t="shared" si="10"/>
        <v>30000000</v>
      </c>
      <c r="AC57" s="63" t="s">
        <v>2096</v>
      </c>
      <c r="AD57" s="65">
        <f t="shared" si="2"/>
        <v>533.33333333333337</v>
      </c>
      <c r="AE57" s="29" t="str">
        <f t="shared" si="11"/>
        <v/>
      </c>
      <c r="AF57" s="29">
        <f t="shared" si="4"/>
        <v>1302.3821441266882</v>
      </c>
      <c r="AG57" s="54" t="str">
        <f t="shared" si="12"/>
        <v/>
      </c>
      <c r="AH57" s="54">
        <f t="shared" si="6"/>
        <v>143.71971276399756</v>
      </c>
      <c r="AI57" s="66">
        <f t="shared" si="8"/>
        <v>4.3412738137556276E-5</v>
      </c>
      <c r="AJ57" s="67">
        <f t="shared" si="9"/>
        <v>218.49092531119419</v>
      </c>
    </row>
    <row r="58" spans="1:36" x14ac:dyDescent="0.3">
      <c r="A58" s="64">
        <v>2002</v>
      </c>
      <c r="B58" s="60">
        <v>10.6</v>
      </c>
      <c r="C58" s="61" t="s">
        <v>23</v>
      </c>
      <c r="D58" s="61" t="s">
        <v>31</v>
      </c>
      <c r="E58" s="61">
        <v>0.13</v>
      </c>
      <c r="F58" s="125" t="s">
        <v>513</v>
      </c>
      <c r="G58" s="28" t="s">
        <v>1975</v>
      </c>
      <c r="H58" s="28" t="s">
        <v>175</v>
      </c>
      <c r="I58" s="125" t="s">
        <v>2670</v>
      </c>
      <c r="J58" s="148" t="str">
        <f t="shared" si="7"/>
        <v>https://doi.org/10.1109/ISSCC.2002.992993</v>
      </c>
      <c r="K58" s="28" t="s">
        <v>1050</v>
      </c>
      <c r="L58" s="60"/>
      <c r="M58" s="60"/>
      <c r="N58" s="60"/>
      <c r="O58" s="56" t="s">
        <v>1050</v>
      </c>
      <c r="P58" s="28">
        <v>0.08</v>
      </c>
      <c r="Q58" s="68"/>
      <c r="R58" s="63">
        <v>10000000</v>
      </c>
      <c r="S58" s="60">
        <v>55</v>
      </c>
      <c r="T58" s="60">
        <v>55</v>
      </c>
      <c r="U58" s="60"/>
      <c r="V58" s="60"/>
      <c r="W58" s="60"/>
      <c r="X58" s="29">
        <f t="shared" si="0"/>
        <v>55</v>
      </c>
      <c r="Y58" s="63">
        <v>1.2E-2</v>
      </c>
      <c r="Z58" s="63">
        <v>20000000</v>
      </c>
      <c r="AA58" s="64">
        <v>1</v>
      </c>
      <c r="AB58" s="63">
        <f t="shared" si="10"/>
        <v>20000000</v>
      </c>
      <c r="AC58" s="63" t="s">
        <v>2096</v>
      </c>
      <c r="AD58" s="65">
        <f t="shared" si="2"/>
        <v>600</v>
      </c>
      <c r="AE58" s="29" t="str">
        <f t="shared" si="11"/>
        <v/>
      </c>
      <c r="AF58" s="29">
        <f t="shared" si="4"/>
        <v>1305.827989357691</v>
      </c>
      <c r="AG58" s="54" t="str">
        <f t="shared" si="12"/>
        <v/>
      </c>
      <c r="AH58" s="54">
        <f t="shared" si="6"/>
        <v>144.20818753952375</v>
      </c>
      <c r="AI58" s="66">
        <f t="shared" si="8"/>
        <v>6.5291399467884548E-5</v>
      </c>
      <c r="AJ58" s="67">
        <f t="shared" si="9"/>
        <v>217.21848749616356</v>
      </c>
    </row>
    <row r="59" spans="1:36" x14ac:dyDescent="0.3">
      <c r="A59" s="64">
        <v>2002</v>
      </c>
      <c r="B59" s="60">
        <v>13.1</v>
      </c>
      <c r="C59" s="61" t="s">
        <v>22</v>
      </c>
      <c r="D59" s="61" t="s">
        <v>1955</v>
      </c>
      <c r="E59" s="61">
        <v>0.65</v>
      </c>
      <c r="F59" s="125" t="s">
        <v>213</v>
      </c>
      <c r="G59" s="28" t="s">
        <v>514</v>
      </c>
      <c r="H59" s="28" t="s">
        <v>515</v>
      </c>
      <c r="I59" s="125" t="s">
        <v>2671</v>
      </c>
      <c r="J59" s="148" t="str">
        <f t="shared" si="7"/>
        <v>https://doi.org/10.1109/ISSCC.2002.993012</v>
      </c>
      <c r="K59" s="28" t="s">
        <v>1050</v>
      </c>
      <c r="L59" s="60"/>
      <c r="M59" s="60"/>
      <c r="N59" s="60"/>
      <c r="O59" s="56" t="s">
        <v>1050</v>
      </c>
      <c r="P59" s="28">
        <v>6</v>
      </c>
      <c r="Q59" s="68"/>
      <c r="R59" s="63">
        <v>1000000</v>
      </c>
      <c r="S59" s="60">
        <v>56.2</v>
      </c>
      <c r="T59" s="60"/>
      <c r="U59" s="60"/>
      <c r="V59" s="60"/>
      <c r="W59" s="60"/>
      <c r="X59" s="29">
        <f t="shared" si="0"/>
        <v>56.2</v>
      </c>
      <c r="Y59" s="63">
        <v>2.18E-2</v>
      </c>
      <c r="Z59" s="63">
        <v>100000000</v>
      </c>
      <c r="AA59" s="64">
        <v>50</v>
      </c>
      <c r="AB59" s="63">
        <f t="shared" si="10"/>
        <v>2000000</v>
      </c>
      <c r="AC59" s="63">
        <v>1000000</v>
      </c>
      <c r="AD59" s="65">
        <f t="shared" si="2"/>
        <v>10900</v>
      </c>
      <c r="AE59" s="29" t="str">
        <f t="shared" si="11"/>
        <v/>
      </c>
      <c r="AF59" s="29">
        <f t="shared" si="4"/>
        <v>20661.185717469445</v>
      </c>
      <c r="AG59" s="54" t="str">
        <f t="shared" si="12"/>
        <v/>
      </c>
      <c r="AH59" s="54">
        <f t="shared" si="6"/>
        <v>132.81543506395394</v>
      </c>
      <c r="AI59" s="66">
        <f t="shared" si="8"/>
        <v>1.0330592858734722E-2</v>
      </c>
      <c r="AJ59" s="67">
        <f t="shared" si="9"/>
        <v>195.82573502059375</v>
      </c>
    </row>
    <row r="60" spans="1:36" x14ac:dyDescent="0.3">
      <c r="A60" s="64">
        <v>2002</v>
      </c>
      <c r="B60" s="60">
        <v>13.2</v>
      </c>
      <c r="C60" s="61" t="s">
        <v>22</v>
      </c>
      <c r="D60" s="61" t="s">
        <v>1958</v>
      </c>
      <c r="E60" s="61" t="s">
        <v>205</v>
      </c>
      <c r="F60" s="125" t="s">
        <v>517</v>
      </c>
      <c r="G60" s="28" t="s">
        <v>2673</v>
      </c>
      <c r="H60" s="28" t="s">
        <v>518</v>
      </c>
      <c r="I60" s="125" t="s">
        <v>2672</v>
      </c>
      <c r="J60" s="148" t="str">
        <f t="shared" si="7"/>
        <v>https://doi.org/10.1109/ISSCC.2002.993013</v>
      </c>
      <c r="K60" s="28" t="s">
        <v>1050</v>
      </c>
      <c r="L60" s="60">
        <v>3</v>
      </c>
      <c r="M60" s="60"/>
      <c r="N60" s="60"/>
      <c r="O60" s="56" t="s">
        <v>1050</v>
      </c>
      <c r="P60" s="28">
        <v>5</v>
      </c>
      <c r="Q60" s="68"/>
      <c r="R60" s="63">
        <v>330000</v>
      </c>
      <c r="S60" s="60">
        <v>81</v>
      </c>
      <c r="T60" s="60">
        <v>81</v>
      </c>
      <c r="U60" s="60">
        <v>90</v>
      </c>
      <c r="V60" s="60"/>
      <c r="W60" s="60">
        <v>103</v>
      </c>
      <c r="X60" s="29">
        <f t="shared" si="0"/>
        <v>81</v>
      </c>
      <c r="Y60" s="63">
        <v>0.05</v>
      </c>
      <c r="Z60" s="63">
        <v>32000000</v>
      </c>
      <c r="AA60" s="64">
        <v>48.484848484848484</v>
      </c>
      <c r="AB60" s="63">
        <f t="shared" si="10"/>
        <v>660000</v>
      </c>
      <c r="AC60" s="63">
        <v>273000000</v>
      </c>
      <c r="AD60" s="65">
        <f t="shared" si="2"/>
        <v>75757.57575757576</v>
      </c>
      <c r="AE60" s="29" t="str">
        <f t="shared" si="11"/>
        <v/>
      </c>
      <c r="AF60" s="29">
        <f t="shared" si="4"/>
        <v>8260.9737498706163</v>
      </c>
      <c r="AG60" s="54" t="str">
        <f t="shared" si="12"/>
        <v/>
      </c>
      <c r="AH60" s="54">
        <f t="shared" si="6"/>
        <v>149.19543935541867</v>
      </c>
      <c r="AI60" s="66">
        <f t="shared" si="8"/>
        <v>1.2516626893743358E-2</v>
      </c>
      <c r="AJ60" s="67">
        <f t="shared" si="9"/>
        <v>207.39087871083734</v>
      </c>
    </row>
    <row r="61" spans="1:36" x14ac:dyDescent="0.3">
      <c r="A61" s="64">
        <v>2002</v>
      </c>
      <c r="B61" s="60">
        <v>13.3</v>
      </c>
      <c r="C61" s="61" t="s">
        <v>22</v>
      </c>
      <c r="D61" s="61" t="s">
        <v>1957</v>
      </c>
      <c r="E61" s="61">
        <v>0.35</v>
      </c>
      <c r="F61" s="125" t="s">
        <v>519</v>
      </c>
      <c r="G61" s="28" t="s">
        <v>2674</v>
      </c>
      <c r="H61" s="28" t="s">
        <v>520</v>
      </c>
      <c r="I61" s="125" t="s">
        <v>2679</v>
      </c>
      <c r="J61" s="148" t="str">
        <f t="shared" si="7"/>
        <v>https://doi.org/10.1109/ISSCC.2002.993014</v>
      </c>
      <c r="K61" s="28" t="s">
        <v>1050</v>
      </c>
      <c r="L61" s="60"/>
      <c r="M61" s="60"/>
      <c r="N61" s="60"/>
      <c r="O61" s="56" t="s">
        <v>1050</v>
      </c>
      <c r="P61" s="28">
        <v>0.79</v>
      </c>
      <c r="Q61" s="68"/>
      <c r="R61" s="63">
        <v>3840000</v>
      </c>
      <c r="S61" s="60">
        <v>48</v>
      </c>
      <c r="T61" s="60">
        <v>48</v>
      </c>
      <c r="U61" s="60">
        <v>50</v>
      </c>
      <c r="V61" s="60"/>
      <c r="W61" s="60"/>
      <c r="X61" s="29">
        <f t="shared" si="0"/>
        <v>48</v>
      </c>
      <c r="Y61" s="63">
        <v>3.7999999999999999E-2</v>
      </c>
      <c r="Z61" s="63">
        <v>80000000</v>
      </c>
      <c r="AA61" s="64">
        <v>10.416666666666666</v>
      </c>
      <c r="AB61" s="63">
        <f t="shared" si="10"/>
        <v>7680000</v>
      </c>
      <c r="AC61" s="63">
        <v>20000000</v>
      </c>
      <c r="AD61" s="65">
        <f t="shared" si="2"/>
        <v>4947.916666666667</v>
      </c>
      <c r="AE61" s="29" t="str">
        <f t="shared" si="11"/>
        <v/>
      </c>
      <c r="AF61" s="29">
        <f t="shared" si="4"/>
        <v>24109.709524431451</v>
      </c>
      <c r="AG61" s="54" t="str">
        <f t="shared" si="12"/>
        <v/>
      </c>
      <c r="AH61" s="54">
        <f t="shared" si="6"/>
        <v>128.04547627750722</v>
      </c>
      <c r="AI61" s="66">
        <f t="shared" si="8"/>
        <v>3.1392850943270118E-3</v>
      </c>
      <c r="AJ61" s="67">
        <f t="shared" si="9"/>
        <v>196.89908847782232</v>
      </c>
    </row>
    <row r="62" spans="1:36" x14ac:dyDescent="0.3">
      <c r="A62" s="64">
        <v>2002</v>
      </c>
      <c r="B62" s="60">
        <v>13.4</v>
      </c>
      <c r="C62" s="61" t="s">
        <v>22</v>
      </c>
      <c r="D62" s="61" t="s">
        <v>25</v>
      </c>
      <c r="E62" s="61">
        <v>0.18</v>
      </c>
      <c r="F62" s="125" t="s">
        <v>521</v>
      </c>
      <c r="G62" s="28" t="s">
        <v>2675</v>
      </c>
      <c r="H62" s="28" t="s">
        <v>522</v>
      </c>
      <c r="I62" s="125" t="s">
        <v>2678</v>
      </c>
      <c r="J62" s="148" t="str">
        <f t="shared" si="7"/>
        <v>https://doi.org/10.1109/ISSCC.2002.993015</v>
      </c>
      <c r="K62" s="28" t="s">
        <v>1050</v>
      </c>
      <c r="L62" s="60"/>
      <c r="M62" s="60"/>
      <c r="N62" s="60"/>
      <c r="O62" s="56" t="s">
        <v>1050</v>
      </c>
      <c r="P62" s="28">
        <v>2.86</v>
      </c>
      <c r="Q62" s="68"/>
      <c r="R62" s="63">
        <v>2000000</v>
      </c>
      <c r="S62" s="60">
        <v>82</v>
      </c>
      <c r="T62" s="60"/>
      <c r="U62" s="60"/>
      <c r="V62" s="60"/>
      <c r="W62" s="60">
        <v>103</v>
      </c>
      <c r="X62" s="29">
        <f t="shared" si="0"/>
        <v>82</v>
      </c>
      <c r="Y62" s="63">
        <v>0.10199999999999999</v>
      </c>
      <c r="Z62" s="63">
        <v>32000000</v>
      </c>
      <c r="AA62" s="64">
        <v>8</v>
      </c>
      <c r="AB62" s="63">
        <f t="shared" si="10"/>
        <v>4000000</v>
      </c>
      <c r="AC62" s="63" t="s">
        <v>2096</v>
      </c>
      <c r="AD62" s="65">
        <f t="shared" si="2"/>
        <v>25499.999999999996</v>
      </c>
      <c r="AE62" s="29" t="str">
        <f t="shared" si="11"/>
        <v/>
      </c>
      <c r="AF62" s="29">
        <f t="shared" si="4"/>
        <v>2478.2229306051963</v>
      </c>
      <c r="AG62" s="54" t="str">
        <f t="shared" si="12"/>
        <v/>
      </c>
      <c r="AH62" s="54">
        <f t="shared" si="6"/>
        <v>154.92429823902063</v>
      </c>
      <c r="AI62" s="66">
        <f t="shared" si="8"/>
        <v>6.1955573265129904E-4</v>
      </c>
      <c r="AJ62" s="67">
        <f t="shared" si="9"/>
        <v>220.94489815230025</v>
      </c>
    </row>
    <row r="63" spans="1:36" x14ac:dyDescent="0.3">
      <c r="A63" s="64">
        <v>2002</v>
      </c>
      <c r="B63" s="60">
        <v>13.5</v>
      </c>
      <c r="C63" s="61" t="s">
        <v>22</v>
      </c>
      <c r="D63" s="61" t="s">
        <v>30</v>
      </c>
      <c r="E63" s="61">
        <v>0.18</v>
      </c>
      <c r="F63" s="125" t="s">
        <v>523</v>
      </c>
      <c r="G63" s="28" t="s">
        <v>2676</v>
      </c>
      <c r="H63" s="28" t="s">
        <v>524</v>
      </c>
      <c r="I63" s="125" t="s">
        <v>2680</v>
      </c>
      <c r="J63" s="148" t="str">
        <f t="shared" si="7"/>
        <v>https://doi.org/10.1109/ISSCC.2002.993016</v>
      </c>
      <c r="K63" s="28" t="s">
        <v>1050</v>
      </c>
      <c r="L63" s="60"/>
      <c r="M63" s="60"/>
      <c r="N63" s="60"/>
      <c r="O63" s="56" t="s">
        <v>1050</v>
      </c>
      <c r="P63" s="28">
        <v>0.41</v>
      </c>
      <c r="Q63" s="68"/>
      <c r="R63" s="63">
        <v>2000000</v>
      </c>
      <c r="S63" s="60">
        <v>70</v>
      </c>
      <c r="T63" s="60"/>
      <c r="U63" s="60">
        <v>70</v>
      </c>
      <c r="V63" s="60">
        <v>74</v>
      </c>
      <c r="W63" s="60"/>
      <c r="X63" s="29">
        <f t="shared" si="0"/>
        <v>70</v>
      </c>
      <c r="Y63" s="63">
        <v>3.3E-3</v>
      </c>
      <c r="Z63" s="63">
        <v>153600000</v>
      </c>
      <c r="AA63" s="64">
        <v>38.4</v>
      </c>
      <c r="AB63" s="63">
        <f t="shared" si="10"/>
        <v>4000000</v>
      </c>
      <c r="AC63" s="63" t="s">
        <v>2096</v>
      </c>
      <c r="AD63" s="65">
        <f t="shared" si="2"/>
        <v>825</v>
      </c>
      <c r="AE63" s="29" t="str">
        <f t="shared" si="11"/>
        <v/>
      </c>
      <c r="AF63" s="29">
        <f t="shared" si="4"/>
        <v>319.23752215197061</v>
      </c>
      <c r="AG63" s="54" t="str">
        <f t="shared" si="12"/>
        <v/>
      </c>
      <c r="AH63" s="54">
        <f t="shared" si="6"/>
        <v>157.82516055786093</v>
      </c>
      <c r="AI63" s="66">
        <f t="shared" si="8"/>
        <v>7.9809380537992659E-5</v>
      </c>
      <c r="AJ63" s="67">
        <f t="shared" si="9"/>
        <v>223.84576047114055</v>
      </c>
    </row>
    <row r="64" spans="1:36" x14ac:dyDescent="0.3">
      <c r="A64" s="64">
        <v>2002</v>
      </c>
      <c r="B64" s="60">
        <v>13.6</v>
      </c>
      <c r="C64" s="61" t="s">
        <v>22</v>
      </c>
      <c r="D64" s="61" t="s">
        <v>25</v>
      </c>
      <c r="E64" s="61">
        <v>0.18</v>
      </c>
      <c r="F64" s="125" t="s">
        <v>525</v>
      </c>
      <c r="G64" s="28" t="s">
        <v>2677</v>
      </c>
      <c r="H64" s="28" t="s">
        <v>526</v>
      </c>
      <c r="I64" s="125" t="s">
        <v>2681</v>
      </c>
      <c r="J64" s="148" t="str">
        <f t="shared" si="7"/>
        <v>https://doi.org/10.1109/ISSCC.2002.993017</v>
      </c>
      <c r="K64" s="28" t="s">
        <v>1050</v>
      </c>
      <c r="L64" s="60"/>
      <c r="M64" s="60"/>
      <c r="N64" s="60"/>
      <c r="O64" s="56" t="s">
        <v>1050</v>
      </c>
      <c r="P64" s="28">
        <v>2.6</v>
      </c>
      <c r="Q64" s="68"/>
      <c r="R64" s="63">
        <v>962000</v>
      </c>
      <c r="S64" s="60">
        <v>88</v>
      </c>
      <c r="T64" s="60"/>
      <c r="U64" s="60"/>
      <c r="V64" s="60"/>
      <c r="W64" s="60">
        <v>106</v>
      </c>
      <c r="X64" s="29">
        <f t="shared" si="0"/>
        <v>88</v>
      </c>
      <c r="Y64" s="63">
        <v>0.23</v>
      </c>
      <c r="Z64" s="63">
        <v>64000000</v>
      </c>
      <c r="AA64" s="64">
        <v>33.264033264033266</v>
      </c>
      <c r="AB64" s="63">
        <f t="shared" si="10"/>
        <v>1924000</v>
      </c>
      <c r="AC64" s="63" t="s">
        <v>2096</v>
      </c>
      <c r="AD64" s="65">
        <f t="shared" si="2"/>
        <v>119542.61954261955</v>
      </c>
      <c r="AE64" s="29" t="str">
        <f t="shared" si="11"/>
        <v/>
      </c>
      <c r="AF64" s="29">
        <f t="shared" si="4"/>
        <v>5822.2796738830693</v>
      </c>
      <c r="AG64" s="54" t="str">
        <f t="shared" si="12"/>
        <v/>
      </c>
      <c r="AH64" s="54">
        <f t="shared" si="6"/>
        <v>154.21447236020219</v>
      </c>
      <c r="AI64" s="66">
        <f t="shared" si="8"/>
        <v>3.026132886633612E-3</v>
      </c>
      <c r="AJ64" s="67">
        <f t="shared" si="9"/>
        <v>217.05652303722013</v>
      </c>
    </row>
    <row r="65" spans="1:36" x14ac:dyDescent="0.3">
      <c r="A65" s="64">
        <v>2002</v>
      </c>
      <c r="B65" s="60">
        <v>18.100000000000001</v>
      </c>
      <c r="C65" s="61" t="s">
        <v>22</v>
      </c>
      <c r="D65" s="61" t="s">
        <v>25</v>
      </c>
      <c r="E65" s="61">
        <v>0.13</v>
      </c>
      <c r="F65" s="125" t="s">
        <v>527</v>
      </c>
      <c r="G65" s="28" t="s">
        <v>1976</v>
      </c>
      <c r="H65" s="28" t="s">
        <v>528</v>
      </c>
      <c r="I65" s="125" t="s">
        <v>2818</v>
      </c>
      <c r="J65" s="148" t="str">
        <f t="shared" si="7"/>
        <v>https://doi.org/10.1109/ISSCC.2002.993054</v>
      </c>
      <c r="K65" s="28" t="s">
        <v>1051</v>
      </c>
      <c r="L65" s="60"/>
      <c r="M65" s="60"/>
      <c r="N65" s="60"/>
      <c r="O65" s="56" t="s">
        <v>1050</v>
      </c>
      <c r="P65" s="28">
        <v>0.2</v>
      </c>
      <c r="Q65" s="68"/>
      <c r="R65" s="63">
        <v>2000000</v>
      </c>
      <c r="S65" s="60">
        <v>49</v>
      </c>
      <c r="T65" s="60"/>
      <c r="U65" s="60">
        <v>50</v>
      </c>
      <c r="V65" s="60"/>
      <c r="W65" s="60"/>
      <c r="X65" s="29">
        <f t="shared" si="0"/>
        <v>49</v>
      </c>
      <c r="Y65" s="63">
        <v>2.8999999999999998E-3</v>
      </c>
      <c r="Z65" s="63">
        <v>46000000</v>
      </c>
      <c r="AA65" s="64">
        <v>11.5</v>
      </c>
      <c r="AB65" s="63">
        <f t="shared" si="10"/>
        <v>4000000</v>
      </c>
      <c r="AC65" s="63" t="s">
        <v>2096</v>
      </c>
      <c r="AD65" s="65">
        <f t="shared" si="2"/>
        <v>725</v>
      </c>
      <c r="AE65" s="29" t="str">
        <f t="shared" si="11"/>
        <v/>
      </c>
      <c r="AF65" s="29">
        <f t="shared" si="4"/>
        <v>3148.4922259940768</v>
      </c>
      <c r="AG65" s="54" t="str">
        <f t="shared" si="12"/>
        <v/>
      </c>
      <c r="AH65" s="54">
        <f t="shared" si="6"/>
        <v>137.38631997765026</v>
      </c>
      <c r="AI65" s="66">
        <f t="shared" si="8"/>
        <v>7.8712305649851922E-4</v>
      </c>
      <c r="AJ65" s="67">
        <f t="shared" si="9"/>
        <v>203.40691989092988</v>
      </c>
    </row>
    <row r="66" spans="1:36" x14ac:dyDescent="0.3">
      <c r="A66" s="64">
        <v>2002</v>
      </c>
      <c r="B66" s="60">
        <v>18.2</v>
      </c>
      <c r="C66" s="61" t="s">
        <v>23</v>
      </c>
      <c r="D66" s="61" t="s">
        <v>27</v>
      </c>
      <c r="E66" s="61">
        <v>0.13</v>
      </c>
      <c r="F66" s="125" t="s">
        <v>214</v>
      </c>
      <c r="G66" s="28" t="s">
        <v>215</v>
      </c>
      <c r="H66" s="28" t="s">
        <v>529</v>
      </c>
      <c r="I66" s="125" t="s">
        <v>2819</v>
      </c>
      <c r="J66" s="148" t="str">
        <f t="shared" si="7"/>
        <v>https://doi.org/10.1109/ISSCC.2002.993055</v>
      </c>
      <c r="K66" s="28" t="s">
        <v>1050</v>
      </c>
      <c r="L66" s="60"/>
      <c r="M66" s="60"/>
      <c r="N66" s="60"/>
      <c r="O66" s="56" t="s">
        <v>1050</v>
      </c>
      <c r="P66" s="28">
        <v>0.3</v>
      </c>
      <c r="Q66" s="68"/>
      <c r="R66" s="63">
        <v>11000000</v>
      </c>
      <c r="S66" s="60">
        <v>33</v>
      </c>
      <c r="T66" s="60"/>
      <c r="U66" s="60"/>
      <c r="V66" s="60"/>
      <c r="W66" s="60">
        <v>47</v>
      </c>
      <c r="X66" s="29">
        <f t="shared" ref="X66:X130" si="13">+IF(ISNUMBER($S66),$S66,MIN($V66,$T66,$U66,$W66))</f>
        <v>33</v>
      </c>
      <c r="Y66" s="63">
        <v>4.6000000000000001E-4</v>
      </c>
      <c r="Z66" s="63">
        <v>22000000</v>
      </c>
      <c r="AA66" s="64">
        <v>1</v>
      </c>
      <c r="AB66" s="63">
        <f t="shared" ref="AB66:AB72" si="14">Z66/AA66</f>
        <v>22000000</v>
      </c>
      <c r="AC66" s="63" t="s">
        <v>2096</v>
      </c>
      <c r="AD66" s="65">
        <f t="shared" ref="AD66:AD129" si="15">Y66/AB66*1000000000000</f>
        <v>20.90909090909091</v>
      </c>
      <c r="AE66" s="29" t="str">
        <f t="shared" ref="AE66:AE97" si="16">IF(ISNUMBER($Q66), $AD66*1000/2^(($Q66-1.76)/6.02), "")</f>
        <v/>
      </c>
      <c r="AF66" s="29">
        <f t="shared" ref="AF66:AF129" si="17">$AD66*1000/2^(($X66-1.76)/6.02)</f>
        <v>573.03281438692875</v>
      </c>
      <c r="AG66" s="54" t="str">
        <f t="shared" ref="AG66:AG97" si="18">IF(ISNUMBER($Q66), $Q66+10*LOG10($AB66/2/$Y66), "")</f>
        <v/>
      </c>
      <c r="AH66" s="54">
        <f t="shared" ref="AH66:AH129" si="19">$X66+10*LOG10($AB66/2/$Y66)</f>
        <v>136.78634853476652</v>
      </c>
      <c r="AI66" s="66">
        <f t="shared" si="8"/>
        <v>2.6046946108496761E-5</v>
      </c>
      <c r="AJ66" s="67">
        <f t="shared" si="9"/>
        <v>210.21057534298859</v>
      </c>
    </row>
    <row r="67" spans="1:36" x14ac:dyDescent="0.3">
      <c r="A67" s="64">
        <v>2002</v>
      </c>
      <c r="B67" s="60">
        <v>18.3</v>
      </c>
      <c r="C67" s="61" t="s">
        <v>22</v>
      </c>
      <c r="D67" s="61" t="s">
        <v>25</v>
      </c>
      <c r="E67" s="61">
        <v>0.18</v>
      </c>
      <c r="F67" s="125" t="s">
        <v>530</v>
      </c>
      <c r="G67" s="28" t="s">
        <v>1977</v>
      </c>
      <c r="H67" s="28" t="s">
        <v>531</v>
      </c>
      <c r="I67" s="125" t="s">
        <v>2820</v>
      </c>
      <c r="J67" s="148" t="str">
        <f t="shared" ref="J67:J130" si="20">IF(I67&lt;&gt;"?", HYPERLINK(CONCATENATE("https://doi.org/",I67)), "")</f>
        <v>https://doi.org/10.1109/ISSCC.2002.993056</v>
      </c>
      <c r="K67" s="28" t="s">
        <v>1050</v>
      </c>
      <c r="L67" s="60"/>
      <c r="M67" s="60"/>
      <c r="N67" s="60"/>
      <c r="O67" s="56" t="s">
        <v>1050</v>
      </c>
      <c r="P67" s="28">
        <v>0.08</v>
      </c>
      <c r="Q67" s="68"/>
      <c r="R67" s="63">
        <v>8000</v>
      </c>
      <c r="S67" s="60">
        <v>67</v>
      </c>
      <c r="T67" s="60"/>
      <c r="U67" s="60">
        <v>75</v>
      </c>
      <c r="V67" s="60"/>
      <c r="W67" s="60"/>
      <c r="X67" s="29">
        <f t="shared" si="13"/>
        <v>67</v>
      </c>
      <c r="Y67" s="63">
        <v>1E-4</v>
      </c>
      <c r="Z67" s="63">
        <v>1024000</v>
      </c>
      <c r="AA67" s="64">
        <v>64</v>
      </c>
      <c r="AB67" s="63">
        <f t="shared" si="14"/>
        <v>16000</v>
      </c>
      <c r="AC67" s="63" t="s">
        <v>2096</v>
      </c>
      <c r="AD67" s="65">
        <f t="shared" si="15"/>
        <v>6250.0000000000009</v>
      </c>
      <c r="AE67" s="29" t="str">
        <f t="shared" si="16"/>
        <v/>
      </c>
      <c r="AF67" s="29">
        <f t="shared" si="17"/>
        <v>3416.2917175364601</v>
      </c>
      <c r="AG67" s="54" t="str">
        <f t="shared" si="18"/>
        <v/>
      </c>
      <c r="AH67" s="54">
        <f t="shared" si="19"/>
        <v>146.03089986991944</v>
      </c>
      <c r="AI67" s="66">
        <f t="shared" ref="AI67:AI130" si="21">AF67/AB67</f>
        <v>0.21351823234602876</v>
      </c>
      <c r="AJ67" s="67">
        <f t="shared" ref="AJ67:AJ130" si="22">AH67+10*LOG10(AB67)</f>
        <v>188.07209969647869</v>
      </c>
    </row>
    <row r="68" spans="1:36" x14ac:dyDescent="0.3">
      <c r="A68" s="64">
        <v>2002</v>
      </c>
      <c r="B68" s="60">
        <v>18.399999999999999</v>
      </c>
      <c r="C68" s="61" t="s">
        <v>23</v>
      </c>
      <c r="D68" s="61" t="s">
        <v>26</v>
      </c>
      <c r="E68" s="61">
        <v>0.6</v>
      </c>
      <c r="F68" s="125" t="s">
        <v>216</v>
      </c>
      <c r="G68" s="28" t="s">
        <v>1978</v>
      </c>
      <c r="H68" s="28" t="s">
        <v>532</v>
      </c>
      <c r="I68" s="125" t="s">
        <v>2821</v>
      </c>
      <c r="J68" s="148" t="str">
        <f t="shared" si="20"/>
        <v>https://doi.org/10.1109/ISSCC.2002.993057</v>
      </c>
      <c r="K68" s="28" t="s">
        <v>2239</v>
      </c>
      <c r="L68" s="60"/>
      <c r="M68" s="60"/>
      <c r="N68" s="60"/>
      <c r="O68" s="56" t="s">
        <v>1050</v>
      </c>
      <c r="P68" s="28">
        <v>2.56</v>
      </c>
      <c r="Q68" s="68"/>
      <c r="R68" s="63">
        <v>10000</v>
      </c>
      <c r="S68" s="60"/>
      <c r="T68" s="60">
        <v>68.2</v>
      </c>
      <c r="U68" s="60"/>
      <c r="V68" s="60"/>
      <c r="W68" s="60"/>
      <c r="X68" s="29">
        <f t="shared" si="13"/>
        <v>68.2</v>
      </c>
      <c r="Y68" s="63">
        <v>0.03</v>
      </c>
      <c r="Z68" s="63">
        <v>21000000</v>
      </c>
      <c r="AA68" s="64">
        <v>1</v>
      </c>
      <c r="AB68" s="63">
        <f t="shared" si="14"/>
        <v>21000000</v>
      </c>
      <c r="AC68" s="63" t="s">
        <v>2096</v>
      </c>
      <c r="AD68" s="65">
        <f t="shared" si="15"/>
        <v>1428.5714285714287</v>
      </c>
      <c r="AE68" s="29" t="str">
        <f t="shared" si="16"/>
        <v/>
      </c>
      <c r="AF68" s="29">
        <f t="shared" si="17"/>
        <v>680.09708202028014</v>
      </c>
      <c r="AG68" s="54" t="str">
        <f t="shared" si="18"/>
        <v/>
      </c>
      <c r="AH68" s="54">
        <f t="shared" si="19"/>
        <v>153.64068044350276</v>
      </c>
      <c r="AI68" s="66">
        <f t="shared" si="21"/>
        <v>3.2385575334299051E-5</v>
      </c>
      <c r="AJ68" s="67">
        <f t="shared" si="22"/>
        <v>226.86287339084197</v>
      </c>
    </row>
    <row r="69" spans="1:36" x14ac:dyDescent="0.3">
      <c r="A69" s="64">
        <v>2002</v>
      </c>
      <c r="B69" s="60">
        <v>18.5</v>
      </c>
      <c r="C69" s="61" t="s">
        <v>23</v>
      </c>
      <c r="D69" s="61" t="s">
        <v>26</v>
      </c>
      <c r="E69" s="61" t="s">
        <v>205</v>
      </c>
      <c r="F69" s="125" t="s">
        <v>217</v>
      </c>
      <c r="G69" s="28" t="s">
        <v>1979</v>
      </c>
      <c r="H69" s="28" t="s">
        <v>533</v>
      </c>
      <c r="I69" s="125" t="s">
        <v>2822</v>
      </c>
      <c r="J69" s="148" t="str">
        <f t="shared" si="20"/>
        <v>https://doi.org/10.1109/ISSCC.2002.993058</v>
      </c>
      <c r="K69" s="28" t="s">
        <v>1105</v>
      </c>
      <c r="L69" s="60">
        <v>2.9</v>
      </c>
      <c r="M69" s="60"/>
      <c r="N69" s="60"/>
      <c r="O69" s="56" t="s">
        <v>1050</v>
      </c>
      <c r="P69" s="28">
        <v>6</v>
      </c>
      <c r="Q69" s="68"/>
      <c r="R69" s="63">
        <v>25000000</v>
      </c>
      <c r="S69" s="60">
        <v>70</v>
      </c>
      <c r="T69" s="60"/>
      <c r="U69" s="60"/>
      <c r="V69" s="60"/>
      <c r="W69" s="60">
        <v>76.5</v>
      </c>
      <c r="X69" s="29">
        <f t="shared" si="13"/>
        <v>70</v>
      </c>
      <c r="Y69" s="63">
        <v>0.71499999999999997</v>
      </c>
      <c r="Z69" s="63">
        <v>50000000</v>
      </c>
      <c r="AA69" s="64">
        <v>1</v>
      </c>
      <c r="AB69" s="63">
        <f t="shared" si="14"/>
        <v>50000000</v>
      </c>
      <c r="AC69" s="63" t="s">
        <v>2096</v>
      </c>
      <c r="AD69" s="65">
        <f t="shared" si="15"/>
        <v>14299.999999999998</v>
      </c>
      <c r="AE69" s="29" t="str">
        <f t="shared" si="16"/>
        <v/>
      </c>
      <c r="AF69" s="29">
        <f t="shared" si="17"/>
        <v>5533.4503839674899</v>
      </c>
      <c r="AG69" s="54" t="str">
        <f t="shared" si="18"/>
        <v/>
      </c>
      <c r="AH69" s="54">
        <f t="shared" si="19"/>
        <v>145.43633966870959</v>
      </c>
      <c r="AI69" s="66">
        <f t="shared" si="21"/>
        <v>1.106690076793498E-4</v>
      </c>
      <c r="AJ69" s="67">
        <f t="shared" si="22"/>
        <v>222.42603971206978</v>
      </c>
    </row>
    <row r="70" spans="1:36" x14ac:dyDescent="0.3">
      <c r="A70" s="64">
        <v>2002</v>
      </c>
      <c r="B70" s="60">
        <v>18.600000000000001</v>
      </c>
      <c r="C70" s="61" t="s">
        <v>22</v>
      </c>
      <c r="D70" s="61" t="s">
        <v>25</v>
      </c>
      <c r="E70" s="61">
        <v>0.25</v>
      </c>
      <c r="F70" s="125" t="s">
        <v>534</v>
      </c>
      <c r="G70" s="28" t="s">
        <v>1980</v>
      </c>
      <c r="H70" s="28" t="s">
        <v>535</v>
      </c>
      <c r="I70" s="125" t="s">
        <v>2823</v>
      </c>
      <c r="J70" s="148" t="str">
        <f t="shared" si="20"/>
        <v>https://doi.org/10.1109/ISSCC.2002.993059</v>
      </c>
      <c r="K70" s="28" t="s">
        <v>1050</v>
      </c>
      <c r="L70" s="60"/>
      <c r="M70" s="60"/>
      <c r="N70" s="60"/>
      <c r="O70" s="56" t="s">
        <v>1050</v>
      </c>
      <c r="P70" s="28">
        <v>1.5</v>
      </c>
      <c r="Q70" s="68"/>
      <c r="R70" s="63">
        <v>1000000</v>
      </c>
      <c r="S70" s="60">
        <v>79</v>
      </c>
      <c r="T70" s="60">
        <v>84</v>
      </c>
      <c r="U70" s="60">
        <v>86</v>
      </c>
      <c r="V70" s="60"/>
      <c r="W70" s="60"/>
      <c r="X70" s="29">
        <f t="shared" si="13"/>
        <v>79</v>
      </c>
      <c r="Y70" s="63">
        <v>3.3000000000000002E-2</v>
      </c>
      <c r="Z70" s="63">
        <v>80000000</v>
      </c>
      <c r="AA70" s="64">
        <v>40</v>
      </c>
      <c r="AB70" s="63">
        <f t="shared" si="14"/>
        <v>2000000</v>
      </c>
      <c r="AC70" s="63" t="s">
        <v>2096</v>
      </c>
      <c r="AD70" s="65">
        <f t="shared" si="15"/>
        <v>16500.000000000004</v>
      </c>
      <c r="AE70" s="29" t="str">
        <f t="shared" si="16"/>
        <v/>
      </c>
      <c r="AF70" s="29">
        <f t="shared" si="17"/>
        <v>2265.1610379278245</v>
      </c>
      <c r="AG70" s="54" t="str">
        <f t="shared" si="18"/>
        <v/>
      </c>
      <c r="AH70" s="54">
        <f t="shared" si="19"/>
        <v>153.81486060122114</v>
      </c>
      <c r="AI70" s="66">
        <f t="shared" si="21"/>
        <v>1.1325805189639122E-3</v>
      </c>
      <c r="AJ70" s="67">
        <f t="shared" si="22"/>
        <v>216.82516055786095</v>
      </c>
    </row>
    <row r="71" spans="1:36" x14ac:dyDescent="0.3">
      <c r="A71" s="64">
        <v>2002</v>
      </c>
      <c r="B71" s="60">
        <v>23.5</v>
      </c>
      <c r="C71" s="61" t="s">
        <v>22</v>
      </c>
      <c r="D71" s="61" t="s">
        <v>25</v>
      </c>
      <c r="E71" s="61">
        <v>0.35</v>
      </c>
      <c r="F71" s="125" t="s">
        <v>1981</v>
      </c>
      <c r="G71" s="28" t="s">
        <v>1982</v>
      </c>
      <c r="H71" s="28" t="s">
        <v>536</v>
      </c>
      <c r="I71" s="125" t="s">
        <v>2824</v>
      </c>
      <c r="J71" s="148" t="str">
        <f t="shared" si="20"/>
        <v>https://doi.org/10.1109/ISSCC.2002.993095</v>
      </c>
      <c r="K71" s="28" t="s">
        <v>1050</v>
      </c>
      <c r="L71" s="60"/>
      <c r="M71" s="60"/>
      <c r="N71" s="60"/>
      <c r="O71" s="56" t="s">
        <v>1050</v>
      </c>
      <c r="P71" s="28">
        <v>0.18</v>
      </c>
      <c r="Q71" s="68"/>
      <c r="R71" s="63">
        <v>8000</v>
      </c>
      <c r="S71" s="60"/>
      <c r="T71" s="60">
        <v>68</v>
      </c>
      <c r="U71" s="60"/>
      <c r="V71" s="60"/>
      <c r="W71" s="60"/>
      <c r="X71" s="29">
        <f t="shared" si="13"/>
        <v>68</v>
      </c>
      <c r="Y71" s="63">
        <v>1E-4</v>
      </c>
      <c r="Z71" s="63">
        <v>1000000</v>
      </c>
      <c r="AA71" s="64">
        <v>62.5</v>
      </c>
      <c r="AB71" s="63">
        <f t="shared" si="14"/>
        <v>16000</v>
      </c>
      <c r="AC71" s="63" t="s">
        <v>2096</v>
      </c>
      <c r="AD71" s="65">
        <f t="shared" si="15"/>
        <v>6250.0000000000009</v>
      </c>
      <c r="AE71" s="29" t="str">
        <f t="shared" si="16"/>
        <v/>
      </c>
      <c r="AF71" s="29">
        <f t="shared" si="17"/>
        <v>3044.738265655405</v>
      </c>
      <c r="AG71" s="54" t="str">
        <f t="shared" si="18"/>
        <v/>
      </c>
      <c r="AH71" s="54">
        <f t="shared" si="19"/>
        <v>147.03089986991944</v>
      </c>
      <c r="AI71" s="66">
        <f t="shared" si="21"/>
        <v>0.19029614160346281</v>
      </c>
      <c r="AJ71" s="67">
        <f t="shared" si="22"/>
        <v>189.07209969647869</v>
      </c>
    </row>
    <row r="72" spans="1:36" x14ac:dyDescent="0.3">
      <c r="A72" s="59">
        <v>2003</v>
      </c>
      <c r="B72" s="60">
        <v>3.1</v>
      </c>
      <c r="C72" s="61" t="s">
        <v>22</v>
      </c>
      <c r="D72" s="61" t="s">
        <v>25</v>
      </c>
      <c r="E72" s="61">
        <v>0.13</v>
      </c>
      <c r="F72" s="125" t="s">
        <v>537</v>
      </c>
      <c r="G72" s="28" t="s">
        <v>538</v>
      </c>
      <c r="H72" s="28" t="s">
        <v>539</v>
      </c>
      <c r="I72" s="125" t="s">
        <v>2825</v>
      </c>
      <c r="J72" s="148" t="str">
        <f t="shared" si="20"/>
        <v>https://doi.org/10.1109/ISSCC.2003.1234204</v>
      </c>
      <c r="K72" s="28" t="s">
        <v>1051</v>
      </c>
      <c r="L72" s="60">
        <v>1.5</v>
      </c>
      <c r="M72" s="60"/>
      <c r="N72" s="60"/>
      <c r="O72" s="56" t="s">
        <v>1050</v>
      </c>
      <c r="P72" s="28">
        <v>0.1225</v>
      </c>
      <c r="Q72" s="68"/>
      <c r="R72" s="63">
        <v>2000000</v>
      </c>
      <c r="S72" s="60">
        <v>45.2</v>
      </c>
      <c r="T72" s="60"/>
      <c r="U72" s="60">
        <v>50.3</v>
      </c>
      <c r="V72" s="60"/>
      <c r="W72" s="60"/>
      <c r="X72" s="29">
        <f t="shared" si="13"/>
        <v>45.2</v>
      </c>
      <c r="Y72" s="63">
        <v>1.2999999999999999E-3</v>
      </c>
      <c r="Z72" s="63">
        <v>104000000</v>
      </c>
      <c r="AA72" s="64">
        <v>26</v>
      </c>
      <c r="AB72" s="63">
        <f t="shared" si="14"/>
        <v>4000000</v>
      </c>
      <c r="AC72" s="63" t="s">
        <v>2096</v>
      </c>
      <c r="AD72" s="65">
        <f t="shared" si="15"/>
        <v>324.99999999999994</v>
      </c>
      <c r="AE72" s="29" t="str">
        <f t="shared" si="16"/>
        <v/>
      </c>
      <c r="AF72" s="29">
        <f t="shared" si="17"/>
        <v>2186.0843433823516</v>
      </c>
      <c r="AG72" s="54" t="str">
        <f t="shared" si="18"/>
        <v/>
      </c>
      <c r="AH72" s="54">
        <f t="shared" si="19"/>
        <v>137.07086643357144</v>
      </c>
      <c r="AI72" s="66">
        <f t="shared" si="21"/>
        <v>5.4652108584558792E-4</v>
      </c>
      <c r="AJ72" s="67">
        <f t="shared" si="22"/>
        <v>203.09146634685106</v>
      </c>
    </row>
    <row r="73" spans="1:36" x14ac:dyDescent="0.3">
      <c r="A73" s="64">
        <v>2003</v>
      </c>
      <c r="B73" s="60">
        <v>3.2</v>
      </c>
      <c r="C73" s="61" t="s">
        <v>22</v>
      </c>
      <c r="D73" s="61" t="s">
        <v>25</v>
      </c>
      <c r="E73" s="61">
        <v>0.35</v>
      </c>
      <c r="F73" s="125" t="s">
        <v>540</v>
      </c>
      <c r="G73" s="28" t="s">
        <v>1983</v>
      </c>
      <c r="H73" s="28" t="s">
        <v>541</v>
      </c>
      <c r="I73" s="125" t="s">
        <v>2826</v>
      </c>
      <c r="J73" s="148" t="str">
        <f t="shared" si="20"/>
        <v>https://doi.org/10.1109/ISSCC.2003.1234205</v>
      </c>
      <c r="K73" s="28" t="s">
        <v>823</v>
      </c>
      <c r="L73" s="60"/>
      <c r="M73" s="60"/>
      <c r="N73" s="60"/>
      <c r="O73" s="56" t="s">
        <v>1050</v>
      </c>
      <c r="P73" s="28">
        <v>5.62</v>
      </c>
      <c r="Q73" s="68"/>
      <c r="R73" s="63">
        <v>20000</v>
      </c>
      <c r="S73" s="60">
        <v>105</v>
      </c>
      <c r="T73" s="60"/>
      <c r="U73" s="60">
        <v>111</v>
      </c>
      <c r="V73" s="60"/>
      <c r="W73" s="60"/>
      <c r="X73" s="29">
        <f t="shared" si="13"/>
        <v>105</v>
      </c>
      <c r="Y73" s="63">
        <v>5.5E-2</v>
      </c>
      <c r="Z73" s="63">
        <f>AB73*AA73</f>
        <v>5120000</v>
      </c>
      <c r="AA73" s="64">
        <v>128</v>
      </c>
      <c r="AB73" s="63">
        <v>40000</v>
      </c>
      <c r="AC73" s="63" t="s">
        <v>2096</v>
      </c>
      <c r="AD73" s="65">
        <f t="shared" si="15"/>
        <v>1375000</v>
      </c>
      <c r="AE73" s="29" t="str">
        <f t="shared" si="16"/>
        <v/>
      </c>
      <c r="AF73" s="29">
        <f t="shared" si="17"/>
        <v>9457.7599631776284</v>
      </c>
      <c r="AG73" s="54" t="str">
        <f t="shared" si="18"/>
        <v/>
      </c>
      <c r="AH73" s="54">
        <f t="shared" si="19"/>
        <v>160.60667306169736</v>
      </c>
      <c r="AI73" s="66">
        <f t="shared" si="21"/>
        <v>0.23644399907944072</v>
      </c>
      <c r="AJ73" s="67">
        <f t="shared" si="22"/>
        <v>206.62727297497699</v>
      </c>
    </row>
    <row r="74" spans="1:36" x14ac:dyDescent="0.3">
      <c r="A74" s="64">
        <v>2003</v>
      </c>
      <c r="B74" s="60">
        <v>3.3</v>
      </c>
      <c r="C74" s="61" t="s">
        <v>22</v>
      </c>
      <c r="D74" s="61" t="s">
        <v>25</v>
      </c>
      <c r="E74" s="61">
        <v>0.13</v>
      </c>
      <c r="F74" s="125" t="s">
        <v>542</v>
      </c>
      <c r="G74" s="28" t="s">
        <v>1984</v>
      </c>
      <c r="H74" s="28" t="s">
        <v>543</v>
      </c>
      <c r="I74" s="125" t="s">
        <v>2827</v>
      </c>
      <c r="J74" s="148" t="str">
        <f t="shared" si="20"/>
        <v>https://doi.org/10.1109/ISSCC.2003.1234206</v>
      </c>
      <c r="K74" s="28" t="s">
        <v>1051</v>
      </c>
      <c r="L74" s="60">
        <v>1.2</v>
      </c>
      <c r="M74" s="60"/>
      <c r="N74" s="60"/>
      <c r="O74" s="56" t="s">
        <v>1050</v>
      </c>
      <c r="P74" s="28">
        <v>0.2</v>
      </c>
      <c r="Q74" s="68"/>
      <c r="R74" s="63">
        <v>1920000</v>
      </c>
      <c r="S74" s="60">
        <v>64</v>
      </c>
      <c r="T74" s="60"/>
      <c r="U74" s="60">
        <v>70</v>
      </c>
      <c r="V74" s="60"/>
      <c r="W74" s="60"/>
      <c r="X74" s="29">
        <f t="shared" si="13"/>
        <v>64</v>
      </c>
      <c r="Y74" s="63">
        <v>2.0999999999999999E-3</v>
      </c>
      <c r="Z74" s="63">
        <v>38400000</v>
      </c>
      <c r="AA74" s="64">
        <v>10</v>
      </c>
      <c r="AB74" s="63">
        <f t="shared" ref="AB74:AB105" si="23">Z74/AA74</f>
        <v>3840000</v>
      </c>
      <c r="AC74" s="63" t="s">
        <v>2096</v>
      </c>
      <c r="AD74" s="65">
        <f t="shared" si="15"/>
        <v>546.87499999999989</v>
      </c>
      <c r="AE74" s="29" t="str">
        <f t="shared" si="16"/>
        <v/>
      </c>
      <c r="AF74" s="29">
        <f t="shared" si="17"/>
        <v>422.25806098331623</v>
      </c>
      <c r="AG74" s="54" t="str">
        <f t="shared" si="18"/>
        <v/>
      </c>
      <c r="AH74" s="54">
        <f t="shared" si="19"/>
        <v>153.61081933969632</v>
      </c>
      <c r="AI74" s="66">
        <f t="shared" si="21"/>
        <v>1.0996303671440527E-4</v>
      </c>
      <c r="AJ74" s="67">
        <f t="shared" si="22"/>
        <v>219.45413158337163</v>
      </c>
    </row>
    <row r="75" spans="1:36" x14ac:dyDescent="0.3">
      <c r="A75" s="64">
        <v>2003</v>
      </c>
      <c r="B75" s="60">
        <v>3.4</v>
      </c>
      <c r="C75" s="61" t="s">
        <v>22</v>
      </c>
      <c r="D75" s="61" t="s">
        <v>1956</v>
      </c>
      <c r="E75" s="61">
        <v>0.18</v>
      </c>
      <c r="F75" s="125" t="s">
        <v>544</v>
      </c>
      <c r="G75" s="28" t="s">
        <v>1985</v>
      </c>
      <c r="H75" s="28" t="s">
        <v>545</v>
      </c>
      <c r="I75" s="125" t="s">
        <v>2828</v>
      </c>
      <c r="J75" s="148" t="str">
        <f t="shared" si="20"/>
        <v>https://doi.org/10.1109/ISSCC.2003.1234207</v>
      </c>
      <c r="K75" s="28" t="s">
        <v>1052</v>
      </c>
      <c r="L75" s="60"/>
      <c r="M75" s="60"/>
      <c r="N75" s="60"/>
      <c r="O75" s="56" t="s">
        <v>1050</v>
      </c>
      <c r="P75" s="28">
        <v>0.55000000000000004</v>
      </c>
      <c r="Q75" s="68"/>
      <c r="R75" s="63">
        <v>1230000</v>
      </c>
      <c r="S75" s="60"/>
      <c r="T75" s="60">
        <v>83</v>
      </c>
      <c r="U75" s="60">
        <v>83</v>
      </c>
      <c r="V75" s="60"/>
      <c r="W75" s="60"/>
      <c r="X75" s="29">
        <f t="shared" si="13"/>
        <v>83</v>
      </c>
      <c r="Y75" s="63">
        <v>4.1000000000000003E-3</v>
      </c>
      <c r="Z75" s="63">
        <v>76800000</v>
      </c>
      <c r="AA75" s="64">
        <v>31.219512195121951</v>
      </c>
      <c r="AB75" s="63">
        <f t="shared" si="23"/>
        <v>2460000</v>
      </c>
      <c r="AC75" s="63">
        <v>100000</v>
      </c>
      <c r="AD75" s="65">
        <f t="shared" si="15"/>
        <v>1666.666666666667</v>
      </c>
      <c r="AE75" s="29" t="str">
        <f t="shared" si="16"/>
        <v/>
      </c>
      <c r="AF75" s="29">
        <f t="shared" si="17"/>
        <v>144.35903080290382</v>
      </c>
      <c r="AG75" s="54" t="str">
        <f t="shared" si="18"/>
        <v/>
      </c>
      <c r="AH75" s="54">
        <f t="shared" si="19"/>
        <v>167.77121254719663</v>
      </c>
      <c r="AI75" s="66">
        <f t="shared" si="21"/>
        <v>5.8682532846708866E-5</v>
      </c>
      <c r="AJ75" s="67">
        <f t="shared" si="22"/>
        <v>231.68056361823042</v>
      </c>
    </row>
    <row r="76" spans="1:36" x14ac:dyDescent="0.3">
      <c r="A76" s="64">
        <v>2003</v>
      </c>
      <c r="B76" s="60">
        <v>3.5</v>
      </c>
      <c r="C76" s="61" t="s">
        <v>22</v>
      </c>
      <c r="D76" s="61" t="s">
        <v>30</v>
      </c>
      <c r="E76" s="61">
        <v>0.5</v>
      </c>
      <c r="F76" s="125" t="s">
        <v>546</v>
      </c>
      <c r="G76" s="28" t="s">
        <v>547</v>
      </c>
      <c r="H76" s="28" t="s">
        <v>548</v>
      </c>
      <c r="I76" s="125" t="s">
        <v>2829</v>
      </c>
      <c r="J76" s="148" t="str">
        <f t="shared" si="20"/>
        <v>https://doi.org/10.1109/ISSCC.2003.1234208</v>
      </c>
      <c r="K76" s="28" t="s">
        <v>1050</v>
      </c>
      <c r="L76" s="60">
        <v>3.3</v>
      </c>
      <c r="M76" s="60"/>
      <c r="N76" s="60"/>
      <c r="O76" s="56" t="s">
        <v>1050</v>
      </c>
      <c r="P76" s="28">
        <v>5.76</v>
      </c>
      <c r="Q76" s="68"/>
      <c r="R76" s="63">
        <v>1100000</v>
      </c>
      <c r="S76" s="60">
        <v>83</v>
      </c>
      <c r="T76" s="60">
        <v>84</v>
      </c>
      <c r="U76" s="60">
        <v>88</v>
      </c>
      <c r="V76" s="60"/>
      <c r="W76" s="60"/>
      <c r="X76" s="29">
        <f t="shared" si="13"/>
        <v>83</v>
      </c>
      <c r="Y76" s="63">
        <v>6.2E-2</v>
      </c>
      <c r="Z76" s="63">
        <v>35200000</v>
      </c>
      <c r="AA76" s="64">
        <v>16</v>
      </c>
      <c r="AB76" s="63">
        <f t="shared" si="23"/>
        <v>2200000</v>
      </c>
      <c r="AC76" s="63" t="s">
        <v>2096</v>
      </c>
      <c r="AD76" s="65">
        <f t="shared" si="15"/>
        <v>28181.81818181818</v>
      </c>
      <c r="AE76" s="29" t="str">
        <f t="shared" si="16"/>
        <v/>
      </c>
      <c r="AF76" s="29">
        <f t="shared" si="17"/>
        <v>2440.9799753945549</v>
      </c>
      <c r="AG76" s="54" t="str">
        <f t="shared" si="18"/>
        <v/>
      </c>
      <c r="AH76" s="54">
        <f t="shared" si="19"/>
        <v>155.49000995659969</v>
      </c>
      <c r="AI76" s="66">
        <f t="shared" si="21"/>
        <v>1.1095363524520705E-3</v>
      </c>
      <c r="AJ76" s="67">
        <f t="shared" si="22"/>
        <v>218.91423676482177</v>
      </c>
    </row>
    <row r="77" spans="1:36" x14ac:dyDescent="0.3">
      <c r="A77" s="64">
        <v>2003</v>
      </c>
      <c r="B77" s="60">
        <v>3.6</v>
      </c>
      <c r="C77" s="61" t="s">
        <v>22</v>
      </c>
      <c r="D77" s="61" t="s">
        <v>1956</v>
      </c>
      <c r="E77" s="61">
        <v>0.18</v>
      </c>
      <c r="F77" s="125" t="s">
        <v>549</v>
      </c>
      <c r="G77" s="28" t="s">
        <v>550</v>
      </c>
      <c r="H77" s="28" t="s">
        <v>551</v>
      </c>
      <c r="I77" s="125" t="s">
        <v>2830</v>
      </c>
      <c r="J77" s="148" t="str">
        <f t="shared" si="20"/>
        <v>https://doi.org/10.1109/ISSCC.2003.1234209</v>
      </c>
      <c r="K77" s="28" t="s">
        <v>1050</v>
      </c>
      <c r="L77" s="60"/>
      <c r="M77" s="60"/>
      <c r="N77" s="60"/>
      <c r="O77" s="56" t="s">
        <v>1050</v>
      </c>
      <c r="P77" s="28">
        <v>0.22</v>
      </c>
      <c r="Q77" s="68"/>
      <c r="R77" s="63">
        <v>1000000</v>
      </c>
      <c r="S77" s="60">
        <v>75.5</v>
      </c>
      <c r="T77" s="60"/>
      <c r="U77" s="60">
        <v>76</v>
      </c>
      <c r="V77" s="60"/>
      <c r="W77" s="60"/>
      <c r="X77" s="29">
        <f t="shared" si="13"/>
        <v>75.5</v>
      </c>
      <c r="Y77" s="63">
        <v>4.7000000000000002E-3</v>
      </c>
      <c r="Z77" s="63">
        <v>64000000</v>
      </c>
      <c r="AA77" s="64">
        <v>32</v>
      </c>
      <c r="AB77" s="63">
        <f t="shared" si="23"/>
        <v>2000000</v>
      </c>
      <c r="AC77" s="63">
        <v>500000</v>
      </c>
      <c r="AD77" s="65">
        <f t="shared" si="15"/>
        <v>2350</v>
      </c>
      <c r="AE77" s="29" t="str">
        <f t="shared" si="16"/>
        <v/>
      </c>
      <c r="AF77" s="29">
        <f t="shared" si="17"/>
        <v>482.72572146720336</v>
      </c>
      <c r="AG77" s="54" t="str">
        <f t="shared" si="18"/>
        <v/>
      </c>
      <c r="AH77" s="54">
        <f t="shared" si="19"/>
        <v>158.77902142064283</v>
      </c>
      <c r="AI77" s="66">
        <f t="shared" si="21"/>
        <v>2.4136286073360167E-4</v>
      </c>
      <c r="AJ77" s="67">
        <f t="shared" si="22"/>
        <v>221.78932137728265</v>
      </c>
    </row>
    <row r="78" spans="1:36" x14ac:dyDescent="0.3">
      <c r="A78" s="64">
        <v>2003</v>
      </c>
      <c r="B78" s="60">
        <v>3.7</v>
      </c>
      <c r="C78" s="61" t="s">
        <v>22</v>
      </c>
      <c r="D78" s="61" t="s">
        <v>25</v>
      </c>
      <c r="E78" s="61">
        <v>0.13</v>
      </c>
      <c r="F78" s="125" t="s">
        <v>552</v>
      </c>
      <c r="G78" s="28" t="s">
        <v>553</v>
      </c>
      <c r="H78" s="28" t="s">
        <v>554</v>
      </c>
      <c r="I78" s="125" t="s">
        <v>2831</v>
      </c>
      <c r="J78" s="148" t="str">
        <f t="shared" si="20"/>
        <v>https://doi.org/10.1109/ISSCC.2003.1234210</v>
      </c>
      <c r="K78" s="28" t="s">
        <v>1050</v>
      </c>
      <c r="L78" s="60">
        <v>2.5</v>
      </c>
      <c r="M78" s="60"/>
      <c r="N78" s="60"/>
      <c r="O78" s="56" t="s">
        <v>1050</v>
      </c>
      <c r="P78" s="28">
        <v>2.4</v>
      </c>
      <c r="Q78" s="68"/>
      <c r="R78" s="63">
        <f>AB78/2</f>
        <v>20000000</v>
      </c>
      <c r="S78" s="60">
        <v>50</v>
      </c>
      <c r="T78" s="60"/>
      <c r="U78" s="60">
        <v>53</v>
      </c>
      <c r="V78" s="60"/>
      <c r="W78" s="60"/>
      <c r="X78" s="29">
        <f t="shared" si="13"/>
        <v>50</v>
      </c>
      <c r="Y78" s="63">
        <f>0.106/2</f>
        <v>5.2999999999999999E-2</v>
      </c>
      <c r="Z78" s="63">
        <v>160000000</v>
      </c>
      <c r="AA78" s="64">
        <v>4</v>
      </c>
      <c r="AB78" s="63">
        <f t="shared" si="23"/>
        <v>40000000</v>
      </c>
      <c r="AC78" s="63" t="s">
        <v>2096</v>
      </c>
      <c r="AD78" s="65">
        <f t="shared" si="15"/>
        <v>1324.9999999999998</v>
      </c>
      <c r="AE78" s="29" t="str">
        <f t="shared" si="16"/>
        <v/>
      </c>
      <c r="AF78" s="29">
        <f t="shared" si="17"/>
        <v>5128.3246952859072</v>
      </c>
      <c r="AG78" s="54" t="str">
        <f t="shared" si="18"/>
        <v/>
      </c>
      <c r="AH78" s="54">
        <f t="shared" si="19"/>
        <v>135.76754126063193</v>
      </c>
      <c r="AI78" s="66">
        <f t="shared" si="21"/>
        <v>1.2820811738214769E-4</v>
      </c>
      <c r="AJ78" s="67">
        <f t="shared" si="22"/>
        <v>211.78814117391155</v>
      </c>
    </row>
    <row r="79" spans="1:36" x14ac:dyDescent="0.3">
      <c r="A79" s="64">
        <v>2003</v>
      </c>
      <c r="B79" s="60">
        <v>18.100000000000001</v>
      </c>
      <c r="C79" s="61" t="s">
        <v>23</v>
      </c>
      <c r="D79" s="61" t="s">
        <v>260</v>
      </c>
      <c r="E79" s="61">
        <v>0.18</v>
      </c>
      <c r="F79" s="125" t="s">
        <v>176</v>
      </c>
      <c r="G79" s="28" t="s">
        <v>555</v>
      </c>
      <c r="H79" s="28" t="s">
        <v>556</v>
      </c>
      <c r="I79" s="125" t="s">
        <v>2832</v>
      </c>
      <c r="J79" s="148" t="str">
        <f t="shared" si="20"/>
        <v>https://doi.org/10.1109/ISSCC.2003.1234315</v>
      </c>
      <c r="K79" s="28" t="s">
        <v>1050</v>
      </c>
      <c r="L79" s="60"/>
      <c r="M79" s="60"/>
      <c r="N79" s="60"/>
      <c r="O79" s="56">
        <v>4</v>
      </c>
      <c r="P79" s="70">
        <f>14*14</f>
        <v>196</v>
      </c>
      <c r="Q79" s="68">
        <f>6.5*6.02+1.76</f>
        <v>40.889999999999993</v>
      </c>
      <c r="R79" s="63">
        <v>6000000000</v>
      </c>
      <c r="S79" s="60">
        <f>4.6*6.02+1.76</f>
        <v>29.451999999999998</v>
      </c>
      <c r="T79" s="60"/>
      <c r="U79" s="60"/>
      <c r="V79" s="60"/>
      <c r="W79" s="60"/>
      <c r="X79" s="29">
        <f t="shared" si="13"/>
        <v>29.451999999999998</v>
      </c>
      <c r="Y79" s="63">
        <v>10</v>
      </c>
      <c r="Z79" s="63">
        <v>20000000000</v>
      </c>
      <c r="AA79" s="64">
        <v>1</v>
      </c>
      <c r="AB79" s="63">
        <f t="shared" si="23"/>
        <v>20000000000</v>
      </c>
      <c r="AC79" s="63" t="s">
        <v>2096</v>
      </c>
      <c r="AD79" s="65">
        <f t="shared" si="15"/>
        <v>500.00000000000006</v>
      </c>
      <c r="AE79" s="29">
        <f t="shared" si="16"/>
        <v>5524.2717280199049</v>
      </c>
      <c r="AF79" s="29">
        <f t="shared" si="17"/>
        <v>20617.311105826484</v>
      </c>
      <c r="AG79" s="54">
        <f t="shared" si="18"/>
        <v>130.88999999999999</v>
      </c>
      <c r="AH79" s="54">
        <f t="shared" si="19"/>
        <v>119.452</v>
      </c>
      <c r="AI79" s="66">
        <f t="shared" si="21"/>
        <v>1.0308655552913241E-6</v>
      </c>
      <c r="AJ79" s="67">
        <f t="shared" si="22"/>
        <v>222.46229995663981</v>
      </c>
    </row>
    <row r="80" spans="1:36" x14ac:dyDescent="0.3">
      <c r="A80" s="64">
        <v>2003</v>
      </c>
      <c r="B80" s="60">
        <v>18.3</v>
      </c>
      <c r="C80" s="61" t="s">
        <v>23</v>
      </c>
      <c r="D80" s="61" t="s">
        <v>557</v>
      </c>
      <c r="E80" s="61">
        <v>0.18</v>
      </c>
      <c r="F80" s="125" t="s">
        <v>177</v>
      </c>
      <c r="G80" s="28" t="s">
        <v>558</v>
      </c>
      <c r="H80" s="28" t="s">
        <v>559</v>
      </c>
      <c r="I80" s="125" t="s">
        <v>2833</v>
      </c>
      <c r="J80" s="148" t="str">
        <f t="shared" si="20"/>
        <v>https://doi.org/10.1109/ISSCC.2003.1234317</v>
      </c>
      <c r="K80" s="28" t="s">
        <v>1050</v>
      </c>
      <c r="L80" s="60"/>
      <c r="M80" s="60"/>
      <c r="N80" s="60"/>
      <c r="O80" s="56" t="s">
        <v>1050</v>
      </c>
      <c r="P80" s="28">
        <v>0.5</v>
      </c>
      <c r="Q80" s="68"/>
      <c r="R80" s="63">
        <v>1000000000</v>
      </c>
      <c r="S80" s="60">
        <v>30</v>
      </c>
      <c r="T80" s="60"/>
      <c r="U80" s="60"/>
      <c r="V80" s="60"/>
      <c r="W80" s="60">
        <v>35</v>
      </c>
      <c r="X80" s="29">
        <f t="shared" si="13"/>
        <v>30</v>
      </c>
      <c r="Y80" s="63">
        <v>0.31</v>
      </c>
      <c r="Z80" s="63">
        <v>2000000000</v>
      </c>
      <c r="AA80" s="64">
        <v>1</v>
      </c>
      <c r="AB80" s="63">
        <f t="shared" si="23"/>
        <v>2000000000</v>
      </c>
      <c r="AC80" s="63" t="s">
        <v>2096</v>
      </c>
      <c r="AD80" s="65">
        <f t="shared" si="15"/>
        <v>155</v>
      </c>
      <c r="AE80" s="29" t="str">
        <f t="shared" si="16"/>
        <v/>
      </c>
      <c r="AF80" s="29">
        <f t="shared" si="17"/>
        <v>6000.5490152376597</v>
      </c>
      <c r="AG80" s="54" t="str">
        <f t="shared" si="18"/>
        <v/>
      </c>
      <c r="AH80" s="54">
        <f t="shared" si="19"/>
        <v>125.08638306165727</v>
      </c>
      <c r="AI80" s="66">
        <f t="shared" si="21"/>
        <v>3.0002745076188298E-6</v>
      </c>
      <c r="AJ80" s="67">
        <f t="shared" si="22"/>
        <v>218.09668301829709</v>
      </c>
    </row>
    <row r="81" spans="1:36" x14ac:dyDescent="0.3">
      <c r="A81" s="64">
        <v>2003</v>
      </c>
      <c r="B81" s="60">
        <v>18.399999999999999</v>
      </c>
      <c r="C81" s="61" t="s">
        <v>23</v>
      </c>
      <c r="D81" s="61" t="s">
        <v>26</v>
      </c>
      <c r="E81" s="61">
        <v>0.18</v>
      </c>
      <c r="F81" s="125" t="s">
        <v>178</v>
      </c>
      <c r="G81" s="28" t="s">
        <v>1986</v>
      </c>
      <c r="H81" s="28" t="s">
        <v>560</v>
      </c>
      <c r="I81" s="125" t="s">
        <v>2834</v>
      </c>
      <c r="J81" s="148" t="str">
        <f t="shared" si="20"/>
        <v>https://doi.org/10.1109/ISSCC.2003.1234318</v>
      </c>
      <c r="K81" s="28" t="s">
        <v>1050</v>
      </c>
      <c r="L81" s="60"/>
      <c r="M81" s="60"/>
      <c r="N81" s="60"/>
      <c r="O81" s="56" t="s">
        <v>1050</v>
      </c>
      <c r="P81" s="28">
        <v>1.85</v>
      </c>
      <c r="Q81" s="68"/>
      <c r="R81" s="63">
        <v>40000000</v>
      </c>
      <c r="S81" s="60">
        <f>9.38*6.02+1.76</f>
        <v>58.227599999999995</v>
      </c>
      <c r="T81" s="60">
        <v>58.9</v>
      </c>
      <c r="U81" s="60"/>
      <c r="V81" s="60">
        <v>68.400000000000006</v>
      </c>
      <c r="W81" s="60">
        <v>70.599999999999994</v>
      </c>
      <c r="X81" s="29">
        <f t="shared" si="13"/>
        <v>58.227599999999995</v>
      </c>
      <c r="Y81" s="63">
        <v>6.9000000000000006E-2</v>
      </c>
      <c r="Z81" s="63">
        <v>80000000</v>
      </c>
      <c r="AA81" s="64">
        <v>1</v>
      </c>
      <c r="AB81" s="63">
        <f t="shared" si="23"/>
        <v>80000000</v>
      </c>
      <c r="AC81" s="63" t="s">
        <v>2096</v>
      </c>
      <c r="AD81" s="65">
        <f t="shared" si="15"/>
        <v>862.50000000000011</v>
      </c>
      <c r="AE81" s="29" t="str">
        <f t="shared" si="16"/>
        <v/>
      </c>
      <c r="AF81" s="29">
        <f t="shared" si="17"/>
        <v>1294.4871522079202</v>
      </c>
      <c r="AG81" s="54" t="str">
        <f t="shared" si="18"/>
        <v/>
      </c>
      <c r="AH81" s="54">
        <f t="shared" si="19"/>
        <v>145.85970900590706</v>
      </c>
      <c r="AI81" s="66">
        <f t="shared" si="21"/>
        <v>1.6181089402599002E-5</v>
      </c>
      <c r="AJ81" s="67">
        <f t="shared" si="22"/>
        <v>224.8906088758265</v>
      </c>
    </row>
    <row r="82" spans="1:36" x14ac:dyDescent="0.3">
      <c r="A82" s="64">
        <v>2003</v>
      </c>
      <c r="B82" s="60">
        <v>18.5</v>
      </c>
      <c r="C82" s="61" t="s">
        <v>23</v>
      </c>
      <c r="D82" s="61" t="s">
        <v>26</v>
      </c>
      <c r="E82" s="61">
        <v>0.18</v>
      </c>
      <c r="F82" s="125" t="s">
        <v>179</v>
      </c>
      <c r="G82" s="28" t="s">
        <v>1987</v>
      </c>
      <c r="H82" s="28" t="s">
        <v>180</v>
      </c>
      <c r="I82" s="125" t="s">
        <v>2835</v>
      </c>
      <c r="J82" s="148" t="str">
        <f t="shared" si="20"/>
        <v>https://doi.org/10.1109/ISSCC.2003.1234319</v>
      </c>
      <c r="K82" s="28" t="s">
        <v>1050</v>
      </c>
      <c r="L82" s="60">
        <v>1.8</v>
      </c>
      <c r="M82" s="60"/>
      <c r="N82" s="60"/>
      <c r="O82" s="56" t="s">
        <v>1050</v>
      </c>
      <c r="P82" s="28">
        <v>2.2000000000000002</v>
      </c>
      <c r="Q82" s="68"/>
      <c r="R82" s="63">
        <v>75000000</v>
      </c>
      <c r="S82" s="60">
        <v>52</v>
      </c>
      <c r="T82" s="60"/>
      <c r="U82" s="60"/>
      <c r="V82" s="60"/>
      <c r="W82" s="60">
        <v>65</v>
      </c>
      <c r="X82" s="29">
        <f t="shared" si="13"/>
        <v>52</v>
      </c>
      <c r="Y82" s="63">
        <v>0.123</v>
      </c>
      <c r="Z82" s="63">
        <v>150000000</v>
      </c>
      <c r="AA82" s="64">
        <v>1</v>
      </c>
      <c r="AB82" s="63">
        <f t="shared" si="23"/>
        <v>150000000</v>
      </c>
      <c r="AC82" s="63" t="s">
        <v>2096</v>
      </c>
      <c r="AD82" s="65">
        <f t="shared" si="15"/>
        <v>820</v>
      </c>
      <c r="AE82" s="29" t="str">
        <f t="shared" si="16"/>
        <v/>
      </c>
      <c r="AF82" s="29">
        <f t="shared" si="17"/>
        <v>2520.9458848553281</v>
      </c>
      <c r="AG82" s="54" t="str">
        <f t="shared" si="18"/>
        <v/>
      </c>
      <c r="AH82" s="54">
        <f t="shared" si="19"/>
        <v>139.85156151952302</v>
      </c>
      <c r="AI82" s="66">
        <f t="shared" si="21"/>
        <v>1.6806305899035521E-5</v>
      </c>
      <c r="AJ82" s="67">
        <f t="shared" si="22"/>
        <v>221.61247411007983</v>
      </c>
    </row>
    <row r="83" spans="1:36" x14ac:dyDescent="0.3">
      <c r="A83" s="64">
        <v>2003</v>
      </c>
      <c r="B83" s="60">
        <v>18.600000000000001</v>
      </c>
      <c r="C83" s="61" t="s">
        <v>23</v>
      </c>
      <c r="D83" s="61" t="s">
        <v>26</v>
      </c>
      <c r="E83" s="61">
        <v>0.35</v>
      </c>
      <c r="F83" s="125" t="s">
        <v>181</v>
      </c>
      <c r="G83" s="28" t="s">
        <v>1988</v>
      </c>
      <c r="H83" s="28" t="s">
        <v>561</v>
      </c>
      <c r="I83" s="125" t="s">
        <v>2836</v>
      </c>
      <c r="J83" s="148" t="str">
        <f t="shared" si="20"/>
        <v>https://doi.org/10.1109/ISSCC.2003.1234320</v>
      </c>
      <c r="K83" s="28" t="s">
        <v>1050</v>
      </c>
      <c r="L83" s="60"/>
      <c r="M83" s="60"/>
      <c r="N83" s="60"/>
      <c r="O83" s="56" t="s">
        <v>1050</v>
      </c>
      <c r="P83" s="28">
        <v>7.9</v>
      </c>
      <c r="Q83" s="68"/>
      <c r="R83" s="63">
        <v>37500000</v>
      </c>
      <c r="S83" s="60">
        <v>67</v>
      </c>
      <c r="T83" s="60"/>
      <c r="U83" s="60"/>
      <c r="V83" s="60"/>
      <c r="W83" s="60">
        <v>76</v>
      </c>
      <c r="X83" s="29">
        <f t="shared" si="13"/>
        <v>67</v>
      </c>
      <c r="Y83" s="63">
        <v>0.28999999999999998</v>
      </c>
      <c r="Z83" s="63">
        <v>75000000</v>
      </c>
      <c r="AA83" s="64">
        <v>1</v>
      </c>
      <c r="AB83" s="63">
        <f t="shared" si="23"/>
        <v>75000000</v>
      </c>
      <c r="AC83" s="63" t="s">
        <v>2096</v>
      </c>
      <c r="AD83" s="65">
        <f t="shared" si="15"/>
        <v>3866.6666666666665</v>
      </c>
      <c r="AE83" s="29" t="str">
        <f t="shared" si="16"/>
        <v/>
      </c>
      <c r="AF83" s="29">
        <f t="shared" si="17"/>
        <v>2113.5458092492231</v>
      </c>
      <c r="AG83" s="54" t="str">
        <f t="shared" si="18"/>
        <v/>
      </c>
      <c r="AH83" s="54">
        <f t="shared" si="19"/>
        <v>148.11633269828764</v>
      </c>
      <c r="AI83" s="66">
        <f t="shared" si="21"/>
        <v>2.8180610789989642E-5</v>
      </c>
      <c r="AJ83" s="67">
        <f t="shared" si="22"/>
        <v>226.86694533220464</v>
      </c>
    </row>
    <row r="84" spans="1:36" x14ac:dyDescent="0.3">
      <c r="A84" s="64">
        <v>2003</v>
      </c>
      <c r="B84" s="60">
        <v>18.7</v>
      </c>
      <c r="C84" s="61" t="s">
        <v>23</v>
      </c>
      <c r="D84" s="61" t="s">
        <v>26</v>
      </c>
      <c r="E84" s="61" t="s">
        <v>205</v>
      </c>
      <c r="F84" s="125" t="s">
        <v>182</v>
      </c>
      <c r="G84" s="28" t="s">
        <v>1989</v>
      </c>
      <c r="H84" s="28" t="s">
        <v>562</v>
      </c>
      <c r="I84" s="125" t="s">
        <v>2837</v>
      </c>
      <c r="J84" s="148" t="str">
        <f t="shared" si="20"/>
        <v>https://doi.org/10.1109/ISSCC.2003.1234321</v>
      </c>
      <c r="K84" s="28" t="s">
        <v>1050</v>
      </c>
      <c r="L84" s="60"/>
      <c r="M84" s="60"/>
      <c r="N84" s="60"/>
      <c r="O84" s="56" t="s">
        <v>1050</v>
      </c>
      <c r="P84" s="28">
        <v>25</v>
      </c>
      <c r="Q84" s="68"/>
      <c r="R84" s="63">
        <v>35000000</v>
      </c>
      <c r="S84" s="60">
        <f>11.8*6.02+1.76</f>
        <v>72.796000000000006</v>
      </c>
      <c r="T84" s="60"/>
      <c r="U84" s="60"/>
      <c r="V84" s="60"/>
      <c r="W84" s="60">
        <v>81</v>
      </c>
      <c r="X84" s="29">
        <f t="shared" si="13"/>
        <v>72.796000000000006</v>
      </c>
      <c r="Y84" s="63">
        <v>1</v>
      </c>
      <c r="Z84" s="63">
        <v>70000000</v>
      </c>
      <c r="AA84" s="64">
        <v>1</v>
      </c>
      <c r="AB84" s="63">
        <f t="shared" si="23"/>
        <v>70000000</v>
      </c>
      <c r="AC84" s="63" t="s">
        <v>2096</v>
      </c>
      <c r="AD84" s="65">
        <f t="shared" si="15"/>
        <v>14285.714285714286</v>
      </c>
      <c r="AE84" s="29" t="str">
        <f t="shared" si="16"/>
        <v/>
      </c>
      <c r="AF84" s="29">
        <f t="shared" si="17"/>
        <v>4006.3419189349675</v>
      </c>
      <c r="AG84" s="54" t="str">
        <f t="shared" si="18"/>
        <v/>
      </c>
      <c r="AH84" s="54">
        <f t="shared" si="19"/>
        <v>148.23668044350276</v>
      </c>
      <c r="AI84" s="66">
        <f t="shared" si="21"/>
        <v>5.7233455984785248E-5</v>
      </c>
      <c r="AJ84" s="67">
        <f t="shared" si="22"/>
        <v>226.68766084364535</v>
      </c>
    </row>
    <row r="85" spans="1:36" x14ac:dyDescent="0.3">
      <c r="A85" s="64">
        <v>2003</v>
      </c>
      <c r="B85" s="60">
        <v>23.6</v>
      </c>
      <c r="C85" s="61" t="s">
        <v>22</v>
      </c>
      <c r="D85" s="61" t="s">
        <v>30</v>
      </c>
      <c r="E85" s="61">
        <v>0.25</v>
      </c>
      <c r="F85" s="125" t="s">
        <v>563</v>
      </c>
      <c r="G85" s="28" t="s">
        <v>564</v>
      </c>
      <c r="H85" s="28" t="s">
        <v>565</v>
      </c>
      <c r="I85" s="125" t="s">
        <v>2838</v>
      </c>
      <c r="J85" s="148" t="str">
        <f t="shared" si="20"/>
        <v>https://doi.org/10.1109/ISSCC.2003.1234364</v>
      </c>
      <c r="K85" s="28" t="s">
        <v>1050</v>
      </c>
      <c r="L85" s="60"/>
      <c r="M85" s="60"/>
      <c r="N85" s="60"/>
      <c r="O85" s="56" t="s">
        <v>1050</v>
      </c>
      <c r="P85" s="28">
        <v>31</v>
      </c>
      <c r="Q85" s="68"/>
      <c r="R85" s="63">
        <v>12000000</v>
      </c>
      <c r="S85" s="60"/>
      <c r="T85" s="60">
        <v>79</v>
      </c>
      <c r="U85" s="60"/>
      <c r="V85" s="60"/>
      <c r="W85" s="60"/>
      <c r="X85" s="29">
        <f t="shared" si="13"/>
        <v>79</v>
      </c>
      <c r="Y85" s="63">
        <v>7.4999999999999997E-2</v>
      </c>
      <c r="Z85" s="63">
        <v>240000000</v>
      </c>
      <c r="AA85" s="64">
        <v>10</v>
      </c>
      <c r="AB85" s="63">
        <f t="shared" si="23"/>
        <v>24000000</v>
      </c>
      <c r="AC85" s="63" t="s">
        <v>2096</v>
      </c>
      <c r="AD85" s="65">
        <f t="shared" si="15"/>
        <v>3125</v>
      </c>
      <c r="AE85" s="29" t="str">
        <f t="shared" si="16"/>
        <v/>
      </c>
      <c r="AF85" s="29">
        <f t="shared" si="17"/>
        <v>429.00777233481517</v>
      </c>
      <c r="AG85" s="54" t="str">
        <f t="shared" si="18"/>
        <v/>
      </c>
      <c r="AH85" s="54">
        <f t="shared" si="19"/>
        <v>161.04119982655925</v>
      </c>
      <c r="AI85" s="66">
        <f t="shared" si="21"/>
        <v>1.7875323847283965E-5</v>
      </c>
      <c r="AJ85" s="67">
        <f t="shared" si="22"/>
        <v>234.84331224367531</v>
      </c>
    </row>
    <row r="86" spans="1:36" x14ac:dyDescent="0.3">
      <c r="A86" s="59">
        <v>2004</v>
      </c>
      <c r="B86" s="60">
        <v>4.0999999999999996</v>
      </c>
      <c r="C86" s="61" t="s">
        <v>22</v>
      </c>
      <c r="D86" s="61" t="s">
        <v>30</v>
      </c>
      <c r="E86" s="61">
        <v>0.18</v>
      </c>
      <c r="F86" s="125" t="s">
        <v>566</v>
      </c>
      <c r="G86" s="28" t="s">
        <v>1990</v>
      </c>
      <c r="H86" s="28" t="s">
        <v>567</v>
      </c>
      <c r="I86" s="125" t="s">
        <v>2839</v>
      </c>
      <c r="J86" s="148" t="str">
        <f t="shared" si="20"/>
        <v>https://doi.org/10.1109/ISSCC.2004.1332599</v>
      </c>
      <c r="K86" s="28" t="s">
        <v>1050</v>
      </c>
      <c r="L86" s="60">
        <v>1.8</v>
      </c>
      <c r="M86" s="60"/>
      <c r="N86" s="60"/>
      <c r="O86" s="56" t="s">
        <v>1050</v>
      </c>
      <c r="P86" s="28">
        <v>1.7</v>
      </c>
      <c r="Q86" s="68"/>
      <c r="R86" s="63">
        <v>10000000</v>
      </c>
      <c r="S86" s="60"/>
      <c r="T86" s="60">
        <v>63</v>
      </c>
      <c r="U86" s="60">
        <v>67</v>
      </c>
      <c r="V86" s="60"/>
      <c r="W86" s="60"/>
      <c r="X86" s="29">
        <f t="shared" si="13"/>
        <v>63</v>
      </c>
      <c r="Y86" s="63">
        <f>0.068*1.8</f>
        <v>0.12240000000000001</v>
      </c>
      <c r="Z86" s="63">
        <v>160000000</v>
      </c>
      <c r="AA86" s="64">
        <v>8</v>
      </c>
      <c r="AB86" s="63">
        <f t="shared" si="23"/>
        <v>20000000</v>
      </c>
      <c r="AC86" s="63" t="s">
        <v>2096</v>
      </c>
      <c r="AD86" s="65">
        <f t="shared" si="15"/>
        <v>6120</v>
      </c>
      <c r="AE86" s="29" t="str">
        <f t="shared" si="16"/>
        <v/>
      </c>
      <c r="AF86" s="29">
        <f t="shared" si="17"/>
        <v>5302.0800887231335</v>
      </c>
      <c r="AG86" s="54" t="str">
        <f t="shared" si="18"/>
        <v/>
      </c>
      <c r="AH86" s="54">
        <f t="shared" si="19"/>
        <v>142.12218582190457</v>
      </c>
      <c r="AI86" s="66">
        <f t="shared" si="21"/>
        <v>2.6510400443615668E-4</v>
      </c>
      <c r="AJ86" s="67">
        <f t="shared" si="22"/>
        <v>215.13248577854438</v>
      </c>
    </row>
    <row r="87" spans="1:36" x14ac:dyDescent="0.3">
      <c r="A87" s="64">
        <v>2004</v>
      </c>
      <c r="B87" s="60">
        <v>4.2</v>
      </c>
      <c r="C87" s="61" t="s">
        <v>22</v>
      </c>
      <c r="D87" s="61" t="s">
        <v>25</v>
      </c>
      <c r="E87" s="61">
        <v>0.18</v>
      </c>
      <c r="F87" s="125" t="s">
        <v>568</v>
      </c>
      <c r="G87" s="28" t="s">
        <v>1991</v>
      </c>
      <c r="H87" s="28" t="s">
        <v>569</v>
      </c>
      <c r="I87" s="125" t="s">
        <v>2840</v>
      </c>
      <c r="J87" s="148" t="str">
        <f t="shared" si="20"/>
        <v>https://doi.org/10.1109/ISSCC.2004.1332600</v>
      </c>
      <c r="K87" s="28" t="s">
        <v>1050</v>
      </c>
      <c r="L87" s="60">
        <v>1.8</v>
      </c>
      <c r="M87" s="60"/>
      <c r="N87" s="60"/>
      <c r="O87" s="56" t="s">
        <v>1050</v>
      </c>
      <c r="P87" s="28">
        <v>0.95</v>
      </c>
      <c r="Q87" s="68"/>
      <c r="R87" s="63">
        <v>12500000</v>
      </c>
      <c r="S87" s="60">
        <v>72</v>
      </c>
      <c r="T87" s="60">
        <v>82</v>
      </c>
      <c r="U87" s="60">
        <v>84</v>
      </c>
      <c r="V87" s="60"/>
      <c r="W87" s="60"/>
      <c r="X87" s="29">
        <f t="shared" si="13"/>
        <v>72</v>
      </c>
      <c r="Y87" s="63">
        <v>0.2</v>
      </c>
      <c r="Z87" s="63">
        <v>200000000</v>
      </c>
      <c r="AA87" s="64">
        <v>8</v>
      </c>
      <c r="AB87" s="63">
        <f t="shared" si="23"/>
        <v>25000000</v>
      </c>
      <c r="AC87" s="63" t="s">
        <v>2096</v>
      </c>
      <c r="AD87" s="65">
        <f t="shared" si="15"/>
        <v>8000.0000000000009</v>
      </c>
      <c r="AE87" s="29" t="str">
        <f t="shared" si="16"/>
        <v/>
      </c>
      <c r="AF87" s="29">
        <f t="shared" si="17"/>
        <v>2458.8951161593263</v>
      </c>
      <c r="AG87" s="54" t="str">
        <f t="shared" si="18"/>
        <v/>
      </c>
      <c r="AH87" s="54">
        <f t="shared" si="19"/>
        <v>149.95880017344075</v>
      </c>
      <c r="AI87" s="66">
        <f t="shared" si="21"/>
        <v>9.8355804646373053E-5</v>
      </c>
      <c r="AJ87" s="67">
        <f t="shared" si="22"/>
        <v>223.93820026016112</v>
      </c>
    </row>
    <row r="88" spans="1:36" x14ac:dyDescent="0.3">
      <c r="A88" s="64">
        <v>2004</v>
      </c>
      <c r="B88" s="60">
        <v>4.3</v>
      </c>
      <c r="C88" s="61" t="s">
        <v>22</v>
      </c>
      <c r="D88" s="61" t="s">
        <v>25</v>
      </c>
      <c r="E88" s="61">
        <v>0.18</v>
      </c>
      <c r="F88" s="125" t="s">
        <v>570</v>
      </c>
      <c r="G88" s="28" t="s">
        <v>571</v>
      </c>
      <c r="H88" s="28" t="s">
        <v>572</v>
      </c>
      <c r="I88" s="125" t="s">
        <v>2841</v>
      </c>
      <c r="J88" s="148" t="str">
        <f t="shared" si="20"/>
        <v>https://doi.org/10.1109/ISSCC.2004.1332601</v>
      </c>
      <c r="K88" s="28" t="s">
        <v>1050</v>
      </c>
      <c r="L88" s="60"/>
      <c r="M88" s="60"/>
      <c r="N88" s="60"/>
      <c r="O88" s="56" t="s">
        <v>1050</v>
      </c>
      <c r="P88" s="28">
        <v>0.2</v>
      </c>
      <c r="Q88" s="68"/>
      <c r="R88" s="63">
        <v>1100000</v>
      </c>
      <c r="S88" s="60">
        <f>12.5*6.02+1.76</f>
        <v>77.010000000000005</v>
      </c>
      <c r="T88" s="60">
        <v>77.3</v>
      </c>
      <c r="U88" s="60"/>
      <c r="V88" s="60"/>
      <c r="W88" s="60"/>
      <c r="X88" s="29">
        <f t="shared" si="13"/>
        <v>77.010000000000005</v>
      </c>
      <c r="Y88" s="63">
        <v>6.0000000000000001E-3</v>
      </c>
      <c r="Z88" s="63">
        <v>281600000</v>
      </c>
      <c r="AA88" s="64">
        <v>128</v>
      </c>
      <c r="AB88" s="63">
        <f t="shared" si="23"/>
        <v>2200000</v>
      </c>
      <c r="AC88" s="63" t="s">
        <v>2096</v>
      </c>
      <c r="AD88" s="65">
        <f t="shared" si="15"/>
        <v>2727.2727272727275</v>
      </c>
      <c r="AE88" s="29" t="str">
        <f t="shared" si="16"/>
        <v/>
      </c>
      <c r="AF88" s="29">
        <f t="shared" si="17"/>
        <v>470.81861318351434</v>
      </c>
      <c r="AG88" s="54" t="str">
        <f t="shared" si="18"/>
        <v/>
      </c>
      <c r="AH88" s="54">
        <f t="shared" si="19"/>
        <v>159.64241434774584</v>
      </c>
      <c r="AI88" s="66">
        <f t="shared" si="21"/>
        <v>2.1400846053796105E-4</v>
      </c>
      <c r="AJ88" s="67">
        <f t="shared" si="22"/>
        <v>223.06664115596791</v>
      </c>
    </row>
    <row r="89" spans="1:36" x14ac:dyDescent="0.3">
      <c r="A89" s="64">
        <v>2004</v>
      </c>
      <c r="B89" s="60">
        <v>4.4000000000000004</v>
      </c>
      <c r="C89" s="61" t="s">
        <v>22</v>
      </c>
      <c r="D89" s="61" t="s">
        <v>30</v>
      </c>
      <c r="E89" s="61">
        <v>0.13</v>
      </c>
      <c r="F89" s="125" t="s">
        <v>573</v>
      </c>
      <c r="G89" s="28" t="s">
        <v>1992</v>
      </c>
      <c r="H89" s="28" t="s">
        <v>574</v>
      </c>
      <c r="I89" s="125" t="s">
        <v>2817</v>
      </c>
      <c r="J89" s="148" t="str">
        <f t="shared" si="20"/>
        <v>https://doi.org/10.1109/ISSCC.2004.1332602</v>
      </c>
      <c r="K89" s="28" t="s">
        <v>1050</v>
      </c>
      <c r="L89" s="60"/>
      <c r="M89" s="60"/>
      <c r="N89" s="60"/>
      <c r="O89" s="56" t="s">
        <v>1050</v>
      </c>
      <c r="P89" s="28">
        <v>0.12</v>
      </c>
      <c r="Q89" s="68"/>
      <c r="R89" s="63">
        <v>1920000</v>
      </c>
      <c r="S89" s="60">
        <v>50.9</v>
      </c>
      <c r="T89" s="60">
        <v>53.2</v>
      </c>
      <c r="U89" s="60">
        <v>54</v>
      </c>
      <c r="V89" s="60"/>
      <c r="W89" s="60"/>
      <c r="X89" s="29">
        <f t="shared" si="13"/>
        <v>50.9</v>
      </c>
      <c r="Y89" s="63">
        <f>0.0015*0.9</f>
        <v>1.3500000000000001E-3</v>
      </c>
      <c r="Z89" s="63">
        <v>61440000</v>
      </c>
      <c r="AA89" s="64">
        <v>16</v>
      </c>
      <c r="AB89" s="63">
        <f t="shared" si="23"/>
        <v>3840000</v>
      </c>
      <c r="AC89" s="63" t="s">
        <v>2096</v>
      </c>
      <c r="AD89" s="65">
        <f t="shared" si="15"/>
        <v>351.5625</v>
      </c>
      <c r="AE89" s="29" t="str">
        <f t="shared" si="16"/>
        <v/>
      </c>
      <c r="AF89" s="29">
        <f t="shared" si="17"/>
        <v>1226.7546018557855</v>
      </c>
      <c r="AG89" s="54" t="str">
        <f t="shared" si="18"/>
        <v/>
      </c>
      <c r="AH89" s="54">
        <f t="shared" si="19"/>
        <v>142.42967460208544</v>
      </c>
      <c r="AI89" s="66">
        <f t="shared" si="21"/>
        <v>3.194673442332775E-4</v>
      </c>
      <c r="AJ89" s="67">
        <f t="shared" si="22"/>
        <v>208.27298684576073</v>
      </c>
    </row>
    <row r="90" spans="1:36" x14ac:dyDescent="0.3">
      <c r="A90" s="64">
        <v>2004</v>
      </c>
      <c r="B90" s="60">
        <v>4.5</v>
      </c>
      <c r="C90" s="61" t="s">
        <v>22</v>
      </c>
      <c r="D90" s="61" t="s">
        <v>25</v>
      </c>
      <c r="E90" s="61">
        <v>0.09</v>
      </c>
      <c r="F90" s="126" t="s">
        <v>575</v>
      </c>
      <c r="G90" s="28" t="s">
        <v>1993</v>
      </c>
      <c r="H90" s="28" t="s">
        <v>576</v>
      </c>
      <c r="I90" s="125" t="s">
        <v>2842</v>
      </c>
      <c r="J90" s="148" t="str">
        <f t="shared" si="20"/>
        <v>https://doi.org/10.1109/ISSCC.2004.1332603</v>
      </c>
      <c r="K90" s="28" t="s">
        <v>1050</v>
      </c>
      <c r="L90" s="60">
        <v>1</v>
      </c>
      <c r="M90" s="60"/>
      <c r="N90" s="60"/>
      <c r="O90" s="56" t="s">
        <v>1050</v>
      </c>
      <c r="P90" s="28">
        <v>0.18</v>
      </c>
      <c r="Q90" s="68"/>
      <c r="R90" s="63">
        <v>20000</v>
      </c>
      <c r="S90" s="60">
        <v>81</v>
      </c>
      <c r="T90" s="60">
        <v>85</v>
      </c>
      <c r="U90" s="60">
        <v>88</v>
      </c>
      <c r="V90" s="60"/>
      <c r="W90" s="60"/>
      <c r="X90" s="29">
        <f t="shared" si="13"/>
        <v>81</v>
      </c>
      <c r="Y90" s="63">
        <v>1.3999999999999999E-4</v>
      </c>
      <c r="Z90" s="63">
        <v>4000000</v>
      </c>
      <c r="AA90" s="64">
        <v>100</v>
      </c>
      <c r="AB90" s="63">
        <f t="shared" si="23"/>
        <v>40000</v>
      </c>
      <c r="AC90" s="63" t="s">
        <v>2096</v>
      </c>
      <c r="AD90" s="65">
        <f t="shared" si="15"/>
        <v>3499.9999999999995</v>
      </c>
      <c r="AE90" s="29" t="str">
        <f t="shared" si="16"/>
        <v/>
      </c>
      <c r="AF90" s="29">
        <f t="shared" si="17"/>
        <v>381.65698724402233</v>
      </c>
      <c r="AG90" s="54" t="str">
        <f t="shared" si="18"/>
        <v/>
      </c>
      <c r="AH90" s="54">
        <f t="shared" si="19"/>
        <v>162.54901959985744</v>
      </c>
      <c r="AI90" s="66">
        <f t="shared" si="21"/>
        <v>9.5414246811005576E-3</v>
      </c>
      <c r="AJ90" s="67">
        <f t="shared" si="22"/>
        <v>208.56961951313707</v>
      </c>
    </row>
    <row r="91" spans="1:36" x14ac:dyDescent="0.3">
      <c r="A91" s="64">
        <v>2004</v>
      </c>
      <c r="B91" s="60">
        <v>4.5999999999999996</v>
      </c>
      <c r="C91" s="61" t="s">
        <v>22</v>
      </c>
      <c r="D91" s="61" t="s">
        <v>25</v>
      </c>
      <c r="E91" s="61">
        <v>0.13</v>
      </c>
      <c r="F91" s="126" t="s">
        <v>577</v>
      </c>
      <c r="G91" s="28" t="s">
        <v>578</v>
      </c>
      <c r="H91" s="28" t="s">
        <v>579</v>
      </c>
      <c r="I91" s="125" t="s">
        <v>2843</v>
      </c>
      <c r="J91" s="148" t="str">
        <f t="shared" si="20"/>
        <v>https://doi.org/10.1109/ISSCC.2004.1332604</v>
      </c>
      <c r="K91" s="28" t="s">
        <v>809</v>
      </c>
      <c r="L91" s="60">
        <v>1.5</v>
      </c>
      <c r="M91" s="60"/>
      <c r="N91" s="60"/>
      <c r="O91" s="56" t="s">
        <v>1050</v>
      </c>
      <c r="P91" s="70" t="s">
        <v>1050</v>
      </c>
      <c r="Q91" s="68"/>
      <c r="R91" s="63">
        <v>1100000</v>
      </c>
      <c r="S91" s="60">
        <v>76</v>
      </c>
      <c r="T91" s="60">
        <v>78</v>
      </c>
      <c r="U91" s="60">
        <v>82</v>
      </c>
      <c r="V91" s="60"/>
      <c r="W91" s="60"/>
      <c r="X91" s="29">
        <f t="shared" si="13"/>
        <v>76</v>
      </c>
      <c r="Y91" s="63">
        <v>1.4999999999999999E-2</v>
      </c>
      <c r="Z91" s="63">
        <v>105000000</v>
      </c>
      <c r="AA91" s="64">
        <v>47.727272727272727</v>
      </c>
      <c r="AB91" s="63">
        <f t="shared" si="23"/>
        <v>2200000</v>
      </c>
      <c r="AC91" s="63" t="s">
        <v>2096</v>
      </c>
      <c r="AD91" s="65">
        <f t="shared" si="15"/>
        <v>6818.181818181818</v>
      </c>
      <c r="AE91" s="29" t="str">
        <f t="shared" si="16"/>
        <v/>
      </c>
      <c r="AF91" s="29">
        <f t="shared" si="17"/>
        <v>1322.2046035750379</v>
      </c>
      <c r="AG91" s="54" t="str">
        <f t="shared" si="18"/>
        <v/>
      </c>
      <c r="AH91" s="54">
        <f t="shared" si="19"/>
        <v>154.65301426102545</v>
      </c>
      <c r="AI91" s="66">
        <f t="shared" si="21"/>
        <v>6.010020925341082E-4</v>
      </c>
      <c r="AJ91" s="67">
        <f t="shared" si="22"/>
        <v>218.07724106924752</v>
      </c>
    </row>
    <row r="92" spans="1:36" x14ac:dyDescent="0.3">
      <c r="A92" s="64">
        <v>2004</v>
      </c>
      <c r="B92" s="60">
        <v>4.7</v>
      </c>
      <c r="C92" s="61" t="s">
        <v>22</v>
      </c>
      <c r="D92" s="61" t="s">
        <v>1957</v>
      </c>
      <c r="E92" s="61">
        <v>0.18</v>
      </c>
      <c r="F92" s="126" t="s">
        <v>580</v>
      </c>
      <c r="G92" s="28" t="s">
        <v>581</v>
      </c>
      <c r="H92" s="28" t="s">
        <v>582</v>
      </c>
      <c r="I92" s="125" t="s">
        <v>2844</v>
      </c>
      <c r="J92" s="148" t="str">
        <f t="shared" si="20"/>
        <v>https://doi.org/10.1109/ISSCC.2004.1332605</v>
      </c>
      <c r="K92" s="28" t="s">
        <v>1050</v>
      </c>
      <c r="L92" s="60">
        <v>1.8</v>
      </c>
      <c r="M92" s="60"/>
      <c r="N92" s="60"/>
      <c r="O92" s="56" t="s">
        <v>1050</v>
      </c>
      <c r="P92" s="28">
        <v>1.1000000000000001</v>
      </c>
      <c r="Q92" s="68"/>
      <c r="R92" s="63">
        <v>2500000</v>
      </c>
      <c r="S92" s="60"/>
      <c r="T92" s="60">
        <v>72</v>
      </c>
      <c r="U92" s="60"/>
      <c r="V92" s="60"/>
      <c r="W92" s="60">
        <v>86</v>
      </c>
      <c r="X92" s="29">
        <f t="shared" si="13"/>
        <v>72</v>
      </c>
      <c r="Y92" s="63">
        <v>0.15</v>
      </c>
      <c r="Z92" s="63">
        <v>120000000</v>
      </c>
      <c r="AA92" s="64">
        <v>24</v>
      </c>
      <c r="AB92" s="63">
        <f t="shared" si="23"/>
        <v>5000000</v>
      </c>
      <c r="AC92" s="63">
        <v>40000000</v>
      </c>
      <c r="AD92" s="65">
        <f t="shared" si="15"/>
        <v>29999.999999999996</v>
      </c>
      <c r="AE92" s="29" t="str">
        <f t="shared" si="16"/>
        <v/>
      </c>
      <c r="AF92" s="29">
        <f t="shared" si="17"/>
        <v>9220.8566855974714</v>
      </c>
      <c r="AG92" s="54" t="str">
        <f t="shared" si="18"/>
        <v/>
      </c>
      <c r="AH92" s="54">
        <f t="shared" si="19"/>
        <v>144.21848749616356</v>
      </c>
      <c r="AI92" s="66">
        <f t="shared" si="21"/>
        <v>1.8441713371194943E-3</v>
      </c>
      <c r="AJ92" s="67">
        <f t="shared" si="22"/>
        <v>211.20818753952375</v>
      </c>
    </row>
    <row r="93" spans="1:36" x14ac:dyDescent="0.3">
      <c r="A93" s="64">
        <v>2004</v>
      </c>
      <c r="B93" s="60">
        <v>4.8</v>
      </c>
      <c r="C93" s="61" t="s">
        <v>22</v>
      </c>
      <c r="D93" s="61" t="s">
        <v>30</v>
      </c>
      <c r="E93" s="61">
        <v>0.18</v>
      </c>
      <c r="F93" s="126" t="s">
        <v>583</v>
      </c>
      <c r="G93" s="28" t="s">
        <v>1994</v>
      </c>
      <c r="H93" s="28" t="s">
        <v>584</v>
      </c>
      <c r="I93" s="125" t="s">
        <v>2845</v>
      </c>
      <c r="J93" s="148" t="str">
        <f t="shared" si="20"/>
        <v>https://doi.org/10.1109/ISSCC.2004.1332606</v>
      </c>
      <c r="K93" s="28" t="s">
        <v>805</v>
      </c>
      <c r="L93" s="60"/>
      <c r="M93" s="60"/>
      <c r="N93" s="60"/>
      <c r="O93" s="56" t="s">
        <v>1050</v>
      </c>
      <c r="P93" s="28">
        <v>0.14000000000000001</v>
      </c>
      <c r="Q93" s="68"/>
      <c r="R93" s="63">
        <v>1000000</v>
      </c>
      <c r="S93" s="60">
        <v>65</v>
      </c>
      <c r="T93" s="60"/>
      <c r="U93" s="60">
        <v>68</v>
      </c>
      <c r="V93" s="60"/>
      <c r="W93" s="60"/>
      <c r="X93" s="29">
        <f t="shared" si="13"/>
        <v>65</v>
      </c>
      <c r="Y93" s="63">
        <f>0.00115*1.8</f>
        <v>2.0700000000000002E-3</v>
      </c>
      <c r="Z93" s="63">
        <v>64000000</v>
      </c>
      <c r="AA93" s="64">
        <v>32</v>
      </c>
      <c r="AB93" s="63">
        <f t="shared" si="23"/>
        <v>2000000</v>
      </c>
      <c r="AC93" s="63" t="s">
        <v>2096</v>
      </c>
      <c r="AD93" s="65">
        <f t="shared" si="15"/>
        <v>1035</v>
      </c>
      <c r="AE93" s="29" t="str">
        <f t="shared" si="16"/>
        <v/>
      </c>
      <c r="AF93" s="29">
        <f t="shared" si="17"/>
        <v>712.23817218562806</v>
      </c>
      <c r="AG93" s="54" t="str">
        <f t="shared" si="18"/>
        <v/>
      </c>
      <c r="AH93" s="54">
        <f t="shared" si="19"/>
        <v>151.84029654543082</v>
      </c>
      <c r="AI93" s="66">
        <f t="shared" si="21"/>
        <v>3.5611908609281404E-4</v>
      </c>
      <c r="AJ93" s="67">
        <f t="shared" si="22"/>
        <v>214.85059650207063</v>
      </c>
    </row>
    <row r="94" spans="1:36" x14ac:dyDescent="0.3">
      <c r="A94" s="64">
        <v>2004</v>
      </c>
      <c r="B94" s="60">
        <v>14.1</v>
      </c>
      <c r="C94" s="61" t="s">
        <v>23</v>
      </c>
      <c r="D94" s="61" t="s">
        <v>762</v>
      </c>
      <c r="E94" s="61">
        <v>0.18</v>
      </c>
      <c r="F94" s="125" t="s">
        <v>585</v>
      </c>
      <c r="G94" s="28" t="s">
        <v>586</v>
      </c>
      <c r="H94" s="28" t="s">
        <v>183</v>
      </c>
      <c r="I94" s="125" t="s">
        <v>2846</v>
      </c>
      <c r="J94" s="148" t="str">
        <f t="shared" si="20"/>
        <v>https://doi.org/10.1109/ISSCC.2004.1332689</v>
      </c>
      <c r="K94" s="28" t="s">
        <v>1050</v>
      </c>
      <c r="L94" s="60"/>
      <c r="M94" s="60"/>
      <c r="N94" s="60"/>
      <c r="O94" s="56" t="s">
        <v>1050</v>
      </c>
      <c r="P94" s="28">
        <v>8</v>
      </c>
      <c r="Q94" s="68"/>
      <c r="R94" s="63">
        <v>800000000</v>
      </c>
      <c r="S94" s="60"/>
      <c r="T94" s="60">
        <v>45.8</v>
      </c>
      <c r="U94" s="60"/>
      <c r="V94" s="60">
        <v>56</v>
      </c>
      <c r="W94" s="60">
        <v>55</v>
      </c>
      <c r="X94" s="29">
        <f t="shared" si="13"/>
        <v>45.8</v>
      </c>
      <c r="Y94" s="63">
        <f>1.8*(501+204)*0.001</f>
        <v>1.2690000000000001</v>
      </c>
      <c r="Z94" s="63">
        <f>1600000000</f>
        <v>1600000000</v>
      </c>
      <c r="AA94" s="64">
        <v>1</v>
      </c>
      <c r="AB94" s="63">
        <f t="shared" si="23"/>
        <v>1600000000</v>
      </c>
      <c r="AC94" s="63" t="s">
        <v>2096</v>
      </c>
      <c r="AD94" s="65">
        <f t="shared" si="15"/>
        <v>793.12500000000011</v>
      </c>
      <c r="AE94" s="29" t="str">
        <f t="shared" si="16"/>
        <v/>
      </c>
      <c r="AF94" s="29">
        <f t="shared" si="17"/>
        <v>4978.7715902297195</v>
      </c>
      <c r="AG94" s="54" t="str">
        <f t="shared" si="18"/>
        <v/>
      </c>
      <c r="AH94" s="54">
        <f t="shared" si="19"/>
        <v>133.79628364897238</v>
      </c>
      <c r="AI94" s="66">
        <f t="shared" si="21"/>
        <v>3.1117322438935748E-6</v>
      </c>
      <c r="AJ94" s="67">
        <f t="shared" si="22"/>
        <v>225.83748347553163</v>
      </c>
    </row>
    <row r="95" spans="1:36" x14ac:dyDescent="0.3">
      <c r="A95" s="64">
        <v>2004</v>
      </c>
      <c r="B95" s="60">
        <v>14.2</v>
      </c>
      <c r="C95" s="61" t="s">
        <v>23</v>
      </c>
      <c r="D95" s="61" t="s">
        <v>28</v>
      </c>
      <c r="E95" s="61">
        <v>0.18</v>
      </c>
      <c r="F95" s="125" t="s">
        <v>184</v>
      </c>
      <c r="G95" s="28" t="s">
        <v>1995</v>
      </c>
      <c r="H95" s="28" t="s">
        <v>185</v>
      </c>
      <c r="I95" s="125" t="s">
        <v>2714</v>
      </c>
      <c r="J95" s="148" t="str">
        <f t="shared" si="20"/>
        <v>https://doi.org/10.1109/ISSCC.2004.1332690</v>
      </c>
      <c r="K95" s="28" t="s">
        <v>1050</v>
      </c>
      <c r="L95" s="60">
        <v>3.3</v>
      </c>
      <c r="M95" s="60">
        <v>1.8</v>
      </c>
      <c r="N95" s="60"/>
      <c r="O95" s="56" t="s">
        <v>1050</v>
      </c>
      <c r="P95" s="28">
        <v>0.2</v>
      </c>
      <c r="Q95" s="68"/>
      <c r="R95" s="63">
        <v>300000000</v>
      </c>
      <c r="S95" s="60">
        <f>7.5*6.02+1.76</f>
        <v>46.91</v>
      </c>
      <c r="T95" s="60"/>
      <c r="U95" s="60"/>
      <c r="V95" s="60"/>
      <c r="W95" s="60"/>
      <c r="X95" s="29">
        <f t="shared" si="13"/>
        <v>46.91</v>
      </c>
      <c r="Y95" s="63">
        <v>0.2</v>
      </c>
      <c r="Z95" s="63">
        <v>600000000</v>
      </c>
      <c r="AA95" s="64">
        <v>1</v>
      </c>
      <c r="AB95" s="63">
        <f t="shared" si="23"/>
        <v>600000000</v>
      </c>
      <c r="AC95" s="63" t="s">
        <v>2096</v>
      </c>
      <c r="AD95" s="65">
        <f t="shared" si="15"/>
        <v>333.33333333333337</v>
      </c>
      <c r="AE95" s="29" t="str">
        <f t="shared" si="16"/>
        <v/>
      </c>
      <c r="AF95" s="29">
        <f t="shared" si="17"/>
        <v>1841.4239093399681</v>
      </c>
      <c r="AG95" s="54" t="str">
        <f t="shared" si="18"/>
        <v/>
      </c>
      <c r="AH95" s="54">
        <f t="shared" si="19"/>
        <v>138.67091259055681</v>
      </c>
      <c r="AI95" s="66">
        <f t="shared" si="21"/>
        <v>3.069039848899947E-6</v>
      </c>
      <c r="AJ95" s="67">
        <f t="shared" si="22"/>
        <v>226.45242509439325</v>
      </c>
    </row>
    <row r="96" spans="1:36" x14ac:dyDescent="0.3">
      <c r="A96" s="64">
        <v>2004</v>
      </c>
      <c r="B96" s="60">
        <v>14.3</v>
      </c>
      <c r="C96" s="61" t="s">
        <v>23</v>
      </c>
      <c r="D96" s="61" t="s">
        <v>26</v>
      </c>
      <c r="E96" s="61">
        <v>0.13</v>
      </c>
      <c r="F96" s="125" t="s">
        <v>186</v>
      </c>
      <c r="G96" s="28" t="s">
        <v>587</v>
      </c>
      <c r="H96" s="28" t="s">
        <v>588</v>
      </c>
      <c r="I96" s="125" t="s">
        <v>2847</v>
      </c>
      <c r="J96" s="148" t="str">
        <f t="shared" si="20"/>
        <v>https://doi.org/10.1109/ISSCC.2004.1332691</v>
      </c>
      <c r="K96" s="28" t="s">
        <v>1050</v>
      </c>
      <c r="L96" s="60">
        <v>0.9</v>
      </c>
      <c r="M96" s="60"/>
      <c r="N96" s="60"/>
      <c r="O96" s="56" t="s">
        <v>1050</v>
      </c>
      <c r="P96" s="28">
        <v>1.3</v>
      </c>
      <c r="Q96" s="68"/>
      <c r="R96" s="63">
        <v>110000000</v>
      </c>
      <c r="S96" s="60">
        <v>51</v>
      </c>
      <c r="T96" s="60"/>
      <c r="U96" s="60"/>
      <c r="V96" s="60"/>
      <c r="W96" s="60"/>
      <c r="X96" s="29">
        <f t="shared" si="13"/>
        <v>51</v>
      </c>
      <c r="Y96" s="63">
        <v>0.13500000000000001</v>
      </c>
      <c r="Z96" s="63">
        <v>220000000</v>
      </c>
      <c r="AA96" s="64">
        <v>1</v>
      </c>
      <c r="AB96" s="63">
        <f t="shared" si="23"/>
        <v>220000000</v>
      </c>
      <c r="AC96" s="63" t="s">
        <v>2096</v>
      </c>
      <c r="AD96" s="65">
        <f t="shared" si="15"/>
        <v>613.63636363636374</v>
      </c>
      <c r="AE96" s="29" t="str">
        <f t="shared" si="16"/>
        <v/>
      </c>
      <c r="AF96" s="29">
        <f t="shared" si="17"/>
        <v>2116.7313455183853</v>
      </c>
      <c r="AG96" s="54" t="str">
        <f t="shared" si="18"/>
        <v/>
      </c>
      <c r="AH96" s="54">
        <f t="shared" si="19"/>
        <v>140.1105891666322</v>
      </c>
      <c r="AI96" s="66">
        <f t="shared" si="21"/>
        <v>9.6215061159926603E-6</v>
      </c>
      <c r="AJ96" s="67">
        <f t="shared" si="22"/>
        <v>223.53481597485427</v>
      </c>
    </row>
    <row r="97" spans="1:36" x14ac:dyDescent="0.3">
      <c r="A97" s="64">
        <v>2004</v>
      </c>
      <c r="B97" s="60">
        <v>14.4</v>
      </c>
      <c r="C97" s="61" t="s">
        <v>23</v>
      </c>
      <c r="D97" s="61" t="s">
        <v>260</v>
      </c>
      <c r="E97" s="61">
        <v>0.18</v>
      </c>
      <c r="F97" s="125" t="s">
        <v>187</v>
      </c>
      <c r="G97" s="28" t="s">
        <v>589</v>
      </c>
      <c r="H97" s="28" t="s">
        <v>188</v>
      </c>
      <c r="I97" s="125" t="s">
        <v>2848</v>
      </c>
      <c r="J97" s="148" t="str">
        <f t="shared" si="20"/>
        <v>https://doi.org/10.1109/ISSCC.2004.1332692</v>
      </c>
      <c r="K97" s="28" t="s">
        <v>1050</v>
      </c>
      <c r="L97" s="60">
        <v>1.8</v>
      </c>
      <c r="M97" s="60"/>
      <c r="N97" s="60"/>
      <c r="O97" s="56" t="s">
        <v>1050</v>
      </c>
      <c r="P97" s="28">
        <v>1.8</v>
      </c>
      <c r="Q97" s="68"/>
      <c r="R97" s="63">
        <v>75000000</v>
      </c>
      <c r="S97" s="60">
        <v>45.4</v>
      </c>
      <c r="T97" s="60"/>
      <c r="U97" s="60"/>
      <c r="V97" s="60"/>
      <c r="W97" s="60">
        <v>52.5</v>
      </c>
      <c r="X97" s="29">
        <f t="shared" si="13"/>
        <v>45.4</v>
      </c>
      <c r="Y97" s="63">
        <v>7.0999999999999994E-2</v>
      </c>
      <c r="Z97" s="63">
        <v>150000000</v>
      </c>
      <c r="AA97" s="64">
        <v>1</v>
      </c>
      <c r="AB97" s="63">
        <f t="shared" si="23"/>
        <v>150000000</v>
      </c>
      <c r="AC97" s="63" t="s">
        <v>2096</v>
      </c>
      <c r="AD97" s="65">
        <f t="shared" si="15"/>
        <v>473.33333333333326</v>
      </c>
      <c r="AE97" s="29" t="str">
        <f t="shared" si="16"/>
        <v/>
      </c>
      <c r="AF97" s="29">
        <f t="shared" si="17"/>
        <v>3111.3555721233656</v>
      </c>
      <c r="AG97" s="54" t="str">
        <f t="shared" si="18"/>
        <v/>
      </c>
      <c r="AH97" s="54">
        <f t="shared" si="19"/>
        <v>135.63802914672627</v>
      </c>
      <c r="AI97" s="66">
        <f t="shared" si="21"/>
        <v>2.0742370480822438E-5</v>
      </c>
      <c r="AJ97" s="67">
        <f t="shared" si="22"/>
        <v>217.39894173728308</v>
      </c>
    </row>
    <row r="98" spans="1:36" x14ac:dyDescent="0.3">
      <c r="A98" s="64">
        <v>2004</v>
      </c>
      <c r="B98" s="60">
        <v>14.5</v>
      </c>
      <c r="C98" s="61" t="s">
        <v>23</v>
      </c>
      <c r="D98" s="61" t="s">
        <v>29</v>
      </c>
      <c r="E98" s="61">
        <v>0.13</v>
      </c>
      <c r="F98" s="125" t="s">
        <v>1996</v>
      </c>
      <c r="G98" s="28" t="s">
        <v>1997</v>
      </c>
      <c r="H98" s="28" t="s">
        <v>189</v>
      </c>
      <c r="I98" s="125" t="s">
        <v>2849</v>
      </c>
      <c r="J98" s="148" t="str">
        <f t="shared" si="20"/>
        <v>https://doi.org/10.1109/ISSCC.2004.1332693</v>
      </c>
      <c r="K98" s="28" t="s">
        <v>1050</v>
      </c>
      <c r="L98" s="60"/>
      <c r="M98" s="60"/>
      <c r="N98" s="60"/>
      <c r="O98" s="56" t="s">
        <v>1050</v>
      </c>
      <c r="P98" s="28">
        <v>0.09</v>
      </c>
      <c r="Q98" s="68"/>
      <c r="R98" s="63">
        <v>62500000</v>
      </c>
      <c r="S98" s="60">
        <f>7.6*6.02+1.76</f>
        <v>47.511999999999993</v>
      </c>
      <c r="T98" s="60"/>
      <c r="U98" s="60"/>
      <c r="V98" s="60"/>
      <c r="W98" s="60"/>
      <c r="X98" s="29">
        <f t="shared" si="13"/>
        <v>47.511999999999993</v>
      </c>
      <c r="Y98" s="63">
        <v>2.1000000000000001E-2</v>
      </c>
      <c r="Z98" s="63">
        <v>125000000</v>
      </c>
      <c r="AA98" s="64">
        <v>1</v>
      </c>
      <c r="AB98" s="63">
        <f t="shared" si="23"/>
        <v>125000000</v>
      </c>
      <c r="AC98" s="63" t="s">
        <v>2096</v>
      </c>
      <c r="AD98" s="65">
        <f t="shared" si="15"/>
        <v>168.00000000000003</v>
      </c>
      <c r="AE98" s="29" t="str">
        <f t="shared" ref="AE98:AE129" si="24">IF(ISNUMBER($Q98), $AD98*1000/2^(($Q98-1.76)/6.02), "")</f>
        <v/>
      </c>
      <c r="AF98" s="29">
        <f t="shared" si="17"/>
        <v>865.92706644471218</v>
      </c>
      <c r="AG98" s="54" t="str">
        <f t="shared" ref="AG98:AG129" si="25">IF(ISNUMBER($Q98), $Q98+10*LOG10($AB98/2/$Y98), "")</f>
        <v/>
      </c>
      <c r="AH98" s="54">
        <f t="shared" si="19"/>
        <v>142.24860722610154</v>
      </c>
      <c r="AI98" s="66">
        <f t="shared" si="21"/>
        <v>6.9274165315576974E-6</v>
      </c>
      <c r="AJ98" s="67">
        <f t="shared" si="22"/>
        <v>223.2177073561821</v>
      </c>
    </row>
    <row r="99" spans="1:36" x14ac:dyDescent="0.3">
      <c r="A99" s="64">
        <v>2004</v>
      </c>
      <c r="B99" s="60">
        <v>14.6</v>
      </c>
      <c r="C99" s="61" t="s">
        <v>23</v>
      </c>
      <c r="D99" s="61" t="s">
        <v>27</v>
      </c>
      <c r="E99" s="61" t="s">
        <v>2875</v>
      </c>
      <c r="F99" s="125" t="s">
        <v>190</v>
      </c>
      <c r="G99" s="28" t="s">
        <v>590</v>
      </c>
      <c r="H99" s="28" t="s">
        <v>591</v>
      </c>
      <c r="I99" s="125" t="s">
        <v>2850</v>
      </c>
      <c r="J99" s="148" t="str">
        <f t="shared" si="20"/>
        <v>https://doi.org/10.1109/ISSCC.2004.1332694</v>
      </c>
      <c r="K99" s="28" t="s">
        <v>1050</v>
      </c>
      <c r="L99" s="60"/>
      <c r="M99" s="60"/>
      <c r="N99" s="60"/>
      <c r="O99" s="56" t="s">
        <v>1050</v>
      </c>
      <c r="P99" s="28">
        <v>3.96</v>
      </c>
      <c r="Q99" s="68"/>
      <c r="R99" s="63">
        <v>13000000000</v>
      </c>
      <c r="S99" s="60">
        <v>20</v>
      </c>
      <c r="T99" s="60"/>
      <c r="U99" s="60"/>
      <c r="V99" s="60"/>
      <c r="W99" s="60"/>
      <c r="X99" s="29">
        <f t="shared" si="13"/>
        <v>20</v>
      </c>
      <c r="Y99" s="63">
        <v>3.8</v>
      </c>
      <c r="Z99" s="63">
        <v>40000000000</v>
      </c>
      <c r="AA99" s="64">
        <v>1</v>
      </c>
      <c r="AB99" s="63">
        <f t="shared" si="23"/>
        <v>40000000000</v>
      </c>
      <c r="AC99" s="63" t="s">
        <v>2096</v>
      </c>
      <c r="AD99" s="65">
        <f t="shared" si="15"/>
        <v>95</v>
      </c>
      <c r="AE99" s="29" t="str">
        <f t="shared" si="24"/>
        <v/>
      </c>
      <c r="AF99" s="29">
        <f t="shared" si="17"/>
        <v>11631.419556155899</v>
      </c>
      <c r="AG99" s="54" t="str">
        <f t="shared" si="25"/>
        <v/>
      </c>
      <c r="AH99" s="54">
        <f t="shared" si="19"/>
        <v>117.21246399047172</v>
      </c>
      <c r="AI99" s="66">
        <f t="shared" si="21"/>
        <v>2.9078548890389746E-7</v>
      </c>
      <c r="AJ99" s="67">
        <f t="shared" si="22"/>
        <v>223.23306390375134</v>
      </c>
    </row>
    <row r="100" spans="1:36" x14ac:dyDescent="0.3">
      <c r="A100" s="64">
        <v>2004</v>
      </c>
      <c r="B100" s="60">
        <v>14.7</v>
      </c>
      <c r="C100" s="61" t="s">
        <v>23</v>
      </c>
      <c r="D100" s="61" t="s">
        <v>592</v>
      </c>
      <c r="E100" s="61">
        <v>0.09</v>
      </c>
      <c r="F100" s="125" t="s">
        <v>191</v>
      </c>
      <c r="G100" s="28" t="s">
        <v>593</v>
      </c>
      <c r="H100" s="28" t="s">
        <v>594</v>
      </c>
      <c r="I100" s="125" t="s">
        <v>2851</v>
      </c>
      <c r="J100" s="148" t="str">
        <f t="shared" si="20"/>
        <v>https://doi.org/10.1109/ISSCC.2004.1332695</v>
      </c>
      <c r="K100" s="28" t="s">
        <v>1050</v>
      </c>
      <c r="L100" s="60"/>
      <c r="M100" s="60"/>
      <c r="N100" s="60"/>
      <c r="O100" s="56" t="s">
        <v>1050</v>
      </c>
      <c r="P100" s="28"/>
      <c r="Q100" s="68"/>
      <c r="R100" s="63">
        <v>300000000</v>
      </c>
      <c r="S100" s="60">
        <v>31</v>
      </c>
      <c r="T100" s="60"/>
      <c r="U100" s="60"/>
      <c r="V100" s="60"/>
      <c r="W100" s="60"/>
      <c r="X100" s="29">
        <f t="shared" si="13"/>
        <v>31</v>
      </c>
      <c r="Y100" s="63">
        <v>0.01</v>
      </c>
      <c r="Z100" s="63">
        <v>600000000</v>
      </c>
      <c r="AA100" s="64">
        <v>1</v>
      </c>
      <c r="AB100" s="63">
        <f t="shared" si="23"/>
        <v>600000000</v>
      </c>
      <c r="AC100" s="63" t="s">
        <v>2096</v>
      </c>
      <c r="AD100" s="65">
        <f t="shared" si="15"/>
        <v>16.666666666666668</v>
      </c>
      <c r="AE100" s="29" t="str">
        <f t="shared" si="24"/>
        <v/>
      </c>
      <c r="AF100" s="29">
        <f t="shared" si="17"/>
        <v>575.04662170511062</v>
      </c>
      <c r="AG100" s="54" t="str">
        <f t="shared" si="25"/>
        <v/>
      </c>
      <c r="AH100" s="54">
        <f t="shared" si="19"/>
        <v>135.77121254719663</v>
      </c>
      <c r="AI100" s="66">
        <f t="shared" si="21"/>
        <v>9.5841103617518443E-7</v>
      </c>
      <c r="AJ100" s="67">
        <f t="shared" si="22"/>
        <v>223.55272505103306</v>
      </c>
    </row>
    <row r="101" spans="1:36" x14ac:dyDescent="0.3">
      <c r="A101" s="64">
        <v>2004</v>
      </c>
      <c r="B101" s="60">
        <v>25.1</v>
      </c>
      <c r="C101" s="61" t="s">
        <v>23</v>
      </c>
      <c r="D101" s="61" t="s">
        <v>26</v>
      </c>
      <c r="E101" s="61">
        <v>0.18</v>
      </c>
      <c r="F101" s="125" t="s">
        <v>192</v>
      </c>
      <c r="G101" s="28" t="s">
        <v>595</v>
      </c>
      <c r="H101" s="28" t="s">
        <v>596</v>
      </c>
      <c r="I101" s="125" t="s">
        <v>2852</v>
      </c>
      <c r="J101" s="148" t="str">
        <f t="shared" si="20"/>
        <v>https://doi.org/10.1109/ISSCC.2004.1332789</v>
      </c>
      <c r="K101" s="28" t="s">
        <v>1050</v>
      </c>
      <c r="L101" s="60"/>
      <c r="M101" s="60"/>
      <c r="N101" s="60"/>
      <c r="O101" s="56" t="s">
        <v>1050</v>
      </c>
      <c r="P101" s="28">
        <v>20</v>
      </c>
      <c r="Q101" s="68"/>
      <c r="R101" s="63">
        <v>20000000</v>
      </c>
      <c r="S101" s="60"/>
      <c r="T101" s="60">
        <v>72</v>
      </c>
      <c r="U101" s="60"/>
      <c r="V101" s="60">
        <v>88</v>
      </c>
      <c r="W101" s="60">
        <v>90</v>
      </c>
      <c r="X101" s="29">
        <f t="shared" si="13"/>
        <v>72</v>
      </c>
      <c r="Y101" s="63">
        <v>0.39400000000000002</v>
      </c>
      <c r="Z101" s="63">
        <v>40000000</v>
      </c>
      <c r="AA101" s="64">
        <v>1</v>
      </c>
      <c r="AB101" s="63">
        <f t="shared" si="23"/>
        <v>40000000</v>
      </c>
      <c r="AC101" s="63" t="s">
        <v>2096</v>
      </c>
      <c r="AD101" s="65">
        <f t="shared" si="15"/>
        <v>9850</v>
      </c>
      <c r="AE101" s="29" t="str">
        <f t="shared" si="24"/>
        <v/>
      </c>
      <c r="AF101" s="29">
        <f t="shared" si="17"/>
        <v>3027.5146117711706</v>
      </c>
      <c r="AG101" s="54" t="str">
        <f t="shared" si="25"/>
        <v/>
      </c>
      <c r="AH101" s="54">
        <f t="shared" si="19"/>
        <v>149.05533773838408</v>
      </c>
      <c r="AI101" s="66">
        <f t="shared" si="21"/>
        <v>7.5687865294279272E-5</v>
      </c>
      <c r="AJ101" s="67">
        <f t="shared" si="22"/>
        <v>225.07593765166371</v>
      </c>
    </row>
    <row r="102" spans="1:36" x14ac:dyDescent="0.3">
      <c r="A102" s="64">
        <v>2004</v>
      </c>
      <c r="B102" s="60">
        <v>25.2</v>
      </c>
      <c r="C102" s="61" t="s">
        <v>23</v>
      </c>
      <c r="D102" s="61" t="s">
        <v>26</v>
      </c>
      <c r="E102" s="61">
        <v>0.18</v>
      </c>
      <c r="F102" s="125" t="s">
        <v>193</v>
      </c>
      <c r="G102" s="28" t="s">
        <v>1998</v>
      </c>
      <c r="H102" s="28" t="s">
        <v>597</v>
      </c>
      <c r="I102" s="125" t="s">
        <v>2853</v>
      </c>
      <c r="J102" s="148" t="str">
        <f t="shared" si="20"/>
        <v>https://doi.org/10.1109/ISSCC.2004.1332790</v>
      </c>
      <c r="K102" s="28" t="s">
        <v>1050</v>
      </c>
      <c r="L102" s="60"/>
      <c r="M102" s="60"/>
      <c r="N102" s="60"/>
      <c r="O102" s="56" t="s">
        <v>1050</v>
      </c>
      <c r="P102" s="28">
        <v>11.22</v>
      </c>
      <c r="Q102" s="68"/>
      <c r="R102" s="63">
        <v>10000000</v>
      </c>
      <c r="S102" s="60">
        <v>74</v>
      </c>
      <c r="T102" s="60"/>
      <c r="U102" s="60"/>
      <c r="V102" s="60"/>
      <c r="W102" s="60">
        <v>94</v>
      </c>
      <c r="X102" s="29">
        <f t="shared" si="13"/>
        <v>74</v>
      </c>
      <c r="Y102" s="63">
        <v>0.23300000000000001</v>
      </c>
      <c r="Z102" s="63">
        <v>20000000</v>
      </c>
      <c r="AA102" s="64">
        <v>1</v>
      </c>
      <c r="AB102" s="63">
        <f t="shared" si="23"/>
        <v>20000000</v>
      </c>
      <c r="AC102" s="63" t="s">
        <v>2096</v>
      </c>
      <c r="AD102" s="65">
        <f t="shared" si="15"/>
        <v>11650</v>
      </c>
      <c r="AE102" s="29" t="str">
        <f t="shared" si="24"/>
        <v/>
      </c>
      <c r="AF102" s="29">
        <f t="shared" si="17"/>
        <v>2844.23828125</v>
      </c>
      <c r="AG102" s="54" t="str">
        <f t="shared" si="25"/>
        <v/>
      </c>
      <c r="AH102" s="54">
        <f t="shared" si="19"/>
        <v>150.32644078973982</v>
      </c>
      <c r="AI102" s="66">
        <f t="shared" si="21"/>
        <v>1.422119140625E-4</v>
      </c>
      <c r="AJ102" s="67">
        <f t="shared" si="22"/>
        <v>223.33674074637963</v>
      </c>
    </row>
    <row r="103" spans="1:36" x14ac:dyDescent="0.3">
      <c r="A103" s="64">
        <v>2004</v>
      </c>
      <c r="B103" s="60">
        <v>25.3</v>
      </c>
      <c r="C103" s="61" t="s">
        <v>23</v>
      </c>
      <c r="D103" s="61" t="s">
        <v>26</v>
      </c>
      <c r="E103" s="61">
        <v>0.25</v>
      </c>
      <c r="F103" s="125" t="s">
        <v>194</v>
      </c>
      <c r="G103" s="28" t="s">
        <v>598</v>
      </c>
      <c r="H103" s="28" t="s">
        <v>195</v>
      </c>
      <c r="I103" s="125" t="s">
        <v>2245</v>
      </c>
      <c r="J103" s="148" t="str">
        <f t="shared" si="20"/>
        <v>https://doi.org/10.1109/ISSCC.2004.1332791</v>
      </c>
      <c r="K103" s="28" t="s">
        <v>1050</v>
      </c>
      <c r="L103" s="60"/>
      <c r="M103" s="60"/>
      <c r="N103" s="60"/>
      <c r="O103" s="56" t="s">
        <v>1050</v>
      </c>
      <c r="P103" s="28">
        <v>5.55</v>
      </c>
      <c r="Q103" s="68"/>
      <c r="R103" s="63">
        <v>25000000</v>
      </c>
      <c r="S103" s="60">
        <v>75</v>
      </c>
      <c r="T103" s="60"/>
      <c r="U103" s="60"/>
      <c r="V103" s="60"/>
      <c r="W103" s="60">
        <v>96</v>
      </c>
      <c r="X103" s="29">
        <f t="shared" si="13"/>
        <v>75</v>
      </c>
      <c r="Y103" s="63">
        <v>0.78</v>
      </c>
      <c r="Z103" s="63">
        <v>50000000</v>
      </c>
      <c r="AA103" s="64">
        <v>1</v>
      </c>
      <c r="AB103" s="63">
        <f t="shared" si="23"/>
        <v>50000000</v>
      </c>
      <c r="AC103" s="63" t="s">
        <v>2096</v>
      </c>
      <c r="AD103" s="65">
        <f t="shared" si="15"/>
        <v>15600</v>
      </c>
      <c r="AE103" s="29" t="str">
        <f t="shared" si="24"/>
        <v/>
      </c>
      <c r="AF103" s="29">
        <f t="shared" si="17"/>
        <v>3394.3738087224033</v>
      </c>
      <c r="AG103" s="54" t="str">
        <f t="shared" si="25"/>
        <v/>
      </c>
      <c r="AH103" s="54">
        <f t="shared" si="19"/>
        <v>150.05845405981557</v>
      </c>
      <c r="AI103" s="66">
        <f t="shared" si="21"/>
        <v>6.7887476174448066E-5</v>
      </c>
      <c r="AJ103" s="67">
        <f t="shared" si="22"/>
        <v>227.04815410317576</v>
      </c>
    </row>
    <row r="104" spans="1:36" x14ac:dyDescent="0.3">
      <c r="A104" s="64">
        <v>2004</v>
      </c>
      <c r="B104" s="60">
        <v>25.4</v>
      </c>
      <c r="C104" s="61" t="s">
        <v>23</v>
      </c>
      <c r="D104" s="61" t="s">
        <v>26</v>
      </c>
      <c r="E104" s="61">
        <v>0.18</v>
      </c>
      <c r="F104" s="125" t="s">
        <v>599</v>
      </c>
      <c r="G104" s="28" t="s">
        <v>1999</v>
      </c>
      <c r="H104" s="28" t="s">
        <v>600</v>
      </c>
      <c r="I104" s="125" t="s">
        <v>2854</v>
      </c>
      <c r="J104" s="148" t="str">
        <f t="shared" si="20"/>
        <v>https://doi.org/10.1109/ISSCC.2004.1332792</v>
      </c>
      <c r="K104" s="28" t="s">
        <v>1050</v>
      </c>
      <c r="L104" s="60"/>
      <c r="M104" s="60"/>
      <c r="N104" s="60"/>
      <c r="O104" s="56" t="s">
        <v>1050</v>
      </c>
      <c r="P104" s="28">
        <v>15</v>
      </c>
      <c r="Q104" s="68"/>
      <c r="R104" s="63">
        <v>5000000</v>
      </c>
      <c r="S104" s="60">
        <v>73.599999999999994</v>
      </c>
      <c r="T104" s="60"/>
      <c r="U104" s="60"/>
      <c r="V104" s="60"/>
      <c r="W104" s="60">
        <v>99</v>
      </c>
      <c r="X104" s="29">
        <f t="shared" si="13"/>
        <v>73.599999999999994</v>
      </c>
      <c r="Y104" s="63">
        <v>0.112</v>
      </c>
      <c r="Z104" s="63">
        <v>10000000</v>
      </c>
      <c r="AA104" s="64">
        <v>1</v>
      </c>
      <c r="AB104" s="63">
        <f t="shared" si="23"/>
        <v>10000000</v>
      </c>
      <c r="AC104" s="63" t="s">
        <v>2096</v>
      </c>
      <c r="AD104" s="65">
        <f t="shared" si="15"/>
        <v>11200.000000000002</v>
      </c>
      <c r="AE104" s="29" t="str">
        <f t="shared" si="24"/>
        <v/>
      </c>
      <c r="AF104" s="29">
        <f t="shared" si="17"/>
        <v>2863.2552636182741</v>
      </c>
      <c r="AG104" s="54" t="str">
        <f t="shared" si="25"/>
        <v/>
      </c>
      <c r="AH104" s="54">
        <f t="shared" si="19"/>
        <v>150.09751981665835</v>
      </c>
      <c r="AI104" s="66">
        <f t="shared" si="21"/>
        <v>2.8632552636182742E-4</v>
      </c>
      <c r="AJ104" s="67">
        <f t="shared" si="22"/>
        <v>220.09751981665835</v>
      </c>
    </row>
    <row r="105" spans="1:36" x14ac:dyDescent="0.3">
      <c r="A105" s="64">
        <v>2004</v>
      </c>
      <c r="B105" s="60">
        <v>25.5</v>
      </c>
      <c r="C105" s="61" t="s">
        <v>23</v>
      </c>
      <c r="D105" s="61" t="s">
        <v>26</v>
      </c>
      <c r="E105" s="61">
        <v>0.25</v>
      </c>
      <c r="F105" s="125" t="s">
        <v>196</v>
      </c>
      <c r="G105" s="28" t="s">
        <v>2000</v>
      </c>
      <c r="H105" s="28" t="s">
        <v>601</v>
      </c>
      <c r="I105" s="125" t="s">
        <v>2855</v>
      </c>
      <c r="J105" s="148" t="str">
        <f t="shared" si="20"/>
        <v>https://doi.org/10.1109/ISSCC.2004.1332793</v>
      </c>
      <c r="K105" s="28" t="s">
        <v>1050</v>
      </c>
      <c r="L105" s="60"/>
      <c r="M105" s="60"/>
      <c r="N105" s="60"/>
      <c r="O105" s="56" t="s">
        <v>1050</v>
      </c>
      <c r="P105" s="28">
        <v>19.600000000000001</v>
      </c>
      <c r="Q105" s="68"/>
      <c r="R105" s="63">
        <v>40000000</v>
      </c>
      <c r="S105" s="60">
        <v>72.599999999999994</v>
      </c>
      <c r="T105" s="60"/>
      <c r="U105" s="60"/>
      <c r="V105" s="60"/>
      <c r="W105" s="60">
        <v>84.5</v>
      </c>
      <c r="X105" s="29">
        <f t="shared" si="13"/>
        <v>72.599999999999994</v>
      </c>
      <c r="Y105" s="63">
        <v>0.755</v>
      </c>
      <c r="Z105" s="63">
        <v>80000000</v>
      </c>
      <c r="AA105" s="64">
        <v>1</v>
      </c>
      <c r="AB105" s="63">
        <f t="shared" si="23"/>
        <v>80000000</v>
      </c>
      <c r="AC105" s="63" t="s">
        <v>2096</v>
      </c>
      <c r="AD105" s="65">
        <f t="shared" si="15"/>
        <v>9437.5</v>
      </c>
      <c r="AE105" s="29" t="str">
        <f t="shared" si="24"/>
        <v/>
      </c>
      <c r="AF105" s="29">
        <f t="shared" si="17"/>
        <v>2707.0980897614513</v>
      </c>
      <c r="AG105" s="54" t="str">
        <f t="shared" si="25"/>
        <v/>
      </c>
      <c r="AH105" s="54">
        <f t="shared" si="19"/>
        <v>149.84113039698775</v>
      </c>
      <c r="AI105" s="66">
        <f t="shared" si="21"/>
        <v>3.3838726122018142E-5</v>
      </c>
      <c r="AJ105" s="67">
        <f t="shared" si="22"/>
        <v>228.87203026690719</v>
      </c>
    </row>
    <row r="106" spans="1:36" x14ac:dyDescent="0.3">
      <c r="A106" s="64">
        <v>2004</v>
      </c>
      <c r="B106" s="60">
        <v>25.6</v>
      </c>
      <c r="C106" s="61" t="s">
        <v>23</v>
      </c>
      <c r="D106" s="61" t="s">
        <v>26</v>
      </c>
      <c r="E106" s="61">
        <v>0.13</v>
      </c>
      <c r="F106" s="125" t="s">
        <v>197</v>
      </c>
      <c r="G106" s="28" t="s">
        <v>2001</v>
      </c>
      <c r="H106" s="28" t="s">
        <v>602</v>
      </c>
      <c r="I106" s="125" t="s">
        <v>2856</v>
      </c>
      <c r="J106" s="148" t="str">
        <f t="shared" si="20"/>
        <v>https://doi.org/10.1109/ISSCC.2004.1332794</v>
      </c>
      <c r="K106" s="28" t="s">
        <v>1050</v>
      </c>
      <c r="L106" s="60"/>
      <c r="M106" s="60"/>
      <c r="N106" s="60"/>
      <c r="O106" s="56" t="s">
        <v>1050</v>
      </c>
      <c r="P106" s="28">
        <v>0.3</v>
      </c>
      <c r="Q106" s="68"/>
      <c r="R106" s="63">
        <v>40000000</v>
      </c>
      <c r="S106" s="60">
        <f>9*6.02+1.76</f>
        <v>55.939999999999991</v>
      </c>
      <c r="T106" s="60"/>
      <c r="U106" s="60"/>
      <c r="V106" s="60"/>
      <c r="W106" s="60"/>
      <c r="X106" s="29">
        <f t="shared" si="13"/>
        <v>55.939999999999991</v>
      </c>
      <c r="Y106" s="63">
        <v>3.3000000000000002E-2</v>
      </c>
      <c r="Z106" s="63">
        <v>80000000</v>
      </c>
      <c r="AA106" s="64">
        <v>1</v>
      </c>
      <c r="AB106" s="63">
        <f t="shared" ref="AB106:AB123" si="26">Z106/AA106</f>
        <v>80000000</v>
      </c>
      <c r="AC106" s="63" t="s">
        <v>2096</v>
      </c>
      <c r="AD106" s="65">
        <f t="shared" si="15"/>
        <v>412.5</v>
      </c>
      <c r="AE106" s="29" t="str">
        <f t="shared" si="24"/>
        <v/>
      </c>
      <c r="AF106" s="29">
        <f t="shared" si="17"/>
        <v>805.6640625</v>
      </c>
      <c r="AG106" s="54" t="str">
        <f t="shared" si="25"/>
        <v/>
      </c>
      <c r="AH106" s="54">
        <f t="shared" si="19"/>
        <v>146.77546051450074</v>
      </c>
      <c r="AI106" s="66">
        <f t="shared" si="21"/>
        <v>1.007080078125E-5</v>
      </c>
      <c r="AJ106" s="67">
        <f t="shared" si="22"/>
        <v>225.80636038442017</v>
      </c>
    </row>
    <row r="107" spans="1:36" x14ac:dyDescent="0.3">
      <c r="A107" s="64">
        <v>2004</v>
      </c>
      <c r="B107" s="60">
        <v>25.7</v>
      </c>
      <c r="C107" s="61" t="s">
        <v>23</v>
      </c>
      <c r="D107" s="61" t="s">
        <v>26</v>
      </c>
      <c r="E107" s="61">
        <v>0.18</v>
      </c>
      <c r="F107" s="125" t="s">
        <v>603</v>
      </c>
      <c r="G107" s="28" t="s">
        <v>2002</v>
      </c>
      <c r="H107" s="28" t="s">
        <v>604</v>
      </c>
      <c r="I107" s="125" t="s">
        <v>2857</v>
      </c>
      <c r="J107" s="148" t="str">
        <f t="shared" si="20"/>
        <v>https://doi.org/10.1109/ISSCC.2004.1332795</v>
      </c>
      <c r="K107" s="28" t="s">
        <v>1050</v>
      </c>
      <c r="L107" s="60"/>
      <c r="M107" s="60"/>
      <c r="N107" s="60"/>
      <c r="O107" s="56" t="s">
        <v>1050</v>
      </c>
      <c r="P107" s="28">
        <v>15.96</v>
      </c>
      <c r="Q107" s="68"/>
      <c r="R107" s="63">
        <v>15000000</v>
      </c>
      <c r="S107" s="60">
        <v>61</v>
      </c>
      <c r="T107" s="60"/>
      <c r="U107" s="60"/>
      <c r="V107" s="60">
        <v>78</v>
      </c>
      <c r="W107" s="60">
        <v>84</v>
      </c>
      <c r="X107" s="29">
        <f t="shared" si="13"/>
        <v>61</v>
      </c>
      <c r="Y107" s="63">
        <v>0.35</v>
      </c>
      <c r="Z107" s="63">
        <v>30000000</v>
      </c>
      <c r="AA107" s="64">
        <v>1</v>
      </c>
      <c r="AB107" s="63">
        <f t="shared" si="26"/>
        <v>30000000</v>
      </c>
      <c r="AC107" s="63" t="s">
        <v>2096</v>
      </c>
      <c r="AD107" s="65">
        <f t="shared" si="15"/>
        <v>11666.666666666666</v>
      </c>
      <c r="AE107" s="29" t="str">
        <f t="shared" si="24"/>
        <v/>
      </c>
      <c r="AF107" s="29">
        <f t="shared" si="17"/>
        <v>12724.819081415721</v>
      </c>
      <c r="AG107" s="54" t="str">
        <f t="shared" si="25"/>
        <v/>
      </c>
      <c r="AH107" s="54">
        <f t="shared" si="19"/>
        <v>137.32023214705407</v>
      </c>
      <c r="AI107" s="66">
        <f t="shared" si="21"/>
        <v>4.241606360471907E-4</v>
      </c>
      <c r="AJ107" s="67">
        <f t="shared" si="22"/>
        <v>212.0914446942507</v>
      </c>
    </row>
    <row r="108" spans="1:36" x14ac:dyDescent="0.3">
      <c r="A108" s="59">
        <v>2005</v>
      </c>
      <c r="B108" s="60">
        <v>9.1</v>
      </c>
      <c r="C108" s="61" t="s">
        <v>22</v>
      </c>
      <c r="D108" s="61" t="s">
        <v>605</v>
      </c>
      <c r="E108" s="61">
        <v>0.35</v>
      </c>
      <c r="F108" s="125" t="s">
        <v>606</v>
      </c>
      <c r="G108" s="28" t="s">
        <v>607</v>
      </c>
      <c r="H108" s="28" t="s">
        <v>608</v>
      </c>
      <c r="I108" s="125" t="s">
        <v>2858</v>
      </c>
      <c r="J108" s="148" t="str">
        <f t="shared" si="20"/>
        <v>https://doi.org/10.1109/ISSCC.2005.1493921</v>
      </c>
      <c r="K108" s="28" t="s">
        <v>1050</v>
      </c>
      <c r="L108" s="60">
        <v>0.6</v>
      </c>
      <c r="M108" s="60"/>
      <c r="N108" s="60"/>
      <c r="O108" s="56" t="s">
        <v>1050</v>
      </c>
      <c r="P108" s="28">
        <v>2.88</v>
      </c>
      <c r="Q108" s="68"/>
      <c r="R108" s="63">
        <v>24000</v>
      </c>
      <c r="S108" s="60">
        <v>81</v>
      </c>
      <c r="T108" s="60">
        <v>81</v>
      </c>
      <c r="U108" s="60">
        <v>82</v>
      </c>
      <c r="V108" s="60"/>
      <c r="W108" s="60">
        <v>103</v>
      </c>
      <c r="X108" s="29">
        <f t="shared" si="13"/>
        <v>81</v>
      </c>
      <c r="Y108" s="63">
        <v>1E-3</v>
      </c>
      <c r="Z108" s="63">
        <v>3072000</v>
      </c>
      <c r="AA108" s="64">
        <v>64</v>
      </c>
      <c r="AB108" s="63">
        <f t="shared" si="26"/>
        <v>48000</v>
      </c>
      <c r="AC108" s="63" t="s">
        <v>2096</v>
      </c>
      <c r="AD108" s="65">
        <f t="shared" si="15"/>
        <v>20833.333333333336</v>
      </c>
      <c r="AE108" s="29" t="str">
        <f t="shared" si="24"/>
        <v/>
      </c>
      <c r="AF108" s="29">
        <f t="shared" si="17"/>
        <v>2271.7677812144193</v>
      </c>
      <c r="AG108" s="54" t="str">
        <f t="shared" si="25"/>
        <v/>
      </c>
      <c r="AH108" s="54">
        <f t="shared" si="19"/>
        <v>154.80211241711606</v>
      </c>
      <c r="AI108" s="66">
        <f t="shared" si="21"/>
        <v>4.7328495441967065E-2</v>
      </c>
      <c r="AJ108" s="67">
        <f t="shared" si="22"/>
        <v>201.61452479087194</v>
      </c>
    </row>
    <row r="109" spans="1:36" x14ac:dyDescent="0.3">
      <c r="A109" s="64">
        <v>2005</v>
      </c>
      <c r="B109" s="60">
        <v>9.1999999999999993</v>
      </c>
      <c r="C109" s="61" t="s">
        <v>22</v>
      </c>
      <c r="D109" s="61" t="s">
        <v>25</v>
      </c>
      <c r="E109" s="61">
        <v>0.09</v>
      </c>
      <c r="F109" s="125" t="s">
        <v>609</v>
      </c>
      <c r="G109" s="28" t="s">
        <v>610</v>
      </c>
      <c r="H109" s="28" t="s">
        <v>611</v>
      </c>
      <c r="I109" s="125" t="s">
        <v>2859</v>
      </c>
      <c r="J109" s="148" t="str">
        <f t="shared" si="20"/>
        <v>https://doi.org/10.1109/ISSCC.2005.1493922</v>
      </c>
      <c r="K109" s="28" t="s">
        <v>1050</v>
      </c>
      <c r="L109" s="60">
        <v>1.3</v>
      </c>
      <c r="M109" s="60"/>
      <c r="N109" s="60"/>
      <c r="O109" s="56" t="s">
        <v>1050</v>
      </c>
      <c r="P109" s="28">
        <v>0.4</v>
      </c>
      <c r="Q109" s="68"/>
      <c r="R109" s="63">
        <v>2000000</v>
      </c>
      <c r="S109" s="60">
        <v>51</v>
      </c>
      <c r="T109" s="60"/>
      <c r="U109" s="60">
        <v>58</v>
      </c>
      <c r="V109" s="60"/>
      <c r="W109" s="60"/>
      <c r="X109" s="29">
        <f t="shared" si="13"/>
        <v>51</v>
      </c>
      <c r="Y109" s="63">
        <v>2.0999999999999999E-3</v>
      </c>
      <c r="Z109" s="63">
        <v>40000000</v>
      </c>
      <c r="AA109" s="64">
        <v>10</v>
      </c>
      <c r="AB109" s="63">
        <f t="shared" si="26"/>
        <v>4000000</v>
      </c>
      <c r="AC109" s="63" t="s">
        <v>2096</v>
      </c>
      <c r="AD109" s="65">
        <f t="shared" si="15"/>
        <v>525</v>
      </c>
      <c r="AE109" s="29" t="str">
        <f t="shared" si="24"/>
        <v/>
      </c>
      <c r="AF109" s="29">
        <f t="shared" si="17"/>
        <v>1810.9812622768402</v>
      </c>
      <c r="AG109" s="54" t="str">
        <f t="shared" si="25"/>
        <v/>
      </c>
      <c r="AH109" s="54">
        <f t="shared" si="19"/>
        <v>140.78810700930063</v>
      </c>
      <c r="AI109" s="66">
        <f t="shared" si="21"/>
        <v>4.5274531556921003E-4</v>
      </c>
      <c r="AJ109" s="67">
        <f t="shared" si="22"/>
        <v>206.80870692258026</v>
      </c>
    </row>
    <row r="110" spans="1:36" x14ac:dyDescent="0.3">
      <c r="A110" s="64">
        <v>2005</v>
      </c>
      <c r="B110" s="60">
        <v>9.3000000000000007</v>
      </c>
      <c r="C110" s="61" t="s">
        <v>22</v>
      </c>
      <c r="D110" s="61" t="s">
        <v>25</v>
      </c>
      <c r="E110" s="61">
        <v>0.09</v>
      </c>
      <c r="F110" s="126" t="s">
        <v>612</v>
      </c>
      <c r="G110" s="28" t="s">
        <v>613</v>
      </c>
      <c r="H110" s="28" t="s">
        <v>614</v>
      </c>
      <c r="I110" s="125" t="s">
        <v>2860</v>
      </c>
      <c r="J110" s="148" t="str">
        <f t="shared" si="20"/>
        <v>https://doi.org/10.1109/ISSCC.2005.1493923</v>
      </c>
      <c r="K110" s="28" t="s">
        <v>1050</v>
      </c>
      <c r="L110" s="60">
        <v>1.2</v>
      </c>
      <c r="M110" s="60"/>
      <c r="N110" s="60"/>
      <c r="O110" s="56" t="s">
        <v>1050</v>
      </c>
      <c r="P110" s="28">
        <v>0.26</v>
      </c>
      <c r="Q110" s="68"/>
      <c r="R110" s="63">
        <v>1940000</v>
      </c>
      <c r="S110" s="60">
        <v>63</v>
      </c>
      <c r="T110" s="60"/>
      <c r="U110" s="60">
        <v>66</v>
      </c>
      <c r="V110" s="60"/>
      <c r="W110" s="60"/>
      <c r="X110" s="29">
        <f t="shared" si="13"/>
        <v>63</v>
      </c>
      <c r="Y110" s="63">
        <v>1.1999999999999999E-3</v>
      </c>
      <c r="Z110" s="63">
        <v>38400000</v>
      </c>
      <c r="AA110" s="64">
        <v>9.8969072164948457</v>
      </c>
      <c r="AB110" s="63">
        <f t="shared" si="26"/>
        <v>3880000</v>
      </c>
      <c r="AC110" s="63" t="s">
        <v>2096</v>
      </c>
      <c r="AD110" s="65">
        <f t="shared" si="15"/>
        <v>309.2783505154639</v>
      </c>
      <c r="AE110" s="29" t="str">
        <f t="shared" si="24"/>
        <v/>
      </c>
      <c r="AF110" s="29">
        <f t="shared" si="17"/>
        <v>267.94421309496329</v>
      </c>
      <c r="AG110" s="54" t="str">
        <f t="shared" si="25"/>
        <v/>
      </c>
      <c r="AH110" s="54">
        <f t="shared" si="19"/>
        <v>155.08620483882601</v>
      </c>
      <c r="AI110" s="66">
        <f t="shared" si="21"/>
        <v>6.9057786880145176E-5</v>
      </c>
      <c r="AJ110" s="67">
        <f t="shared" si="22"/>
        <v>220.97452209476808</v>
      </c>
    </row>
    <row r="111" spans="1:36" x14ac:dyDescent="0.3">
      <c r="A111" s="64">
        <v>2005</v>
      </c>
      <c r="B111" s="60">
        <v>9.4</v>
      </c>
      <c r="C111" s="61" t="s">
        <v>22</v>
      </c>
      <c r="D111" s="61" t="s">
        <v>25</v>
      </c>
      <c r="E111" s="61">
        <v>0.25</v>
      </c>
      <c r="F111" s="125" t="s">
        <v>615</v>
      </c>
      <c r="G111" s="28" t="s">
        <v>616</v>
      </c>
      <c r="H111" s="28" t="s">
        <v>617</v>
      </c>
      <c r="I111" s="125" t="s">
        <v>2861</v>
      </c>
      <c r="J111" s="148" t="str">
        <f t="shared" si="20"/>
        <v>https://doi.org/10.1109/ISSCC.2005.1493924</v>
      </c>
      <c r="K111" s="28" t="s">
        <v>810</v>
      </c>
      <c r="L111" s="60">
        <v>5</v>
      </c>
      <c r="M111" s="60">
        <v>2.5</v>
      </c>
      <c r="N111" s="60"/>
      <c r="O111" s="56" t="s">
        <v>1050</v>
      </c>
      <c r="P111" s="28">
        <v>20.21</v>
      </c>
      <c r="Q111" s="68"/>
      <c r="R111" s="63">
        <v>1000000</v>
      </c>
      <c r="S111" s="60"/>
      <c r="T111" s="60">
        <v>100</v>
      </c>
      <c r="U111" s="60">
        <v>103</v>
      </c>
      <c r="V111" s="60"/>
      <c r="W111" s="60"/>
      <c r="X111" s="29">
        <f t="shared" si="13"/>
        <v>100</v>
      </c>
      <c r="Y111" s="63">
        <v>0.47499999999999998</v>
      </c>
      <c r="Z111" s="63">
        <v>20000000</v>
      </c>
      <c r="AA111" s="64">
        <v>10</v>
      </c>
      <c r="AB111" s="63">
        <f t="shared" si="26"/>
        <v>2000000</v>
      </c>
      <c r="AC111" s="63" t="s">
        <v>2096</v>
      </c>
      <c r="AD111" s="65">
        <f t="shared" si="15"/>
        <v>237499.99999999997</v>
      </c>
      <c r="AE111" s="29" t="str">
        <f t="shared" si="24"/>
        <v/>
      </c>
      <c r="AF111" s="29">
        <f t="shared" si="17"/>
        <v>2905.1871637674112</v>
      </c>
      <c r="AG111" s="54" t="str">
        <f t="shared" si="25"/>
        <v/>
      </c>
      <c r="AH111" s="54">
        <f t="shared" si="19"/>
        <v>163.23306390375134</v>
      </c>
      <c r="AI111" s="66">
        <f t="shared" si="21"/>
        <v>1.4525935818837056E-3</v>
      </c>
      <c r="AJ111" s="67">
        <f t="shared" si="22"/>
        <v>226.24336386039116</v>
      </c>
    </row>
    <row r="112" spans="1:36" x14ac:dyDescent="0.3">
      <c r="A112" s="64">
        <v>2005</v>
      </c>
      <c r="B112" s="60">
        <v>9.5</v>
      </c>
      <c r="C112" s="61" t="s">
        <v>22</v>
      </c>
      <c r="D112" s="61" t="s">
        <v>399</v>
      </c>
      <c r="E112" s="61">
        <v>0.18</v>
      </c>
      <c r="F112" s="126" t="s">
        <v>618</v>
      </c>
      <c r="G112" s="28" t="s">
        <v>619</v>
      </c>
      <c r="H112" s="28" t="s">
        <v>620</v>
      </c>
      <c r="I112" s="125" t="s">
        <v>2862</v>
      </c>
      <c r="J112" s="148" t="str">
        <f t="shared" si="20"/>
        <v>https://doi.org/10.1109/ISSCC.2005.1493925</v>
      </c>
      <c r="K112" s="28" t="s">
        <v>1050</v>
      </c>
      <c r="L112" s="60"/>
      <c r="M112" s="60"/>
      <c r="N112" s="60"/>
      <c r="O112" s="56" t="s">
        <v>1050</v>
      </c>
      <c r="P112" s="70">
        <v>4</v>
      </c>
      <c r="Q112" s="68"/>
      <c r="R112" s="63">
        <v>10000000</v>
      </c>
      <c r="S112" s="60">
        <v>73.5</v>
      </c>
      <c r="T112" s="60">
        <v>73.8</v>
      </c>
      <c r="U112" s="60">
        <v>75</v>
      </c>
      <c r="V112" s="60"/>
      <c r="W112" s="60">
        <v>87</v>
      </c>
      <c r="X112" s="29">
        <f t="shared" si="13"/>
        <v>73.5</v>
      </c>
      <c r="Y112" s="63">
        <v>0.24</v>
      </c>
      <c r="Z112" s="63">
        <v>80000000</v>
      </c>
      <c r="AA112" s="64">
        <v>4</v>
      </c>
      <c r="AB112" s="63">
        <f t="shared" si="26"/>
        <v>20000000</v>
      </c>
      <c r="AC112" s="63" t="s">
        <v>2096</v>
      </c>
      <c r="AD112" s="65">
        <f t="shared" si="15"/>
        <v>12000</v>
      </c>
      <c r="AE112" s="29" t="str">
        <f t="shared" si="24"/>
        <v/>
      </c>
      <c r="AF112" s="29">
        <f t="shared" si="17"/>
        <v>3103.3002000389038</v>
      </c>
      <c r="AG112" s="54" t="str">
        <f t="shared" si="25"/>
        <v/>
      </c>
      <c r="AH112" s="54">
        <f t="shared" si="19"/>
        <v>149.69788758288394</v>
      </c>
      <c r="AI112" s="66">
        <f t="shared" si="21"/>
        <v>1.5516501000194518E-4</v>
      </c>
      <c r="AJ112" s="67">
        <f t="shared" si="22"/>
        <v>222.70818753952375</v>
      </c>
    </row>
    <row r="113" spans="1:36" x14ac:dyDescent="0.3">
      <c r="A113" s="64">
        <v>2005</v>
      </c>
      <c r="B113" s="60">
        <v>9.6</v>
      </c>
      <c r="C113" s="61" t="s">
        <v>22</v>
      </c>
      <c r="D113" s="61" t="s">
        <v>516</v>
      </c>
      <c r="E113" s="61">
        <v>0.35</v>
      </c>
      <c r="F113" s="126" t="s">
        <v>621</v>
      </c>
      <c r="G113" s="28" t="s">
        <v>2003</v>
      </c>
      <c r="H113" s="28" t="s">
        <v>622</v>
      </c>
      <c r="I113" s="125" t="s">
        <v>2863</v>
      </c>
      <c r="J113" s="148" t="str">
        <f t="shared" si="20"/>
        <v>https://doi.org/10.1109/ISSCC.2005.1493926</v>
      </c>
      <c r="K113" s="28" t="s">
        <v>1050</v>
      </c>
      <c r="L113" s="60"/>
      <c r="M113" s="60"/>
      <c r="N113" s="60"/>
      <c r="O113" s="56" t="s">
        <v>1050</v>
      </c>
      <c r="P113" s="28">
        <v>0.82</v>
      </c>
      <c r="Q113" s="68"/>
      <c r="R113" s="63">
        <v>20000</v>
      </c>
      <c r="S113" s="60">
        <v>97</v>
      </c>
      <c r="T113" s="60">
        <v>106</v>
      </c>
      <c r="U113" s="60">
        <v>106</v>
      </c>
      <c r="V113" s="60"/>
      <c r="W113" s="60"/>
      <c r="X113" s="29">
        <f t="shared" si="13"/>
        <v>97</v>
      </c>
      <c r="Y113" s="63">
        <v>1.7999999999999999E-2</v>
      </c>
      <c r="Z113" s="63">
        <v>6144000</v>
      </c>
      <c r="AA113" s="64">
        <v>153.6</v>
      </c>
      <c r="AB113" s="63">
        <f t="shared" si="26"/>
        <v>40000</v>
      </c>
      <c r="AC113" s="63" t="s">
        <v>2096</v>
      </c>
      <c r="AD113" s="65">
        <f t="shared" si="15"/>
        <v>450000</v>
      </c>
      <c r="AE113" s="29" t="str">
        <f t="shared" si="24"/>
        <v/>
      </c>
      <c r="AF113" s="29">
        <f t="shared" si="17"/>
        <v>7775.6725712788812</v>
      </c>
      <c r="AG113" s="54" t="str">
        <f t="shared" si="25"/>
        <v/>
      </c>
      <c r="AH113" s="54">
        <f t="shared" si="19"/>
        <v>157.45757490560675</v>
      </c>
      <c r="AI113" s="66">
        <f t="shared" si="21"/>
        <v>0.19439181428197203</v>
      </c>
      <c r="AJ113" s="67">
        <f t="shared" si="22"/>
        <v>203.47817481888637</v>
      </c>
    </row>
    <row r="114" spans="1:36" x14ac:dyDescent="0.3">
      <c r="A114" s="64">
        <v>2005</v>
      </c>
      <c r="B114" s="60">
        <v>9.6999999999999993</v>
      </c>
      <c r="C114" s="61" t="s">
        <v>22</v>
      </c>
      <c r="D114" s="61" t="s">
        <v>516</v>
      </c>
      <c r="E114" s="61">
        <v>0.18</v>
      </c>
      <c r="F114" s="126" t="s">
        <v>623</v>
      </c>
      <c r="G114" s="28" t="s">
        <v>2004</v>
      </c>
      <c r="H114" s="28" t="s">
        <v>624</v>
      </c>
      <c r="I114" s="125" t="s">
        <v>2864</v>
      </c>
      <c r="J114" s="148" t="str">
        <f t="shared" si="20"/>
        <v>https://doi.org/10.1109/ISSCC.2005.1493927</v>
      </c>
      <c r="K114" s="28" t="s">
        <v>1050</v>
      </c>
      <c r="L114" s="60">
        <v>3.3</v>
      </c>
      <c r="M114" s="60"/>
      <c r="N114" s="60"/>
      <c r="O114" s="56" t="s">
        <v>1050</v>
      </c>
      <c r="P114" s="28">
        <v>0.65</v>
      </c>
      <c r="Q114" s="68"/>
      <c r="R114" s="63">
        <v>20000</v>
      </c>
      <c r="S114" s="60"/>
      <c r="T114" s="60">
        <v>102</v>
      </c>
      <c r="U114" s="60"/>
      <c r="V114" s="60"/>
      <c r="W114" s="60"/>
      <c r="X114" s="29">
        <f t="shared" si="13"/>
        <v>102</v>
      </c>
      <c r="Y114" s="63">
        <v>3.6999999999999998E-2</v>
      </c>
      <c r="Z114" s="63">
        <v>6144000</v>
      </c>
      <c r="AA114" s="64">
        <v>153.6</v>
      </c>
      <c r="AB114" s="63">
        <f t="shared" si="26"/>
        <v>40000</v>
      </c>
      <c r="AC114" s="63" t="s">
        <v>2096</v>
      </c>
      <c r="AD114" s="65">
        <f t="shared" si="15"/>
        <v>924999.99999999988</v>
      </c>
      <c r="AE114" s="29" t="str">
        <f t="shared" si="24"/>
        <v/>
      </c>
      <c r="AF114" s="29">
        <f t="shared" si="17"/>
        <v>8987.5696716453676</v>
      </c>
      <c r="AG114" s="54" t="str">
        <f t="shared" si="25"/>
        <v/>
      </c>
      <c r="AH114" s="54">
        <f t="shared" si="19"/>
        <v>159.32828271596986</v>
      </c>
      <c r="AI114" s="66">
        <f t="shared" si="21"/>
        <v>0.2246892417911342</v>
      </c>
      <c r="AJ114" s="67">
        <f t="shared" si="22"/>
        <v>205.34888262924949</v>
      </c>
    </row>
    <row r="115" spans="1:36" x14ac:dyDescent="0.3">
      <c r="A115" s="64">
        <v>2005</v>
      </c>
      <c r="B115" s="60">
        <v>15.2</v>
      </c>
      <c r="C115" s="61" t="s">
        <v>23</v>
      </c>
      <c r="D115" s="61" t="s">
        <v>26</v>
      </c>
      <c r="E115" s="61">
        <v>0.09</v>
      </c>
      <c r="F115" s="126" t="s">
        <v>625</v>
      </c>
      <c r="G115" s="28" t="s">
        <v>2005</v>
      </c>
      <c r="H115" s="28" t="s">
        <v>626</v>
      </c>
      <c r="I115" s="125" t="s">
        <v>2865</v>
      </c>
      <c r="J115" s="148" t="str">
        <f t="shared" si="20"/>
        <v>https://doi.org/10.1109/ISSCC.2005.1493977</v>
      </c>
      <c r="K115" s="28" t="s">
        <v>1050</v>
      </c>
      <c r="L115" s="60">
        <v>1.2</v>
      </c>
      <c r="M115" s="60"/>
      <c r="N115" s="60"/>
      <c r="O115" s="56" t="s">
        <v>1050</v>
      </c>
      <c r="P115" s="28">
        <v>0.3</v>
      </c>
      <c r="Q115" s="68"/>
      <c r="R115" s="63">
        <v>6000000</v>
      </c>
      <c r="S115" s="60">
        <v>52.6</v>
      </c>
      <c r="T115" s="60"/>
      <c r="U115" s="60"/>
      <c r="V115" s="60"/>
      <c r="W115" s="60"/>
      <c r="X115" s="29">
        <f t="shared" si="13"/>
        <v>52.6</v>
      </c>
      <c r="Y115" s="63">
        <v>3.3E-3</v>
      </c>
      <c r="Z115" s="63">
        <v>12000000</v>
      </c>
      <c r="AA115" s="64">
        <v>1</v>
      </c>
      <c r="AB115" s="63">
        <f t="shared" si="26"/>
        <v>12000000</v>
      </c>
      <c r="AC115" s="63" t="s">
        <v>2096</v>
      </c>
      <c r="AD115" s="65">
        <f t="shared" si="15"/>
        <v>275</v>
      </c>
      <c r="AE115" s="29" t="str">
        <f t="shared" si="24"/>
        <v/>
      </c>
      <c r="AF115" s="29">
        <f t="shared" si="17"/>
        <v>789.00430887778373</v>
      </c>
      <c r="AG115" s="54" t="str">
        <f t="shared" si="25"/>
        <v/>
      </c>
      <c r="AH115" s="54">
        <f t="shared" si="19"/>
        <v>145.19637310505755</v>
      </c>
      <c r="AI115" s="66">
        <f t="shared" si="21"/>
        <v>6.5750359073148642E-5</v>
      </c>
      <c r="AJ115" s="67">
        <f t="shared" si="22"/>
        <v>215.9881855655338</v>
      </c>
    </row>
    <row r="116" spans="1:36" x14ac:dyDescent="0.3">
      <c r="A116" s="64">
        <v>2005</v>
      </c>
      <c r="B116" s="60">
        <v>15.3</v>
      </c>
      <c r="C116" s="61" t="s">
        <v>23</v>
      </c>
      <c r="D116" s="61" t="s">
        <v>627</v>
      </c>
      <c r="E116" s="61">
        <v>0.18</v>
      </c>
      <c r="F116" s="125" t="s">
        <v>628</v>
      </c>
      <c r="G116" s="28" t="s">
        <v>427</v>
      </c>
      <c r="H116" s="28" t="s">
        <v>428</v>
      </c>
      <c r="I116" s="125" t="s">
        <v>2866</v>
      </c>
      <c r="J116" s="148" t="str">
        <f t="shared" si="20"/>
        <v>https://doi.org/10.1109/ISSCC.2005.1493978</v>
      </c>
      <c r="K116" s="28" t="s">
        <v>1050</v>
      </c>
      <c r="L116" s="60"/>
      <c r="M116" s="60"/>
      <c r="N116" s="60"/>
      <c r="O116" s="56" t="s">
        <v>1050</v>
      </c>
      <c r="P116" s="28">
        <v>1.2</v>
      </c>
      <c r="Q116" s="68"/>
      <c r="R116" s="63">
        <v>25000000</v>
      </c>
      <c r="S116" s="60">
        <v>55</v>
      </c>
      <c r="T116" s="60"/>
      <c r="U116" s="60"/>
      <c r="V116" s="60"/>
      <c r="W116" s="60"/>
      <c r="X116" s="29">
        <f t="shared" si="13"/>
        <v>55</v>
      </c>
      <c r="Y116" s="63">
        <v>3.5000000000000003E-2</v>
      </c>
      <c r="Z116" s="63">
        <v>50000000</v>
      </c>
      <c r="AA116" s="64">
        <v>1</v>
      </c>
      <c r="AB116" s="63">
        <f t="shared" si="26"/>
        <v>50000000</v>
      </c>
      <c r="AC116" s="63" t="s">
        <v>2096</v>
      </c>
      <c r="AD116" s="65">
        <f t="shared" si="15"/>
        <v>700.00000000000011</v>
      </c>
      <c r="AE116" s="29" t="str">
        <f t="shared" si="24"/>
        <v/>
      </c>
      <c r="AF116" s="29">
        <f t="shared" si="17"/>
        <v>1523.4659875839729</v>
      </c>
      <c r="AG116" s="54" t="str">
        <f t="shared" si="25"/>
        <v/>
      </c>
      <c r="AH116" s="54">
        <f t="shared" si="19"/>
        <v>143.53871964321763</v>
      </c>
      <c r="AI116" s="66">
        <f t="shared" si="21"/>
        <v>3.0469319751679458E-5</v>
      </c>
      <c r="AJ116" s="67">
        <f t="shared" si="22"/>
        <v>220.52841968657782</v>
      </c>
    </row>
    <row r="117" spans="1:36" x14ac:dyDescent="0.3">
      <c r="A117" s="64">
        <v>2005</v>
      </c>
      <c r="B117" s="60">
        <v>15.4</v>
      </c>
      <c r="C117" s="61" t="s">
        <v>23</v>
      </c>
      <c r="D117" s="61" t="s">
        <v>26</v>
      </c>
      <c r="E117" s="61">
        <v>0.18</v>
      </c>
      <c r="F117" s="125" t="s">
        <v>429</v>
      </c>
      <c r="G117" s="28" t="s">
        <v>2006</v>
      </c>
      <c r="H117" s="28" t="s">
        <v>430</v>
      </c>
      <c r="I117" s="125" t="s">
        <v>2867</v>
      </c>
      <c r="J117" s="148" t="str">
        <f t="shared" si="20"/>
        <v>https://doi.org/10.1109/ISSCC.2005.1493979</v>
      </c>
      <c r="K117" s="28" t="s">
        <v>1050</v>
      </c>
      <c r="L117" s="60">
        <v>1.8</v>
      </c>
      <c r="M117" s="60"/>
      <c r="N117" s="60"/>
      <c r="O117" s="56" t="s">
        <v>1050</v>
      </c>
      <c r="P117" s="28">
        <v>0.66</v>
      </c>
      <c r="Q117" s="68"/>
      <c r="R117" s="63">
        <v>62500000</v>
      </c>
      <c r="S117" s="60">
        <v>53.7</v>
      </c>
      <c r="T117" s="60"/>
      <c r="U117" s="60"/>
      <c r="V117" s="60"/>
      <c r="W117" s="60"/>
      <c r="X117" s="29">
        <f t="shared" si="13"/>
        <v>53.7</v>
      </c>
      <c r="Y117" s="63">
        <v>0.04</v>
      </c>
      <c r="Z117" s="63">
        <v>125000000</v>
      </c>
      <c r="AA117" s="64">
        <v>1</v>
      </c>
      <c r="AB117" s="63">
        <f t="shared" si="26"/>
        <v>125000000</v>
      </c>
      <c r="AC117" s="63" t="s">
        <v>2096</v>
      </c>
      <c r="AD117" s="65">
        <f t="shared" si="15"/>
        <v>320.00000000000006</v>
      </c>
      <c r="AE117" s="29" t="str">
        <f t="shared" si="24"/>
        <v/>
      </c>
      <c r="AF117" s="29">
        <f t="shared" si="17"/>
        <v>808.89318883853196</v>
      </c>
      <c r="AG117" s="54" t="str">
        <f t="shared" si="25"/>
        <v/>
      </c>
      <c r="AH117" s="54">
        <f t="shared" si="19"/>
        <v>145.63820026016111</v>
      </c>
      <c r="AI117" s="66">
        <f t="shared" si="21"/>
        <v>6.4711455107082558E-6</v>
      </c>
      <c r="AJ117" s="67">
        <f t="shared" si="22"/>
        <v>226.60730039024168</v>
      </c>
    </row>
    <row r="118" spans="1:36" x14ac:dyDescent="0.3">
      <c r="A118" s="64">
        <v>2005</v>
      </c>
      <c r="B118" s="60">
        <v>15.5</v>
      </c>
      <c r="C118" s="61" t="s">
        <v>23</v>
      </c>
      <c r="D118" s="61" t="s">
        <v>26</v>
      </c>
      <c r="E118" s="61">
        <v>0.18</v>
      </c>
      <c r="F118" s="125" t="s">
        <v>431</v>
      </c>
      <c r="G118" s="28" t="s">
        <v>2007</v>
      </c>
      <c r="H118" s="28" t="s">
        <v>432</v>
      </c>
      <c r="I118" s="125" t="s">
        <v>2868</v>
      </c>
      <c r="J118" s="148" t="str">
        <f t="shared" si="20"/>
        <v>https://doi.org/10.1109/ISSCC.2005.1493980</v>
      </c>
      <c r="K118" s="28" t="s">
        <v>1050</v>
      </c>
      <c r="L118" s="60">
        <v>1.8</v>
      </c>
      <c r="M118" s="60"/>
      <c r="N118" s="60"/>
      <c r="O118" s="56" t="s">
        <v>1050</v>
      </c>
      <c r="P118" s="28">
        <v>0.15</v>
      </c>
      <c r="Q118" s="68"/>
      <c r="R118" s="63">
        <v>100000000</v>
      </c>
      <c r="S118" s="60">
        <v>47.3</v>
      </c>
      <c r="T118" s="60"/>
      <c r="U118" s="60"/>
      <c r="V118" s="60"/>
      <c r="W118" s="60">
        <v>55.8</v>
      </c>
      <c r="X118" s="29">
        <f t="shared" si="13"/>
        <v>47.3</v>
      </c>
      <c r="Y118" s="63">
        <v>0.03</v>
      </c>
      <c r="Z118" s="63">
        <v>200000000</v>
      </c>
      <c r="AA118" s="64">
        <v>1</v>
      </c>
      <c r="AB118" s="63">
        <f t="shared" si="26"/>
        <v>200000000</v>
      </c>
      <c r="AC118" s="63" t="s">
        <v>2096</v>
      </c>
      <c r="AD118" s="65">
        <f t="shared" si="15"/>
        <v>150</v>
      </c>
      <c r="AE118" s="29" t="str">
        <f t="shared" si="24"/>
        <v/>
      </c>
      <c r="AF118" s="29">
        <f t="shared" si="17"/>
        <v>792.25383174013257</v>
      </c>
      <c r="AG118" s="54" t="str">
        <f t="shared" si="25"/>
        <v/>
      </c>
      <c r="AH118" s="54">
        <f t="shared" si="19"/>
        <v>142.52878745280339</v>
      </c>
      <c r="AI118" s="66">
        <f t="shared" si="21"/>
        <v>3.9612691587006629E-6</v>
      </c>
      <c r="AJ118" s="67">
        <f t="shared" si="22"/>
        <v>225.5390874094432</v>
      </c>
    </row>
    <row r="119" spans="1:36" x14ac:dyDescent="0.3">
      <c r="A119" s="64">
        <v>2005</v>
      </c>
      <c r="B119" s="60">
        <v>27.1</v>
      </c>
      <c r="C119" s="61" t="s">
        <v>22</v>
      </c>
      <c r="D119" s="61" t="s">
        <v>30</v>
      </c>
      <c r="E119" s="61">
        <v>0.13</v>
      </c>
      <c r="F119" s="126" t="s">
        <v>433</v>
      </c>
      <c r="G119" s="28" t="s">
        <v>434</v>
      </c>
      <c r="H119" s="28" t="s">
        <v>435</v>
      </c>
      <c r="I119" s="125" t="s">
        <v>2869</v>
      </c>
      <c r="J119" s="148" t="str">
        <f t="shared" si="20"/>
        <v>https://doi.org/10.1109/ISSCC.2005.1494084</v>
      </c>
      <c r="K119" s="28" t="s">
        <v>1050</v>
      </c>
      <c r="L119" s="60">
        <v>1.5</v>
      </c>
      <c r="M119" s="60"/>
      <c r="N119" s="60"/>
      <c r="O119" s="56" t="s">
        <v>1050</v>
      </c>
      <c r="P119" s="28">
        <v>0.3</v>
      </c>
      <c r="Q119" s="68"/>
      <c r="R119" s="63">
        <v>2000000</v>
      </c>
      <c r="S119" s="60">
        <v>71</v>
      </c>
      <c r="T119" s="60">
        <v>72</v>
      </c>
      <c r="U119" s="60">
        <v>80</v>
      </c>
      <c r="V119" s="60"/>
      <c r="W119" s="60"/>
      <c r="X119" s="29">
        <f t="shared" si="13"/>
        <v>71</v>
      </c>
      <c r="Y119" s="63">
        <v>3.0000000000000001E-3</v>
      </c>
      <c r="Z119" s="63">
        <v>104000000</v>
      </c>
      <c r="AA119" s="64">
        <v>26</v>
      </c>
      <c r="AB119" s="63">
        <f t="shared" si="26"/>
        <v>4000000</v>
      </c>
      <c r="AC119" s="63" t="s">
        <v>2096</v>
      </c>
      <c r="AD119" s="65">
        <f t="shared" si="15"/>
        <v>750</v>
      </c>
      <c r="AE119" s="29" t="str">
        <f t="shared" si="24"/>
        <v/>
      </c>
      <c r="AF119" s="29">
        <f t="shared" si="17"/>
        <v>258.65225164778167</v>
      </c>
      <c r="AG119" s="54" t="str">
        <f t="shared" si="25"/>
        <v/>
      </c>
      <c r="AH119" s="54">
        <f t="shared" si="19"/>
        <v>159.23908740944319</v>
      </c>
      <c r="AI119" s="66">
        <f t="shared" si="21"/>
        <v>6.4663062911945416E-5</v>
      </c>
      <c r="AJ119" s="67">
        <f t="shared" si="22"/>
        <v>225.25968732272281</v>
      </c>
    </row>
    <row r="120" spans="1:36" x14ac:dyDescent="0.3">
      <c r="A120" s="64">
        <v>2005</v>
      </c>
      <c r="B120" s="60">
        <v>27.2</v>
      </c>
      <c r="C120" s="61" t="s">
        <v>22</v>
      </c>
      <c r="D120" s="61" t="s">
        <v>30</v>
      </c>
      <c r="E120" s="61">
        <v>0.11</v>
      </c>
      <c r="F120" s="126" t="s">
        <v>436</v>
      </c>
      <c r="G120" s="28" t="s">
        <v>437</v>
      </c>
      <c r="H120" s="28" t="s">
        <v>438</v>
      </c>
      <c r="I120" s="125" t="s">
        <v>2870</v>
      </c>
      <c r="J120" s="148" t="str">
        <f t="shared" si="20"/>
        <v>https://doi.org/10.1109/ISSCC.2005.1494085</v>
      </c>
      <c r="K120" s="28" t="s">
        <v>1050</v>
      </c>
      <c r="L120" s="60"/>
      <c r="M120" s="60"/>
      <c r="N120" s="60"/>
      <c r="O120" s="56" t="s">
        <v>1050</v>
      </c>
      <c r="P120" s="28">
        <v>0.62</v>
      </c>
      <c r="Q120" s="68"/>
      <c r="R120" s="63">
        <v>428000</v>
      </c>
      <c r="S120" s="60"/>
      <c r="T120" s="60">
        <v>63</v>
      </c>
      <c r="U120" s="60">
        <v>75</v>
      </c>
      <c r="V120" s="60"/>
      <c r="W120" s="60"/>
      <c r="X120" s="29">
        <f t="shared" si="13"/>
        <v>63</v>
      </c>
      <c r="Y120" s="63">
        <v>3.5000000000000001E-3</v>
      </c>
      <c r="Z120" s="63">
        <v>132000000</v>
      </c>
      <c r="AA120" s="64">
        <v>154.20560747663552</v>
      </c>
      <c r="AB120" s="63">
        <f t="shared" si="26"/>
        <v>856000</v>
      </c>
      <c r="AC120" s="63" t="s">
        <v>2096</v>
      </c>
      <c r="AD120" s="65">
        <f t="shared" si="15"/>
        <v>4088.7850467289718</v>
      </c>
      <c r="AE120" s="29" t="str">
        <f t="shared" si="24"/>
        <v/>
      </c>
      <c r="AF120" s="29">
        <f t="shared" si="17"/>
        <v>3542.3310103481326</v>
      </c>
      <c r="AG120" s="54" t="str">
        <f t="shared" si="25"/>
        <v/>
      </c>
      <c r="AH120" s="54">
        <f t="shared" si="19"/>
        <v>143.87375724662897</v>
      </c>
      <c r="AI120" s="66">
        <f t="shared" si="21"/>
        <v>4.1382371616216504E-3</v>
      </c>
      <c r="AJ120" s="67">
        <f t="shared" si="22"/>
        <v>203.19849489340049</v>
      </c>
    </row>
    <row r="121" spans="1:36" x14ac:dyDescent="0.3">
      <c r="A121" s="64">
        <v>2005</v>
      </c>
      <c r="B121" s="60">
        <v>27.3</v>
      </c>
      <c r="C121" s="61" t="s">
        <v>22</v>
      </c>
      <c r="D121" s="61" t="s">
        <v>30</v>
      </c>
      <c r="E121" s="61">
        <v>0.09</v>
      </c>
      <c r="F121" s="126" t="s">
        <v>439</v>
      </c>
      <c r="G121" s="28" t="s">
        <v>440</v>
      </c>
      <c r="H121" s="28" t="s">
        <v>441</v>
      </c>
      <c r="I121" s="125" t="s">
        <v>2871</v>
      </c>
      <c r="J121" s="148" t="str">
        <f t="shared" si="20"/>
        <v>https://doi.org/10.1109/ISSCC.2005.1494086</v>
      </c>
      <c r="K121" s="28" t="s">
        <v>1050</v>
      </c>
      <c r="L121" s="60"/>
      <c r="M121" s="60"/>
      <c r="N121" s="60"/>
      <c r="O121" s="56" t="s">
        <v>1050</v>
      </c>
      <c r="P121" s="28">
        <v>0.25</v>
      </c>
      <c r="Q121" s="68"/>
      <c r="R121" s="63">
        <v>600000</v>
      </c>
      <c r="S121" s="60"/>
      <c r="T121" s="60">
        <v>86</v>
      </c>
      <c r="U121" s="60">
        <v>86</v>
      </c>
      <c r="V121" s="60"/>
      <c r="W121" s="60"/>
      <c r="X121" s="29">
        <f t="shared" si="13"/>
        <v>86</v>
      </c>
      <c r="Y121" s="63">
        <v>5.4000000000000003E-3</v>
      </c>
      <c r="Z121" s="63">
        <v>267000000</v>
      </c>
      <c r="AA121" s="64">
        <v>222.5</v>
      </c>
      <c r="AB121" s="63">
        <f t="shared" si="26"/>
        <v>1200000</v>
      </c>
      <c r="AC121" s="63" t="s">
        <v>2096</v>
      </c>
      <c r="AD121" s="65">
        <f t="shared" si="15"/>
        <v>4500.0000000000009</v>
      </c>
      <c r="AE121" s="29" t="str">
        <f t="shared" si="24"/>
        <v/>
      </c>
      <c r="AF121" s="29">
        <f t="shared" si="17"/>
        <v>275.92609441703985</v>
      </c>
      <c r="AG121" s="54" t="str">
        <f t="shared" si="25"/>
        <v/>
      </c>
      <c r="AH121" s="54">
        <f t="shared" si="19"/>
        <v>166.45757490560675</v>
      </c>
      <c r="AI121" s="66">
        <f t="shared" si="21"/>
        <v>2.2993841201419986E-4</v>
      </c>
      <c r="AJ121" s="67">
        <f t="shared" si="22"/>
        <v>227.249387366083</v>
      </c>
    </row>
    <row r="122" spans="1:36" x14ac:dyDescent="0.3">
      <c r="A122" s="64">
        <v>2005</v>
      </c>
      <c r="B122" s="60">
        <v>27.4</v>
      </c>
      <c r="C122" s="61" t="s">
        <v>22</v>
      </c>
      <c r="D122" s="61" t="s">
        <v>30</v>
      </c>
      <c r="E122" s="61">
        <v>0.09</v>
      </c>
      <c r="F122" s="126" t="s">
        <v>442</v>
      </c>
      <c r="G122" s="28" t="s">
        <v>2008</v>
      </c>
      <c r="H122" s="28" t="s">
        <v>443</v>
      </c>
      <c r="I122" s="125" t="s">
        <v>2872</v>
      </c>
      <c r="J122" s="148" t="str">
        <f t="shared" si="20"/>
        <v>https://doi.org/10.1109/ISSCC.2005.1494087</v>
      </c>
      <c r="K122" s="28" t="s">
        <v>1050</v>
      </c>
      <c r="L122" s="60">
        <v>1.5</v>
      </c>
      <c r="M122" s="60"/>
      <c r="N122" s="60"/>
      <c r="O122" s="56" t="s">
        <v>1050</v>
      </c>
      <c r="P122" s="28">
        <v>0.25</v>
      </c>
      <c r="Q122" s="68"/>
      <c r="R122" s="63">
        <v>600000</v>
      </c>
      <c r="S122" s="60">
        <v>74</v>
      </c>
      <c r="T122" s="60">
        <v>77</v>
      </c>
      <c r="U122" s="60">
        <v>77</v>
      </c>
      <c r="V122" s="60"/>
      <c r="W122" s="60"/>
      <c r="X122" s="29">
        <f t="shared" si="13"/>
        <v>74</v>
      </c>
      <c r="Y122" s="63">
        <v>6.0000000000000001E-3</v>
      </c>
      <c r="Z122" s="63">
        <v>50400000</v>
      </c>
      <c r="AA122" s="64">
        <v>42</v>
      </c>
      <c r="AB122" s="63">
        <f t="shared" si="26"/>
        <v>1200000</v>
      </c>
      <c r="AC122" s="63" t="s">
        <v>2096</v>
      </c>
      <c r="AD122" s="65">
        <f t="shared" si="15"/>
        <v>5000</v>
      </c>
      <c r="AE122" s="29" t="str">
        <f t="shared" si="24"/>
        <v/>
      </c>
      <c r="AF122" s="29">
        <f t="shared" si="17"/>
        <v>1220.703125</v>
      </c>
      <c r="AG122" s="54" t="str">
        <f t="shared" si="25"/>
        <v/>
      </c>
      <c r="AH122" s="54">
        <f t="shared" si="19"/>
        <v>154</v>
      </c>
      <c r="AI122" s="66">
        <f t="shared" si="21"/>
        <v>1.0172526041666667E-3</v>
      </c>
      <c r="AJ122" s="67">
        <f t="shared" si="22"/>
        <v>214.79181246047625</v>
      </c>
    </row>
    <row r="123" spans="1:36" x14ac:dyDescent="0.3">
      <c r="A123" s="64">
        <v>2005</v>
      </c>
      <c r="B123" s="60">
        <v>27.5</v>
      </c>
      <c r="C123" s="61" t="s">
        <v>22</v>
      </c>
      <c r="D123" s="61" t="s">
        <v>1959</v>
      </c>
      <c r="E123" s="61">
        <v>0.18</v>
      </c>
      <c r="F123" s="126" t="s">
        <v>444</v>
      </c>
      <c r="G123" s="28" t="s">
        <v>445</v>
      </c>
      <c r="H123" s="28" t="s">
        <v>446</v>
      </c>
      <c r="I123" s="125" t="s">
        <v>2873</v>
      </c>
      <c r="J123" s="148" t="str">
        <f t="shared" si="20"/>
        <v>https://doi.org/10.1109/ISSCC.2005.1494088</v>
      </c>
      <c r="K123" s="28" t="s">
        <v>806</v>
      </c>
      <c r="L123" s="60">
        <v>1.8</v>
      </c>
      <c r="M123" s="60"/>
      <c r="N123" s="60"/>
      <c r="O123" s="56" t="s">
        <v>1050</v>
      </c>
      <c r="P123" s="28">
        <v>0.1976</v>
      </c>
      <c r="Q123" s="68"/>
      <c r="R123" s="63">
        <v>1000000</v>
      </c>
      <c r="S123" s="60">
        <v>70</v>
      </c>
      <c r="T123" s="60"/>
      <c r="U123" s="60">
        <v>70</v>
      </c>
      <c r="V123" s="60"/>
      <c r="W123" s="60"/>
      <c r="X123" s="29">
        <f t="shared" si="13"/>
        <v>70</v>
      </c>
      <c r="Y123" s="63">
        <v>4.7000000000000002E-3</v>
      </c>
      <c r="Z123" s="63">
        <v>64000000</v>
      </c>
      <c r="AA123" s="64">
        <v>32</v>
      </c>
      <c r="AB123" s="63">
        <f t="shared" si="26"/>
        <v>2000000</v>
      </c>
      <c r="AC123" s="63">
        <v>31300000</v>
      </c>
      <c r="AD123" s="65">
        <f t="shared" si="15"/>
        <v>2350</v>
      </c>
      <c r="AE123" s="29" t="str">
        <f t="shared" si="24"/>
        <v/>
      </c>
      <c r="AF123" s="29">
        <f t="shared" si="17"/>
        <v>909.34324491773441</v>
      </c>
      <c r="AG123" s="54" t="str">
        <f t="shared" si="25"/>
        <v/>
      </c>
      <c r="AH123" s="54">
        <f t="shared" si="19"/>
        <v>153.27902142064283</v>
      </c>
      <c r="AI123" s="66">
        <f t="shared" si="21"/>
        <v>4.5467162245886719E-4</v>
      </c>
      <c r="AJ123" s="67">
        <f t="shared" si="22"/>
        <v>216.28932137728265</v>
      </c>
    </row>
    <row r="124" spans="1:36" x14ac:dyDescent="0.3">
      <c r="A124" s="64">
        <v>2005</v>
      </c>
      <c r="B124" s="60">
        <v>27.6</v>
      </c>
      <c r="C124" s="61" t="s">
        <v>22</v>
      </c>
      <c r="D124" s="61" t="s">
        <v>1956</v>
      </c>
      <c r="E124" s="61">
        <v>0.18</v>
      </c>
      <c r="F124" s="126" t="s">
        <v>447</v>
      </c>
      <c r="G124" s="28" t="s">
        <v>448</v>
      </c>
      <c r="H124" s="28" t="s">
        <v>449</v>
      </c>
      <c r="I124" s="125" t="s">
        <v>2874</v>
      </c>
      <c r="J124" s="148" t="str">
        <f t="shared" si="20"/>
        <v>https://doi.org/10.1109/ISSCC.2005.1494089</v>
      </c>
      <c r="K124" s="28" t="s">
        <v>1050</v>
      </c>
      <c r="L124" s="60">
        <v>1.8</v>
      </c>
      <c r="M124" s="60"/>
      <c r="N124" s="60"/>
      <c r="O124" s="56" t="s">
        <v>1050</v>
      </c>
      <c r="P124" s="28">
        <v>0.95</v>
      </c>
      <c r="Q124" s="68"/>
      <c r="R124" s="63">
        <v>23000000</v>
      </c>
      <c r="S124" s="60">
        <v>68.8</v>
      </c>
      <c r="T124" s="60"/>
      <c r="U124" s="60">
        <v>72.5</v>
      </c>
      <c r="V124" s="60"/>
      <c r="W124" s="60"/>
      <c r="X124" s="29">
        <f t="shared" si="13"/>
        <v>68.8</v>
      </c>
      <c r="Y124" s="63">
        <v>4.2999999999999997E-2</v>
      </c>
      <c r="Z124" s="63">
        <v>276000000</v>
      </c>
      <c r="AA124" s="64">
        <f>2*Z124/AB124</f>
        <v>12</v>
      </c>
      <c r="AB124" s="63">
        <f>46000000</f>
        <v>46000000</v>
      </c>
      <c r="AC124" s="63">
        <v>11500000</v>
      </c>
      <c r="AD124" s="65">
        <f t="shared" si="15"/>
        <v>934.78260869565213</v>
      </c>
      <c r="AE124" s="29" t="str">
        <f t="shared" si="24"/>
        <v/>
      </c>
      <c r="AF124" s="29">
        <f t="shared" si="17"/>
        <v>415.31401398884969</v>
      </c>
      <c r="AG124" s="54" t="str">
        <f t="shared" si="25"/>
        <v/>
      </c>
      <c r="AH124" s="54">
        <f t="shared" si="19"/>
        <v>156.08259380438005</v>
      </c>
      <c r="AI124" s="66">
        <f t="shared" si="21"/>
        <v>9.0285655214967332E-6</v>
      </c>
      <c r="AJ124" s="67">
        <f t="shared" si="22"/>
        <v>232.7101721211958</v>
      </c>
    </row>
    <row r="125" spans="1:36" x14ac:dyDescent="0.3">
      <c r="A125" s="59">
        <v>2006</v>
      </c>
      <c r="B125" s="60">
        <v>3.1</v>
      </c>
      <c r="C125" s="61" t="s">
        <v>22</v>
      </c>
      <c r="D125" s="61" t="s">
        <v>30</v>
      </c>
      <c r="E125" s="61">
        <v>0.13</v>
      </c>
      <c r="F125" s="126" t="s">
        <v>2009</v>
      </c>
      <c r="G125" s="28" t="s">
        <v>638</v>
      </c>
      <c r="H125" s="28" t="s">
        <v>639</v>
      </c>
      <c r="I125" s="125" t="s">
        <v>2246</v>
      </c>
      <c r="J125" s="148" t="str">
        <f t="shared" si="20"/>
        <v>https://doi.org/10.1109/ISSCC.2006.1696042</v>
      </c>
      <c r="K125" s="28" t="s">
        <v>1050</v>
      </c>
      <c r="L125" s="60">
        <v>1.2</v>
      </c>
      <c r="M125" s="60"/>
      <c r="N125" s="60"/>
      <c r="O125" s="56" t="s">
        <v>1050</v>
      </c>
      <c r="P125" s="28">
        <v>1.2</v>
      </c>
      <c r="Q125" s="68"/>
      <c r="R125" s="63">
        <v>20000000</v>
      </c>
      <c r="S125" s="60">
        <v>74</v>
      </c>
      <c r="T125" s="60">
        <v>76</v>
      </c>
      <c r="U125" s="60"/>
      <c r="V125" s="60">
        <v>78</v>
      </c>
      <c r="W125" s="60"/>
      <c r="X125" s="29">
        <f t="shared" si="13"/>
        <v>74</v>
      </c>
      <c r="Y125" s="63">
        <v>0.02</v>
      </c>
      <c r="Z125" s="63">
        <v>640000000</v>
      </c>
      <c r="AA125" s="64">
        <v>16</v>
      </c>
      <c r="AB125" s="63">
        <f>Z125/AA125</f>
        <v>40000000</v>
      </c>
      <c r="AC125" s="63" t="s">
        <v>2096</v>
      </c>
      <c r="AD125" s="65">
        <f t="shared" si="15"/>
        <v>500.00000000000006</v>
      </c>
      <c r="AE125" s="29" t="str">
        <f t="shared" si="24"/>
        <v/>
      </c>
      <c r="AF125" s="29">
        <f t="shared" si="17"/>
        <v>122.07031250000001</v>
      </c>
      <c r="AG125" s="54" t="str">
        <f t="shared" si="25"/>
        <v/>
      </c>
      <c r="AH125" s="54">
        <f t="shared" si="19"/>
        <v>164</v>
      </c>
      <c r="AI125" s="66">
        <f t="shared" si="21"/>
        <v>3.0517578125000002E-6</v>
      </c>
      <c r="AJ125" s="67">
        <f t="shared" si="22"/>
        <v>240.02059991327963</v>
      </c>
    </row>
    <row r="126" spans="1:36" x14ac:dyDescent="0.3">
      <c r="A126" s="64">
        <v>2006</v>
      </c>
      <c r="B126" s="60">
        <v>3.2</v>
      </c>
      <c r="C126" s="61" t="s">
        <v>22</v>
      </c>
      <c r="D126" s="61" t="s">
        <v>412</v>
      </c>
      <c r="E126" s="61">
        <v>0.18</v>
      </c>
      <c r="F126" s="126" t="s">
        <v>2010</v>
      </c>
      <c r="G126" s="28" t="s">
        <v>2011</v>
      </c>
      <c r="H126" s="28" t="s">
        <v>640</v>
      </c>
      <c r="I126" s="125" t="s">
        <v>2247</v>
      </c>
      <c r="J126" s="148" t="str">
        <f t="shared" si="20"/>
        <v>https://doi.org/10.1109/ISSCC.2006.1696043</v>
      </c>
      <c r="K126" s="28" t="s">
        <v>807</v>
      </c>
      <c r="L126" s="60">
        <v>1.8</v>
      </c>
      <c r="M126" s="60"/>
      <c r="N126" s="60"/>
      <c r="O126" s="56" t="s">
        <v>1050</v>
      </c>
      <c r="P126" s="28">
        <v>2.5</v>
      </c>
      <c r="Q126" s="68"/>
      <c r="R126" s="63">
        <f>AB126/2</f>
        <v>8500000</v>
      </c>
      <c r="S126" s="60"/>
      <c r="T126" s="60">
        <v>76</v>
      </c>
      <c r="U126" s="60">
        <v>85</v>
      </c>
      <c r="V126" s="60"/>
      <c r="W126" s="60"/>
      <c r="X126" s="29">
        <f t="shared" si="13"/>
        <v>76</v>
      </c>
      <c r="Y126" s="63">
        <v>0.375</v>
      </c>
      <c r="Z126" s="63">
        <v>264000000</v>
      </c>
      <c r="AA126" s="64">
        <f>2*Z126/AB126</f>
        <v>31.058823529411764</v>
      </c>
      <c r="AB126" s="63">
        <f>8500000*2</f>
        <v>17000000</v>
      </c>
      <c r="AC126" s="63">
        <v>44000000</v>
      </c>
      <c r="AD126" s="65">
        <f t="shared" si="15"/>
        <v>22058.823529411766</v>
      </c>
      <c r="AE126" s="29" t="str">
        <f t="shared" si="24"/>
        <v/>
      </c>
      <c r="AF126" s="29">
        <f t="shared" si="17"/>
        <v>4277.7207762721819</v>
      </c>
      <c r="AG126" s="54" t="str">
        <f t="shared" si="25"/>
        <v/>
      </c>
      <c r="AH126" s="54">
        <f t="shared" si="19"/>
        <v>149.55387657986574</v>
      </c>
      <c r="AI126" s="66">
        <f t="shared" si="21"/>
        <v>2.5163063389836362E-4</v>
      </c>
      <c r="AJ126" s="67">
        <f t="shared" si="22"/>
        <v>221.85836579364849</v>
      </c>
    </row>
    <row r="127" spans="1:36" x14ac:dyDescent="0.3">
      <c r="A127" s="64">
        <v>2006</v>
      </c>
      <c r="B127" s="60">
        <v>3.3</v>
      </c>
      <c r="C127" s="61" t="s">
        <v>22</v>
      </c>
      <c r="D127" s="61" t="s">
        <v>412</v>
      </c>
      <c r="E127" s="61">
        <v>0.18</v>
      </c>
      <c r="F127" s="125" t="s">
        <v>2012</v>
      </c>
      <c r="G127" s="28" t="s">
        <v>641</v>
      </c>
      <c r="H127" s="28" t="s">
        <v>642</v>
      </c>
      <c r="I127" s="125" t="s">
        <v>2248</v>
      </c>
      <c r="J127" s="148" t="str">
        <f t="shared" si="20"/>
        <v>https://doi.org/10.1109/ISSCC.2006.1696044</v>
      </c>
      <c r="K127" s="28" t="s">
        <v>1053</v>
      </c>
      <c r="L127" s="60">
        <v>1.8</v>
      </c>
      <c r="M127" s="60"/>
      <c r="N127" s="60"/>
      <c r="O127" s="56" t="s">
        <v>1050</v>
      </c>
      <c r="P127" s="28">
        <v>6</v>
      </c>
      <c r="Q127" s="68"/>
      <c r="R127" s="63">
        <v>200000</v>
      </c>
      <c r="S127" s="60">
        <v>90</v>
      </c>
      <c r="T127" s="60"/>
      <c r="U127" s="60">
        <v>98</v>
      </c>
      <c r="V127" s="60"/>
      <c r="W127" s="60"/>
      <c r="X127" s="29">
        <f t="shared" si="13"/>
        <v>90</v>
      </c>
      <c r="Y127" s="63">
        <v>0.21</v>
      </c>
      <c r="Z127" s="63">
        <v>41700000</v>
      </c>
      <c r="AA127" s="64">
        <v>104.25</v>
      </c>
      <c r="AB127" s="63">
        <f>Z127/AA127</f>
        <v>400000</v>
      </c>
      <c r="AC127" s="63">
        <v>10700000</v>
      </c>
      <c r="AD127" s="65">
        <f t="shared" si="15"/>
        <v>525000</v>
      </c>
      <c r="AE127" s="29" t="str">
        <f t="shared" si="24"/>
        <v/>
      </c>
      <c r="AF127" s="29">
        <f t="shared" si="17"/>
        <v>20310.45406717249</v>
      </c>
      <c r="AG127" s="54" t="str">
        <f t="shared" si="25"/>
        <v/>
      </c>
      <c r="AH127" s="54">
        <f t="shared" si="19"/>
        <v>149.78810700930063</v>
      </c>
      <c r="AI127" s="66">
        <f t="shared" si="21"/>
        <v>5.0776135167931225E-2</v>
      </c>
      <c r="AJ127" s="67">
        <f t="shared" si="22"/>
        <v>205.80870692258026</v>
      </c>
    </row>
    <row r="128" spans="1:36" x14ac:dyDescent="0.3">
      <c r="A128" s="64">
        <v>2006</v>
      </c>
      <c r="B128" s="60">
        <v>3.4</v>
      </c>
      <c r="C128" s="61" t="s">
        <v>22</v>
      </c>
      <c r="D128" s="61" t="s">
        <v>25</v>
      </c>
      <c r="E128" s="61">
        <v>0.18</v>
      </c>
      <c r="F128" s="125" t="s">
        <v>2013</v>
      </c>
      <c r="G128" s="28" t="s">
        <v>643</v>
      </c>
      <c r="H128" s="28" t="s">
        <v>644</v>
      </c>
      <c r="I128" s="125" t="s">
        <v>2816</v>
      </c>
      <c r="J128" s="148" t="str">
        <f t="shared" si="20"/>
        <v>https://doi.org/10.1109/ISSCC.2006.1696045</v>
      </c>
      <c r="K128" s="28" t="s">
        <v>1050</v>
      </c>
      <c r="L128" s="60"/>
      <c r="M128" s="60"/>
      <c r="N128" s="60"/>
      <c r="O128" s="56" t="s">
        <v>1050</v>
      </c>
      <c r="P128" s="28">
        <v>2.3199999999999998</v>
      </c>
      <c r="Q128" s="68"/>
      <c r="R128" s="63">
        <v>2200000</v>
      </c>
      <c r="S128" s="60">
        <v>78</v>
      </c>
      <c r="T128" s="60">
        <v>82</v>
      </c>
      <c r="U128" s="60">
        <v>86</v>
      </c>
      <c r="V128" s="60"/>
      <c r="W128" s="60"/>
      <c r="X128" s="29">
        <f t="shared" si="13"/>
        <v>78</v>
      </c>
      <c r="Y128" s="63">
        <v>5.1000000000000004E-3</v>
      </c>
      <c r="Z128" s="63">
        <v>144000000</v>
      </c>
      <c r="AA128" s="64">
        <v>32.727272727272727</v>
      </c>
      <c r="AB128" s="63">
        <f>Z128/AA128</f>
        <v>4400000</v>
      </c>
      <c r="AC128" s="63" t="s">
        <v>2096</v>
      </c>
      <c r="AD128" s="65">
        <f t="shared" si="15"/>
        <v>1159.0909090909092</v>
      </c>
      <c r="AE128" s="29" t="str">
        <f t="shared" si="24"/>
        <v/>
      </c>
      <c r="AF128" s="29">
        <f t="shared" si="17"/>
        <v>178.54085942734014</v>
      </c>
      <c r="AG128" s="54" t="str">
        <f t="shared" si="25"/>
        <v/>
      </c>
      <c r="AH128" s="54">
        <f t="shared" si="19"/>
        <v>164.3485250472427</v>
      </c>
      <c r="AI128" s="66">
        <f t="shared" si="21"/>
        <v>4.0577468051668212E-5</v>
      </c>
      <c r="AJ128" s="67">
        <f t="shared" si="22"/>
        <v>230.78305181210459</v>
      </c>
    </row>
    <row r="129" spans="1:36" x14ac:dyDescent="0.3">
      <c r="A129" s="64">
        <v>2006</v>
      </c>
      <c r="B129" s="60">
        <v>3.5</v>
      </c>
      <c r="C129" s="61" t="s">
        <v>22</v>
      </c>
      <c r="D129" s="61" t="s">
        <v>405</v>
      </c>
      <c r="E129" s="61">
        <v>0.18</v>
      </c>
      <c r="F129" s="125" t="s">
        <v>2014</v>
      </c>
      <c r="G129" s="28" t="s">
        <v>2015</v>
      </c>
      <c r="H129" s="28" t="s">
        <v>645</v>
      </c>
      <c r="I129" s="125" t="s">
        <v>2249</v>
      </c>
      <c r="J129" s="148" t="str">
        <f t="shared" si="20"/>
        <v>https://doi.org/10.1109/ISSCC.2006.1696046</v>
      </c>
      <c r="K129" s="28" t="s">
        <v>1050</v>
      </c>
      <c r="L129" s="60"/>
      <c r="M129" s="60"/>
      <c r="N129" s="60"/>
      <c r="O129" s="56" t="s">
        <v>1050</v>
      </c>
      <c r="P129" s="28">
        <v>1.1000000000000001</v>
      </c>
      <c r="Q129" s="68"/>
      <c r="R129" s="63">
        <v>1100000</v>
      </c>
      <c r="S129" s="60">
        <v>76</v>
      </c>
      <c r="T129" s="60">
        <v>80</v>
      </c>
      <c r="U129" s="60">
        <v>85</v>
      </c>
      <c r="V129" s="60"/>
      <c r="W129" s="60"/>
      <c r="X129" s="29">
        <f t="shared" si="13"/>
        <v>76</v>
      </c>
      <c r="Y129" s="63">
        <v>5.4000000000000003E-3</v>
      </c>
      <c r="Z129" s="63">
        <f>60*2*R129</f>
        <v>132000000</v>
      </c>
      <c r="AA129" s="64">
        <v>60</v>
      </c>
      <c r="AB129" s="63">
        <f>Z129/AA129</f>
        <v>2200000</v>
      </c>
      <c r="AC129" s="63" t="s">
        <v>2096</v>
      </c>
      <c r="AD129" s="65">
        <f t="shared" si="15"/>
        <v>2454.545454545455</v>
      </c>
      <c r="AE129" s="29" t="str">
        <f t="shared" si="24"/>
        <v/>
      </c>
      <c r="AF129" s="29">
        <f t="shared" si="17"/>
        <v>475.99365728701378</v>
      </c>
      <c r="AG129" s="54" t="str">
        <f t="shared" si="25"/>
        <v/>
      </c>
      <c r="AH129" s="54">
        <f t="shared" si="19"/>
        <v>159.08998925335257</v>
      </c>
      <c r="AI129" s="66">
        <f t="shared" si="21"/>
        <v>2.1636075331227898E-4</v>
      </c>
      <c r="AJ129" s="67">
        <f t="shared" si="22"/>
        <v>222.51421606157464</v>
      </c>
    </row>
    <row r="130" spans="1:36" x14ac:dyDescent="0.3">
      <c r="A130" s="64">
        <v>2006</v>
      </c>
      <c r="B130" s="60">
        <v>3.6</v>
      </c>
      <c r="C130" s="61" t="s">
        <v>22</v>
      </c>
      <c r="D130" s="61" t="s">
        <v>30</v>
      </c>
      <c r="E130" s="30">
        <v>0.18</v>
      </c>
      <c r="F130" s="125" t="s">
        <v>2812</v>
      </c>
      <c r="G130" s="28" t="s">
        <v>1115</v>
      </c>
      <c r="H130" s="28" t="s">
        <v>1114</v>
      </c>
      <c r="I130" s="125" t="s">
        <v>2815</v>
      </c>
      <c r="J130" s="148" t="str">
        <f t="shared" si="20"/>
        <v>https://doi.org/10.1109/ISSCC.2006.1696047</v>
      </c>
      <c r="K130" s="28" t="s">
        <v>1050</v>
      </c>
      <c r="L130" s="60"/>
      <c r="M130" s="60"/>
      <c r="N130" s="60"/>
      <c r="O130" s="56"/>
      <c r="P130" s="28">
        <v>0.6</v>
      </c>
      <c r="Q130" s="68"/>
      <c r="R130" s="63">
        <v>25000</v>
      </c>
      <c r="S130" s="60">
        <v>74</v>
      </c>
      <c r="T130" s="60"/>
      <c r="U130" s="60"/>
      <c r="V130" s="60"/>
      <c r="W130" s="60"/>
      <c r="X130" s="29">
        <f t="shared" si="13"/>
        <v>74</v>
      </c>
      <c r="Y130" s="63">
        <v>2.9999999999999997E-4</v>
      </c>
      <c r="Z130" s="63">
        <f>AB130*AA130</f>
        <v>3200000</v>
      </c>
      <c r="AA130" s="64">
        <v>64</v>
      </c>
      <c r="AB130" s="63">
        <v>50000</v>
      </c>
      <c r="AC130" s="63" t="s">
        <v>2096</v>
      </c>
      <c r="AD130" s="65">
        <f t="shared" ref="AD130:AD193" si="27">Y130/AB130*1000000000000</f>
        <v>5999.9999999999991</v>
      </c>
      <c r="AE130" s="29"/>
      <c r="AF130" s="29">
        <f t="shared" ref="AF130:AF193" si="28">$AD130*1000/2^(($X130-1.76)/6.02)</f>
        <v>1464.8437499999998</v>
      </c>
      <c r="AG130" s="54"/>
      <c r="AH130" s="54">
        <f t="shared" ref="AH130:AH193" si="29">$X130+10*LOG10($AB130/2/$Y130)</f>
        <v>153.20818753952375</v>
      </c>
      <c r="AI130" s="66">
        <f t="shared" si="21"/>
        <v>2.9296874999999997E-2</v>
      </c>
      <c r="AJ130" s="67">
        <f t="shared" si="22"/>
        <v>200.19788758288394</v>
      </c>
    </row>
    <row r="131" spans="1:36" x14ac:dyDescent="0.3">
      <c r="A131" s="64">
        <v>2006</v>
      </c>
      <c r="B131" s="60">
        <v>3.7</v>
      </c>
      <c r="C131" s="61" t="s">
        <v>22</v>
      </c>
      <c r="D131" s="61" t="s">
        <v>25</v>
      </c>
      <c r="E131" s="61">
        <v>0.18</v>
      </c>
      <c r="F131" s="125" t="s">
        <v>2814</v>
      </c>
      <c r="G131" s="28" t="s">
        <v>2016</v>
      </c>
      <c r="H131" s="28" t="s">
        <v>646</v>
      </c>
      <c r="I131" s="125" t="s">
        <v>2813</v>
      </c>
      <c r="J131" s="148" t="str">
        <f t="shared" ref="J131:J194" si="30">IF(I131&lt;&gt;"?", HYPERLINK(CONCATENATE("https://doi.org/",I131)), "")</f>
        <v>https://doi.org/10.1109/ISSCC.2006.1696048</v>
      </c>
      <c r="K131" s="28" t="s">
        <v>1050</v>
      </c>
      <c r="L131" s="60">
        <v>0.9</v>
      </c>
      <c r="M131" s="60"/>
      <c r="N131" s="60"/>
      <c r="O131" s="56" t="s">
        <v>1050</v>
      </c>
      <c r="P131" s="28">
        <v>0.06</v>
      </c>
      <c r="Q131" s="68"/>
      <c r="R131" s="63">
        <v>10000</v>
      </c>
      <c r="S131" s="60">
        <v>80</v>
      </c>
      <c r="T131" s="60">
        <v>82</v>
      </c>
      <c r="U131" s="60">
        <v>83</v>
      </c>
      <c r="V131" s="60"/>
      <c r="W131" s="60"/>
      <c r="X131" s="29">
        <f t="shared" ref="X131:X194" si="31">+IF(ISNUMBER($S131),$S131,MIN($V131,$T131,$U131,$W131))</f>
        <v>80</v>
      </c>
      <c r="Y131" s="63">
        <v>2.0000000000000001E-4</v>
      </c>
      <c r="Z131" s="63">
        <v>5000000</v>
      </c>
      <c r="AA131" s="64">
        <v>250</v>
      </c>
      <c r="AB131" s="63">
        <f t="shared" ref="AB131:AB146" si="32">Z131/AA131</f>
        <v>20000</v>
      </c>
      <c r="AC131" s="63" t="s">
        <v>2096</v>
      </c>
      <c r="AD131" s="65">
        <f t="shared" si="27"/>
        <v>10000</v>
      </c>
      <c r="AE131" s="29" t="str">
        <f t="shared" ref="AE131:AE194" si="33">IF(ISNUMBER($Q131), $AD131*1000/2^(($Q131-1.76)/6.02), "")</f>
        <v/>
      </c>
      <c r="AF131" s="29">
        <f t="shared" si="28"/>
        <v>1223.5174170742775</v>
      </c>
      <c r="AG131" s="54" t="str">
        <f t="shared" ref="AG131:AG194" si="34">IF(ISNUMBER($Q131), $Q131+10*LOG10($AB131/2/$Y131), "")</f>
        <v/>
      </c>
      <c r="AH131" s="54">
        <f t="shared" si="29"/>
        <v>156.98970004336019</v>
      </c>
      <c r="AI131" s="66">
        <f t="shared" ref="AI131:AI194" si="35">AF131/AB131</f>
        <v>6.1175870853713878E-2</v>
      </c>
      <c r="AJ131" s="67">
        <f t="shared" ref="AJ131:AJ194" si="36">AH131+10*LOG10(AB131)</f>
        <v>200</v>
      </c>
    </row>
    <row r="132" spans="1:36" x14ac:dyDescent="0.3">
      <c r="A132" s="64">
        <v>2006</v>
      </c>
      <c r="B132" s="60">
        <v>3.8</v>
      </c>
      <c r="C132" s="61" t="s">
        <v>22</v>
      </c>
      <c r="D132" s="61" t="s">
        <v>25</v>
      </c>
      <c r="E132" s="61">
        <v>0.18</v>
      </c>
      <c r="F132" s="125" t="s">
        <v>2017</v>
      </c>
      <c r="G132" s="28" t="s">
        <v>2018</v>
      </c>
      <c r="H132" s="28" t="s">
        <v>647</v>
      </c>
      <c r="I132" s="125" t="s">
        <v>2250</v>
      </c>
      <c r="J132" s="148" t="str">
        <f t="shared" si="30"/>
        <v>https://doi.org/10.1109/ISSCC.2006.1696049</v>
      </c>
      <c r="K132" s="28" t="s">
        <v>1050</v>
      </c>
      <c r="L132" s="60">
        <v>1.8</v>
      </c>
      <c r="M132" s="60"/>
      <c r="N132" s="60"/>
      <c r="O132" s="56" t="s">
        <v>1050</v>
      </c>
      <c r="P132" s="28">
        <v>1.7</v>
      </c>
      <c r="Q132" s="68"/>
      <c r="R132" s="63">
        <v>3200000</v>
      </c>
      <c r="S132" s="60">
        <v>76.3</v>
      </c>
      <c r="T132" s="60">
        <v>76.3</v>
      </c>
      <c r="U132" s="60">
        <v>78.5</v>
      </c>
      <c r="V132" s="60"/>
      <c r="W132" s="60"/>
      <c r="X132" s="29">
        <f t="shared" si="31"/>
        <v>76.3</v>
      </c>
      <c r="Y132" s="63">
        <f>0.0132*1.8</f>
        <v>2.376E-2</v>
      </c>
      <c r="Z132" s="63">
        <v>100000000</v>
      </c>
      <c r="AA132" s="64">
        <v>15.625</v>
      </c>
      <c r="AB132" s="63">
        <f t="shared" si="32"/>
        <v>6400000</v>
      </c>
      <c r="AC132" s="63" t="s">
        <v>2096</v>
      </c>
      <c r="AD132" s="65">
        <f t="shared" si="27"/>
        <v>3712.5</v>
      </c>
      <c r="AE132" s="29" t="str">
        <f t="shared" si="33"/>
        <v/>
      </c>
      <c r="AF132" s="29">
        <f t="shared" si="28"/>
        <v>695.49666882336703</v>
      </c>
      <c r="AG132" s="54" t="str">
        <f t="shared" si="34"/>
        <v/>
      </c>
      <c r="AH132" s="54">
        <f t="shared" si="29"/>
        <v>157.59303542010747</v>
      </c>
      <c r="AI132" s="66">
        <f t="shared" si="35"/>
        <v>1.086713545036511E-4</v>
      </c>
      <c r="AJ132" s="67">
        <f t="shared" si="36"/>
        <v>225.65483515994634</v>
      </c>
    </row>
    <row r="133" spans="1:36" x14ac:dyDescent="0.3">
      <c r="A133" s="64">
        <v>2006</v>
      </c>
      <c r="B133" s="60">
        <v>12.1</v>
      </c>
      <c r="C133" s="61" t="s">
        <v>23</v>
      </c>
      <c r="D133" s="61" t="s">
        <v>26</v>
      </c>
      <c r="E133" s="61">
        <v>0.09</v>
      </c>
      <c r="F133" s="125" t="s">
        <v>198</v>
      </c>
      <c r="G133" s="28" t="s">
        <v>2019</v>
      </c>
      <c r="H133" s="28" t="s">
        <v>199</v>
      </c>
      <c r="I133" s="125" t="s">
        <v>2251</v>
      </c>
      <c r="J133" s="148" t="str">
        <f t="shared" si="30"/>
        <v>https://doi.org/10.1109/ISSCC.2006.1696118</v>
      </c>
      <c r="K133" s="28" t="s">
        <v>1050</v>
      </c>
      <c r="L133" s="60">
        <v>1.2</v>
      </c>
      <c r="M133" s="60"/>
      <c r="N133" s="60"/>
      <c r="O133" s="56" t="s">
        <v>1050</v>
      </c>
      <c r="P133" s="28">
        <v>0.3</v>
      </c>
      <c r="Q133" s="68"/>
      <c r="R133" s="63">
        <v>32000000</v>
      </c>
      <c r="S133" s="60">
        <f>9.3*6.02+1.76</f>
        <v>57.745999999999995</v>
      </c>
      <c r="T133" s="60"/>
      <c r="U133" s="60"/>
      <c r="V133" s="60"/>
      <c r="W133" s="60"/>
      <c r="X133" s="29">
        <f t="shared" si="31"/>
        <v>57.745999999999995</v>
      </c>
      <c r="Y133" s="63">
        <v>2.1999999999999999E-2</v>
      </c>
      <c r="Z133" s="63">
        <v>64000000</v>
      </c>
      <c r="AA133" s="64">
        <v>1</v>
      </c>
      <c r="AB133" s="63">
        <f t="shared" si="32"/>
        <v>64000000</v>
      </c>
      <c r="AC133" s="63" t="s">
        <v>2096</v>
      </c>
      <c r="AD133" s="65">
        <f t="shared" si="27"/>
        <v>343.75</v>
      </c>
      <c r="AE133" s="29" t="str">
        <f t="shared" si="33"/>
        <v/>
      </c>
      <c r="AF133" s="29">
        <f t="shared" si="28"/>
        <v>545.33547118643753</v>
      </c>
      <c r="AG133" s="54" t="str">
        <f t="shared" si="34"/>
        <v/>
      </c>
      <c r="AH133" s="54">
        <f t="shared" si="29"/>
        <v>149.373272974977</v>
      </c>
      <c r="AI133" s="66">
        <f t="shared" si="35"/>
        <v>8.520866737288086E-6</v>
      </c>
      <c r="AJ133" s="67">
        <f t="shared" si="36"/>
        <v>227.43507271481587</v>
      </c>
    </row>
    <row r="134" spans="1:36" x14ac:dyDescent="0.3">
      <c r="A134" s="64">
        <v>2006</v>
      </c>
      <c r="B134" s="60">
        <v>12.2</v>
      </c>
      <c r="C134" s="61" t="s">
        <v>23</v>
      </c>
      <c r="D134" s="61" t="s">
        <v>26</v>
      </c>
      <c r="E134" s="61">
        <v>0.18</v>
      </c>
      <c r="F134" s="125" t="s">
        <v>200</v>
      </c>
      <c r="G134" s="28" t="s">
        <v>2020</v>
      </c>
      <c r="H134" s="28" t="s">
        <v>201</v>
      </c>
      <c r="I134" s="125" t="s">
        <v>2252</v>
      </c>
      <c r="J134" s="148" t="str">
        <f t="shared" si="30"/>
        <v>https://doi.org/10.1109/ISSCC.2006.1696119</v>
      </c>
      <c r="K134" s="28" t="s">
        <v>1050</v>
      </c>
      <c r="L134" s="60"/>
      <c r="M134" s="60"/>
      <c r="N134" s="60"/>
      <c r="O134" s="56" t="s">
        <v>1050</v>
      </c>
      <c r="P134" s="28">
        <v>1.43</v>
      </c>
      <c r="Q134" s="68"/>
      <c r="R134" s="63">
        <v>25000000</v>
      </c>
      <c r="S134" s="60">
        <v>54.6</v>
      </c>
      <c r="T134" s="60"/>
      <c r="U134" s="60"/>
      <c r="V134" s="60"/>
      <c r="W134" s="60">
        <v>70</v>
      </c>
      <c r="X134" s="29">
        <f t="shared" si="31"/>
        <v>54.6</v>
      </c>
      <c r="Y134" s="63">
        <v>1.7999999999999999E-2</v>
      </c>
      <c r="Z134" s="63">
        <v>50000000</v>
      </c>
      <c r="AA134" s="64">
        <v>1</v>
      </c>
      <c r="AB134" s="63">
        <f t="shared" si="32"/>
        <v>50000000</v>
      </c>
      <c r="AC134" s="63" t="s">
        <v>2096</v>
      </c>
      <c r="AD134" s="65">
        <f t="shared" si="27"/>
        <v>360</v>
      </c>
      <c r="AE134" s="29" t="str">
        <f t="shared" si="33"/>
        <v/>
      </c>
      <c r="AF134" s="29">
        <f t="shared" si="28"/>
        <v>820.42562499477344</v>
      </c>
      <c r="AG134" s="54" t="str">
        <f t="shared" si="34"/>
        <v/>
      </c>
      <c r="AH134" s="54">
        <f t="shared" si="29"/>
        <v>146.0266750356873</v>
      </c>
      <c r="AI134" s="66">
        <f t="shared" si="35"/>
        <v>1.6408512499895467E-5</v>
      </c>
      <c r="AJ134" s="67">
        <f t="shared" si="36"/>
        <v>223.01637507904749</v>
      </c>
    </row>
    <row r="135" spans="1:36" x14ac:dyDescent="0.3">
      <c r="A135" s="64">
        <v>2006</v>
      </c>
      <c r="B135" s="60">
        <v>12.3</v>
      </c>
      <c r="C135" s="61" t="s">
        <v>23</v>
      </c>
      <c r="D135" s="61" t="s">
        <v>1960</v>
      </c>
      <c r="E135" s="61">
        <v>0.09</v>
      </c>
      <c r="F135" s="125" t="s">
        <v>218</v>
      </c>
      <c r="G135" s="28" t="s">
        <v>648</v>
      </c>
      <c r="H135" s="28" t="s">
        <v>219</v>
      </c>
      <c r="I135" s="125" t="s">
        <v>2253</v>
      </c>
      <c r="J135" s="148" t="str">
        <f t="shared" si="30"/>
        <v>https://doi.org/10.1109/ISSCC.2006.1696120</v>
      </c>
      <c r="K135" s="28" t="s">
        <v>1050</v>
      </c>
      <c r="L135" s="60">
        <v>2</v>
      </c>
      <c r="M135" s="60">
        <v>0.7</v>
      </c>
      <c r="N135" s="60"/>
      <c r="O135" s="56" t="s">
        <v>1050</v>
      </c>
      <c r="P135" s="28">
        <v>4.6727999999999996</v>
      </c>
      <c r="Q135" s="68"/>
      <c r="R135" s="63">
        <v>20000000</v>
      </c>
      <c r="S135" s="60">
        <f>10.1*6.02+1.76</f>
        <v>62.561999999999991</v>
      </c>
      <c r="T135" s="60">
        <v>63.5</v>
      </c>
      <c r="U135" s="60"/>
      <c r="V135" s="60"/>
      <c r="W135" s="60">
        <v>72.7</v>
      </c>
      <c r="X135" s="29">
        <f t="shared" si="31"/>
        <v>62.561999999999991</v>
      </c>
      <c r="Y135" s="63">
        <v>0.03</v>
      </c>
      <c r="Z135" s="63">
        <v>40000000</v>
      </c>
      <c r="AA135" s="64">
        <v>1</v>
      </c>
      <c r="AB135" s="63">
        <f t="shared" si="32"/>
        <v>40000000</v>
      </c>
      <c r="AC135" s="63" t="s">
        <v>2096</v>
      </c>
      <c r="AD135" s="65">
        <f t="shared" si="27"/>
        <v>750</v>
      </c>
      <c r="AE135" s="29" t="str">
        <f t="shared" si="33"/>
        <v/>
      </c>
      <c r="AF135" s="29">
        <f t="shared" si="28"/>
        <v>683.37377309824819</v>
      </c>
      <c r="AG135" s="54" t="str">
        <f t="shared" si="34"/>
        <v/>
      </c>
      <c r="AH135" s="54">
        <f t="shared" si="29"/>
        <v>150.80108740944317</v>
      </c>
      <c r="AI135" s="66">
        <f t="shared" si="35"/>
        <v>1.7084344327456204E-5</v>
      </c>
      <c r="AJ135" s="67">
        <f t="shared" si="36"/>
        <v>226.82168732272279</v>
      </c>
    </row>
    <row r="136" spans="1:36" x14ac:dyDescent="0.3">
      <c r="A136" s="64">
        <v>2006</v>
      </c>
      <c r="B136" s="60">
        <v>12.4</v>
      </c>
      <c r="C136" s="61" t="s">
        <v>23</v>
      </c>
      <c r="D136" s="61" t="s">
        <v>649</v>
      </c>
      <c r="E136" s="61">
        <v>0.18</v>
      </c>
      <c r="F136" s="125" t="s">
        <v>220</v>
      </c>
      <c r="G136" s="28" t="s">
        <v>650</v>
      </c>
      <c r="H136" s="28" t="s">
        <v>221</v>
      </c>
      <c r="I136" s="125" t="s">
        <v>2254</v>
      </c>
      <c r="J136" s="148" t="str">
        <f t="shared" si="30"/>
        <v>https://doi.org/10.1109/ISSCC.2006.1696121</v>
      </c>
      <c r="K136" s="28" t="s">
        <v>1050</v>
      </c>
      <c r="L136" s="60"/>
      <c r="M136" s="60"/>
      <c r="N136" s="60"/>
      <c r="O136" s="56" t="s">
        <v>1050</v>
      </c>
      <c r="P136" s="28">
        <v>1.2</v>
      </c>
      <c r="Q136" s="68"/>
      <c r="R136" s="63">
        <v>4000000</v>
      </c>
      <c r="S136" s="60">
        <v>54</v>
      </c>
      <c r="T136" s="60"/>
      <c r="U136" s="60"/>
      <c r="V136" s="60"/>
      <c r="W136" s="60"/>
      <c r="X136" s="29">
        <f t="shared" si="31"/>
        <v>54</v>
      </c>
      <c r="Y136" s="63">
        <v>2.5000000000000001E-3</v>
      </c>
      <c r="Z136" s="63">
        <v>8000000</v>
      </c>
      <c r="AA136" s="64">
        <v>1</v>
      </c>
      <c r="AB136" s="63">
        <f t="shared" si="32"/>
        <v>8000000</v>
      </c>
      <c r="AC136" s="63" t="s">
        <v>2096</v>
      </c>
      <c r="AD136" s="65">
        <f t="shared" si="27"/>
        <v>312.5</v>
      </c>
      <c r="AE136" s="29" t="str">
        <f t="shared" si="33"/>
        <v/>
      </c>
      <c r="AF136" s="29">
        <f t="shared" si="28"/>
        <v>763.11453757423135</v>
      </c>
      <c r="AG136" s="54" t="str">
        <f t="shared" si="34"/>
        <v/>
      </c>
      <c r="AH136" s="54">
        <f t="shared" si="29"/>
        <v>146.04119982655925</v>
      </c>
      <c r="AI136" s="66">
        <f t="shared" si="35"/>
        <v>9.5389317196778925E-5</v>
      </c>
      <c r="AJ136" s="67">
        <f t="shared" si="36"/>
        <v>215.07209969647869</v>
      </c>
    </row>
    <row r="137" spans="1:36" x14ac:dyDescent="0.3">
      <c r="A137" s="64">
        <v>2006</v>
      </c>
      <c r="B137" s="60">
        <v>12.5</v>
      </c>
      <c r="C137" s="61" t="s">
        <v>23</v>
      </c>
      <c r="D137" s="61" t="s">
        <v>31</v>
      </c>
      <c r="E137" s="61">
        <v>0.18</v>
      </c>
      <c r="F137" s="125" t="s">
        <v>651</v>
      </c>
      <c r="G137" s="28" t="s">
        <v>652</v>
      </c>
      <c r="H137" s="28" t="s">
        <v>222</v>
      </c>
      <c r="I137" s="125" t="s">
        <v>2255</v>
      </c>
      <c r="J137" s="148" t="str">
        <f t="shared" si="30"/>
        <v>https://doi.org/10.1109/ISSCC.2006.1696122</v>
      </c>
      <c r="K137" s="28" t="s">
        <v>1050</v>
      </c>
      <c r="L137" s="60">
        <v>1</v>
      </c>
      <c r="M137" s="60"/>
      <c r="N137" s="60"/>
      <c r="O137" s="56" t="s">
        <v>1050</v>
      </c>
      <c r="P137" s="28">
        <v>0.63</v>
      </c>
      <c r="Q137" s="68"/>
      <c r="R137" s="63">
        <v>50000</v>
      </c>
      <c r="S137" s="60">
        <v>65</v>
      </c>
      <c r="T137" s="60"/>
      <c r="U137" s="60"/>
      <c r="V137" s="60"/>
      <c r="W137" s="60">
        <v>71</v>
      </c>
      <c r="X137" s="29">
        <f t="shared" si="31"/>
        <v>65</v>
      </c>
      <c r="Y137" s="63">
        <v>2.5000000000000001E-5</v>
      </c>
      <c r="Z137" s="63">
        <v>100000</v>
      </c>
      <c r="AA137" s="64">
        <v>1</v>
      </c>
      <c r="AB137" s="63">
        <f t="shared" si="32"/>
        <v>100000</v>
      </c>
      <c r="AC137" s="63" t="s">
        <v>2096</v>
      </c>
      <c r="AD137" s="65">
        <f t="shared" si="27"/>
        <v>250.00000000000003</v>
      </c>
      <c r="AE137" s="29" t="str">
        <f t="shared" si="33"/>
        <v/>
      </c>
      <c r="AF137" s="29">
        <f t="shared" si="28"/>
        <v>172.03820584193917</v>
      </c>
      <c r="AG137" s="54" t="str">
        <f t="shared" si="34"/>
        <v/>
      </c>
      <c r="AH137" s="54">
        <f t="shared" si="29"/>
        <v>158.01029995663981</v>
      </c>
      <c r="AI137" s="66">
        <f t="shared" si="35"/>
        <v>1.7203820584193918E-3</v>
      </c>
      <c r="AJ137" s="67">
        <f t="shared" si="36"/>
        <v>208.01029995663981</v>
      </c>
    </row>
    <row r="138" spans="1:36" x14ac:dyDescent="0.3">
      <c r="A138" s="64">
        <v>2006</v>
      </c>
      <c r="B138" s="60">
        <v>12.6</v>
      </c>
      <c r="C138" s="61" t="s">
        <v>23</v>
      </c>
      <c r="D138" s="61" t="s">
        <v>26</v>
      </c>
      <c r="E138" s="61">
        <v>0.13</v>
      </c>
      <c r="F138" s="125" t="s">
        <v>223</v>
      </c>
      <c r="G138" s="28" t="s">
        <v>653</v>
      </c>
      <c r="H138" s="28" t="s">
        <v>654</v>
      </c>
      <c r="I138" s="125" t="s">
        <v>2256</v>
      </c>
      <c r="J138" s="148" t="str">
        <f t="shared" si="30"/>
        <v>https://doi.org/10.1109/ISSCC.2006.1696123</v>
      </c>
      <c r="K138" s="28" t="s">
        <v>1050</v>
      </c>
      <c r="L138" s="60"/>
      <c r="M138" s="60"/>
      <c r="N138" s="60"/>
      <c r="O138" s="56" t="s">
        <v>1050</v>
      </c>
      <c r="P138" s="28">
        <v>1.02</v>
      </c>
      <c r="Q138" s="68"/>
      <c r="R138" s="63">
        <v>50000000</v>
      </c>
      <c r="S138" s="60">
        <v>66</v>
      </c>
      <c r="T138" s="60"/>
      <c r="U138" s="60">
        <v>75</v>
      </c>
      <c r="V138" s="60">
        <v>70</v>
      </c>
      <c r="W138" s="60"/>
      <c r="X138" s="29">
        <f t="shared" si="31"/>
        <v>66</v>
      </c>
      <c r="Y138" s="63">
        <v>0.224</v>
      </c>
      <c r="Z138" s="63">
        <v>100000000</v>
      </c>
      <c r="AA138" s="64">
        <v>1</v>
      </c>
      <c r="AB138" s="63">
        <f t="shared" si="32"/>
        <v>100000000</v>
      </c>
      <c r="AC138" s="63" t="s">
        <v>2096</v>
      </c>
      <c r="AD138" s="65">
        <f t="shared" si="27"/>
        <v>2240</v>
      </c>
      <c r="AE138" s="29" t="str">
        <f t="shared" si="33"/>
        <v/>
      </c>
      <c r="AF138" s="29">
        <f t="shared" si="28"/>
        <v>1373.8139807861796</v>
      </c>
      <c r="AG138" s="54" t="str">
        <f t="shared" si="34"/>
        <v/>
      </c>
      <c r="AH138" s="54">
        <f t="shared" si="29"/>
        <v>149.48721986001857</v>
      </c>
      <c r="AI138" s="66">
        <f t="shared" si="35"/>
        <v>1.3738139807861797E-5</v>
      </c>
      <c r="AJ138" s="67">
        <f t="shared" si="36"/>
        <v>229.48721986001857</v>
      </c>
    </row>
    <row r="139" spans="1:36" x14ac:dyDescent="0.3">
      <c r="A139" s="64">
        <v>2006</v>
      </c>
      <c r="B139" s="60">
        <v>12.7</v>
      </c>
      <c r="C139" s="61" t="s">
        <v>23</v>
      </c>
      <c r="D139" s="61" t="s">
        <v>26</v>
      </c>
      <c r="E139" s="61">
        <v>0.13</v>
      </c>
      <c r="F139" s="125" t="s">
        <v>2021</v>
      </c>
      <c r="G139" s="28" t="s">
        <v>2022</v>
      </c>
      <c r="H139" s="28" t="s">
        <v>224</v>
      </c>
      <c r="I139" s="125" t="s">
        <v>2257</v>
      </c>
      <c r="J139" s="148" t="str">
        <f t="shared" si="30"/>
        <v>https://doi.org/10.1109/ISSCC.2006.1696124</v>
      </c>
      <c r="K139" s="28" t="s">
        <v>1050</v>
      </c>
      <c r="L139" s="60"/>
      <c r="M139" s="60"/>
      <c r="N139" s="60"/>
      <c r="O139" s="56" t="s">
        <v>1050</v>
      </c>
      <c r="P139" s="28">
        <v>0.2</v>
      </c>
      <c r="Q139" s="68"/>
      <c r="R139" s="63">
        <v>25000000</v>
      </c>
      <c r="S139" s="60">
        <v>57.2</v>
      </c>
      <c r="T139" s="60"/>
      <c r="U139" s="60"/>
      <c r="V139" s="60"/>
      <c r="W139" s="60">
        <v>72.900000000000006</v>
      </c>
      <c r="X139" s="29">
        <f t="shared" si="31"/>
        <v>57.2</v>
      </c>
      <c r="Y139" s="63">
        <v>1.4999999999999999E-2</v>
      </c>
      <c r="Z139" s="63">
        <v>50000000</v>
      </c>
      <c r="AA139" s="64">
        <v>1</v>
      </c>
      <c r="AB139" s="63">
        <f t="shared" si="32"/>
        <v>50000000</v>
      </c>
      <c r="AC139" s="63" t="s">
        <v>2096</v>
      </c>
      <c r="AD139" s="65">
        <f t="shared" si="27"/>
        <v>300</v>
      </c>
      <c r="AE139" s="29" t="str">
        <f t="shared" si="33"/>
        <v/>
      </c>
      <c r="AF139" s="29">
        <f t="shared" si="28"/>
        <v>506.80981341061516</v>
      </c>
      <c r="AG139" s="54" t="str">
        <f t="shared" si="34"/>
        <v/>
      </c>
      <c r="AH139" s="54">
        <f t="shared" si="29"/>
        <v>149.41848749616355</v>
      </c>
      <c r="AI139" s="66">
        <f t="shared" si="35"/>
        <v>1.0136196268212304E-5</v>
      </c>
      <c r="AJ139" s="67">
        <f t="shared" si="36"/>
        <v>226.40818753952374</v>
      </c>
    </row>
    <row r="140" spans="1:36" x14ac:dyDescent="0.3">
      <c r="A140" s="64">
        <v>2006</v>
      </c>
      <c r="B140" s="60">
        <v>12.8</v>
      </c>
      <c r="C140" s="61" t="s">
        <v>23</v>
      </c>
      <c r="D140" s="61" t="s">
        <v>26</v>
      </c>
      <c r="E140" s="61">
        <v>0.18</v>
      </c>
      <c r="F140" s="125" t="s">
        <v>225</v>
      </c>
      <c r="G140" s="28" t="s">
        <v>2023</v>
      </c>
      <c r="H140" s="28" t="s">
        <v>226</v>
      </c>
      <c r="I140" s="125" t="s">
        <v>2258</v>
      </c>
      <c r="J140" s="148" t="str">
        <f t="shared" si="30"/>
        <v>https://doi.org/10.1109/ISSCC.2006.1696125</v>
      </c>
      <c r="K140" s="28" t="s">
        <v>1050</v>
      </c>
      <c r="L140" s="60">
        <v>1.8</v>
      </c>
      <c r="M140" s="60"/>
      <c r="N140" s="60"/>
      <c r="O140" s="56" t="s">
        <v>1050</v>
      </c>
      <c r="P140" s="28">
        <v>3.6</v>
      </c>
      <c r="Q140" s="68"/>
      <c r="R140" s="63">
        <v>20000000</v>
      </c>
      <c r="S140" s="60">
        <v>67</v>
      </c>
      <c r="T140" s="60"/>
      <c r="U140" s="60"/>
      <c r="V140" s="60">
        <v>73</v>
      </c>
      <c r="W140" s="60"/>
      <c r="X140" s="29">
        <f t="shared" si="31"/>
        <v>67</v>
      </c>
      <c r="Y140" s="63">
        <v>0.26800000000000002</v>
      </c>
      <c r="Z140" s="63">
        <v>40000000</v>
      </c>
      <c r="AA140" s="64">
        <v>1</v>
      </c>
      <c r="AB140" s="63">
        <f t="shared" si="32"/>
        <v>40000000</v>
      </c>
      <c r="AC140" s="63" t="s">
        <v>2096</v>
      </c>
      <c r="AD140" s="65">
        <f t="shared" si="27"/>
        <v>6700</v>
      </c>
      <c r="AE140" s="29" t="str">
        <f t="shared" si="33"/>
        <v/>
      </c>
      <c r="AF140" s="29">
        <f t="shared" si="28"/>
        <v>3662.2647211990848</v>
      </c>
      <c r="AG140" s="54" t="str">
        <f t="shared" si="34"/>
        <v/>
      </c>
      <c r="AH140" s="54">
        <f t="shared" si="29"/>
        <v>145.72895201635191</v>
      </c>
      <c r="AI140" s="66">
        <f t="shared" si="35"/>
        <v>9.1556618029977119E-5</v>
      </c>
      <c r="AJ140" s="67">
        <f t="shared" si="36"/>
        <v>221.74955192963154</v>
      </c>
    </row>
    <row r="141" spans="1:36" x14ac:dyDescent="0.3">
      <c r="A141" s="64">
        <v>2006</v>
      </c>
      <c r="B141" s="60">
        <v>31.1</v>
      </c>
      <c r="C141" s="61" t="s">
        <v>23</v>
      </c>
      <c r="D141" s="61" t="s">
        <v>27</v>
      </c>
      <c r="E141" s="61">
        <v>0.09</v>
      </c>
      <c r="F141" s="125" t="s">
        <v>9</v>
      </c>
      <c r="G141" s="28" t="s">
        <v>655</v>
      </c>
      <c r="H141" s="28" t="s">
        <v>10</v>
      </c>
      <c r="I141" s="125" t="s">
        <v>2259</v>
      </c>
      <c r="J141" s="148" t="str">
        <f t="shared" si="30"/>
        <v>https://doi.org/10.1109/ISSCC.2006.1696294</v>
      </c>
      <c r="K141" s="28" t="s">
        <v>1050</v>
      </c>
      <c r="L141" s="60"/>
      <c r="M141" s="60"/>
      <c r="N141" s="60"/>
      <c r="O141" s="56" t="s">
        <v>1050</v>
      </c>
      <c r="P141" s="28">
        <v>3.3000000000000002E-2</v>
      </c>
      <c r="Q141" s="68"/>
      <c r="R141" s="63">
        <f>Z141/2</f>
        <v>625000000</v>
      </c>
      <c r="S141" s="60">
        <v>23.8</v>
      </c>
      <c r="T141" s="60"/>
      <c r="U141" s="60"/>
      <c r="V141" s="60"/>
      <c r="W141" s="60"/>
      <c r="X141" s="29">
        <f t="shared" si="31"/>
        <v>23.8</v>
      </c>
      <c r="Y141" s="63">
        <f>0.0021*1.2</f>
        <v>2.5199999999999997E-3</v>
      </c>
      <c r="Z141" s="63">
        <v>1250000000</v>
      </c>
      <c r="AA141" s="64">
        <v>1</v>
      </c>
      <c r="AB141" s="63">
        <f t="shared" si="32"/>
        <v>1250000000</v>
      </c>
      <c r="AC141" s="63" t="s">
        <v>2096</v>
      </c>
      <c r="AD141" s="65">
        <f t="shared" si="27"/>
        <v>2.016</v>
      </c>
      <c r="AE141" s="29" t="str">
        <f t="shared" si="33"/>
        <v/>
      </c>
      <c r="AF141" s="29">
        <f t="shared" si="28"/>
        <v>159.36050956356678</v>
      </c>
      <c r="AG141" s="54" t="str">
        <f t="shared" si="34"/>
        <v/>
      </c>
      <c r="AH141" s="54">
        <f t="shared" si="29"/>
        <v>137.7447947656253</v>
      </c>
      <c r="AI141" s="66">
        <f t="shared" si="35"/>
        <v>1.2748840765085342E-7</v>
      </c>
      <c r="AJ141" s="67">
        <f t="shared" si="36"/>
        <v>228.71389489570586</v>
      </c>
    </row>
    <row r="142" spans="1:36" x14ac:dyDescent="0.3">
      <c r="A142" s="64">
        <v>2006</v>
      </c>
      <c r="B142" s="60">
        <v>31.2</v>
      </c>
      <c r="C142" s="61" t="s">
        <v>23</v>
      </c>
      <c r="D142" s="61" t="s">
        <v>29</v>
      </c>
      <c r="E142" s="61">
        <v>0.09</v>
      </c>
      <c r="F142" s="125" t="s">
        <v>11</v>
      </c>
      <c r="G142" s="28" t="s">
        <v>2024</v>
      </c>
      <c r="H142" s="28" t="s">
        <v>656</v>
      </c>
      <c r="I142" s="125" t="s">
        <v>2260</v>
      </c>
      <c r="J142" s="148" t="str">
        <f t="shared" si="30"/>
        <v>https://doi.org/10.1109/ISSCC.2006.1696295</v>
      </c>
      <c r="K142" s="28" t="s">
        <v>1050</v>
      </c>
      <c r="L142" s="60"/>
      <c r="M142" s="60"/>
      <c r="N142" s="60"/>
      <c r="O142" s="56" t="s">
        <v>1050</v>
      </c>
      <c r="P142" s="28">
        <v>0.13</v>
      </c>
      <c r="Q142" s="68"/>
      <c r="R142" s="63">
        <v>500000000</v>
      </c>
      <c r="S142" s="60">
        <v>33.799999999999997</v>
      </c>
      <c r="T142" s="60"/>
      <c r="U142" s="60"/>
      <c r="V142" s="60"/>
      <c r="W142" s="60"/>
      <c r="X142" s="29">
        <f t="shared" si="31"/>
        <v>33.799999999999997</v>
      </c>
      <c r="Y142" s="63">
        <v>5.5E-2</v>
      </c>
      <c r="Z142" s="63">
        <v>1000000000</v>
      </c>
      <c r="AA142" s="64">
        <v>1</v>
      </c>
      <c r="AB142" s="63">
        <f t="shared" si="32"/>
        <v>1000000000</v>
      </c>
      <c r="AC142" s="63" t="s">
        <v>2096</v>
      </c>
      <c r="AD142" s="65">
        <f t="shared" si="27"/>
        <v>55</v>
      </c>
      <c r="AE142" s="29" t="str">
        <f t="shared" si="33"/>
        <v/>
      </c>
      <c r="AF142" s="29">
        <f t="shared" si="28"/>
        <v>1374.684528198796</v>
      </c>
      <c r="AG142" s="54" t="str">
        <f t="shared" si="34"/>
        <v/>
      </c>
      <c r="AH142" s="54">
        <f t="shared" si="29"/>
        <v>133.38607314841772</v>
      </c>
      <c r="AI142" s="66">
        <f t="shared" si="35"/>
        <v>1.374684528198796E-6</v>
      </c>
      <c r="AJ142" s="67">
        <f t="shared" si="36"/>
        <v>223.38607314841772</v>
      </c>
    </row>
    <row r="143" spans="1:36" x14ac:dyDescent="0.3">
      <c r="A143" s="64">
        <v>2006</v>
      </c>
      <c r="B143" s="60">
        <v>31.3</v>
      </c>
      <c r="C143" s="61" t="s">
        <v>23</v>
      </c>
      <c r="D143" s="61" t="s">
        <v>27</v>
      </c>
      <c r="E143" s="61">
        <v>0.18</v>
      </c>
      <c r="F143" s="125" t="s">
        <v>12</v>
      </c>
      <c r="G143" s="28" t="s">
        <v>657</v>
      </c>
      <c r="H143" s="28" t="s">
        <v>658</v>
      </c>
      <c r="I143" s="125" t="s">
        <v>2261</v>
      </c>
      <c r="J143" s="148" t="str">
        <f t="shared" si="30"/>
        <v>https://doi.org/10.1109/ISSCC.2006.1696296</v>
      </c>
      <c r="K143" s="28" t="s">
        <v>1050</v>
      </c>
      <c r="L143" s="60"/>
      <c r="M143" s="60"/>
      <c r="N143" s="60"/>
      <c r="O143" s="56" t="s">
        <v>1050</v>
      </c>
      <c r="P143" s="28">
        <v>0.88</v>
      </c>
      <c r="Q143" s="68"/>
      <c r="R143" s="63">
        <v>2000000000</v>
      </c>
      <c r="S143" s="60">
        <v>22</v>
      </c>
      <c r="T143" s="60"/>
      <c r="U143" s="60"/>
      <c r="V143" s="60"/>
      <c r="W143" s="60"/>
      <c r="X143" s="29">
        <f t="shared" si="31"/>
        <v>22</v>
      </c>
      <c r="Y143" s="63">
        <v>8.8999999999999996E-2</v>
      </c>
      <c r="Z143" s="63">
        <v>4000000000</v>
      </c>
      <c r="AA143" s="64">
        <v>1</v>
      </c>
      <c r="AB143" s="63">
        <f t="shared" si="32"/>
        <v>4000000000</v>
      </c>
      <c r="AC143" s="63" t="s">
        <v>2096</v>
      </c>
      <c r="AD143" s="65">
        <f t="shared" si="27"/>
        <v>22.249999999999996</v>
      </c>
      <c r="AE143" s="29" t="str">
        <f t="shared" si="33"/>
        <v/>
      </c>
      <c r="AF143" s="29">
        <f t="shared" si="28"/>
        <v>2163.8600362111265</v>
      </c>
      <c r="AG143" s="54" t="str">
        <f t="shared" si="34"/>
        <v/>
      </c>
      <c r="AH143" s="54">
        <f t="shared" si="29"/>
        <v>125.51639989019068</v>
      </c>
      <c r="AI143" s="66">
        <f t="shared" si="35"/>
        <v>5.4096500905278159E-7</v>
      </c>
      <c r="AJ143" s="67">
        <f t="shared" si="36"/>
        <v>221.53699980347031</v>
      </c>
    </row>
    <row r="144" spans="1:36" x14ac:dyDescent="0.3">
      <c r="A144" s="64">
        <v>2006</v>
      </c>
      <c r="B144" s="60">
        <v>31.4</v>
      </c>
      <c r="C144" s="61" t="s">
        <v>23</v>
      </c>
      <c r="D144" s="61" t="s">
        <v>27</v>
      </c>
      <c r="E144" s="61" t="s">
        <v>1003</v>
      </c>
      <c r="F144" s="125" t="s">
        <v>13</v>
      </c>
      <c r="G144" s="28" t="s">
        <v>659</v>
      </c>
      <c r="H144" s="28" t="s">
        <v>14</v>
      </c>
      <c r="I144" s="125" t="s">
        <v>2262</v>
      </c>
      <c r="J144" s="148" t="str">
        <f t="shared" si="30"/>
        <v>https://doi.org/10.1109/ISSCC.2006.1696297</v>
      </c>
      <c r="K144" s="28" t="s">
        <v>1050</v>
      </c>
      <c r="L144" s="60">
        <v>3.3</v>
      </c>
      <c r="M144" s="60"/>
      <c r="N144" s="60"/>
      <c r="O144" s="56" t="s">
        <v>1050</v>
      </c>
      <c r="P144" s="28">
        <v>2.4</v>
      </c>
      <c r="Q144" s="68"/>
      <c r="R144" s="63">
        <v>11000000000</v>
      </c>
      <c r="S144" s="60">
        <v>20</v>
      </c>
      <c r="T144" s="60"/>
      <c r="U144" s="60"/>
      <c r="V144" s="60"/>
      <c r="W144" s="60"/>
      <c r="X144" s="29">
        <f t="shared" si="31"/>
        <v>20</v>
      </c>
      <c r="Y144" s="63">
        <v>3</v>
      </c>
      <c r="Z144" s="63">
        <v>22000000000</v>
      </c>
      <c r="AA144" s="64">
        <v>1</v>
      </c>
      <c r="AB144" s="63">
        <f t="shared" si="32"/>
        <v>22000000000</v>
      </c>
      <c r="AC144" s="63" t="s">
        <v>2096</v>
      </c>
      <c r="AD144" s="65">
        <f t="shared" si="27"/>
        <v>136.36363636363637</v>
      </c>
      <c r="AE144" s="29" t="str">
        <f t="shared" si="33"/>
        <v/>
      </c>
      <c r="AF144" s="29">
        <f t="shared" si="28"/>
        <v>16695.817544721391</v>
      </c>
      <c r="AG144" s="54" t="str">
        <f t="shared" si="34"/>
        <v/>
      </c>
      <c r="AH144" s="54">
        <f t="shared" si="29"/>
        <v>115.64271430438563</v>
      </c>
      <c r="AI144" s="66">
        <f t="shared" si="35"/>
        <v>7.5890079748733594E-7</v>
      </c>
      <c r="AJ144" s="67">
        <f t="shared" si="36"/>
        <v>219.06694111260771</v>
      </c>
    </row>
    <row r="145" spans="1:36" x14ac:dyDescent="0.3">
      <c r="A145" s="64">
        <v>2006</v>
      </c>
      <c r="B145" s="60">
        <v>31.5</v>
      </c>
      <c r="C145" s="61" t="s">
        <v>23</v>
      </c>
      <c r="D145" s="61" t="s">
        <v>592</v>
      </c>
      <c r="E145" s="61">
        <v>0.13</v>
      </c>
      <c r="F145" s="125" t="s">
        <v>15</v>
      </c>
      <c r="G145" s="28" t="s">
        <v>2025</v>
      </c>
      <c r="H145" s="28" t="s">
        <v>16</v>
      </c>
      <c r="I145" s="125" t="s">
        <v>2811</v>
      </c>
      <c r="J145" s="148" t="str">
        <f t="shared" si="30"/>
        <v>https://doi.org/10.1109/ISSCC.2006.1696298</v>
      </c>
      <c r="K145" s="28" t="s">
        <v>1050</v>
      </c>
      <c r="L145" s="60"/>
      <c r="M145" s="60"/>
      <c r="N145" s="60"/>
      <c r="O145" s="56" t="s">
        <v>1050</v>
      </c>
      <c r="P145" s="28">
        <v>0.12</v>
      </c>
      <c r="Q145" s="68"/>
      <c r="R145" s="63">
        <v>300000000</v>
      </c>
      <c r="S145" s="60">
        <v>33</v>
      </c>
      <c r="T145" s="60"/>
      <c r="U145" s="60"/>
      <c r="V145" s="60"/>
      <c r="W145" s="60"/>
      <c r="X145" s="29">
        <f t="shared" si="31"/>
        <v>33</v>
      </c>
      <c r="Y145" s="63">
        <v>5.3E-3</v>
      </c>
      <c r="Z145" s="63">
        <v>600000000</v>
      </c>
      <c r="AA145" s="64">
        <v>1</v>
      </c>
      <c r="AB145" s="63">
        <f t="shared" si="32"/>
        <v>600000000</v>
      </c>
      <c r="AC145" s="63" t="s">
        <v>2096</v>
      </c>
      <c r="AD145" s="65">
        <f t="shared" si="27"/>
        <v>8.8333333333333339</v>
      </c>
      <c r="AE145" s="29" t="str">
        <f t="shared" si="33"/>
        <v/>
      </c>
      <c r="AF145" s="29">
        <f t="shared" si="28"/>
        <v>242.08560201998509</v>
      </c>
      <c r="AG145" s="54" t="str">
        <f t="shared" si="34"/>
        <v/>
      </c>
      <c r="AH145" s="54">
        <f t="shared" si="29"/>
        <v>140.52845385118871</v>
      </c>
      <c r="AI145" s="66">
        <f t="shared" si="35"/>
        <v>4.0347600336664183E-7</v>
      </c>
      <c r="AJ145" s="67">
        <f t="shared" si="36"/>
        <v>228.30996635502515</v>
      </c>
    </row>
    <row r="146" spans="1:36" x14ac:dyDescent="0.3">
      <c r="A146" s="64">
        <v>2006</v>
      </c>
      <c r="B146" s="60">
        <v>31.6</v>
      </c>
      <c r="C146" s="61" t="s">
        <v>23</v>
      </c>
      <c r="D146" s="61" t="s">
        <v>260</v>
      </c>
      <c r="E146" s="61">
        <v>0.13</v>
      </c>
      <c r="F146" s="125" t="s">
        <v>17</v>
      </c>
      <c r="G146" s="28" t="s">
        <v>2026</v>
      </c>
      <c r="H146" s="28" t="s">
        <v>18</v>
      </c>
      <c r="I146" s="125" t="s">
        <v>2263</v>
      </c>
      <c r="J146" s="148" t="str">
        <f t="shared" si="30"/>
        <v>https://doi.org/10.1109/ISSCC.2006.1696299</v>
      </c>
      <c r="K146" s="28" t="s">
        <v>1050</v>
      </c>
      <c r="L146" s="60"/>
      <c r="M146" s="60"/>
      <c r="N146" s="60"/>
      <c r="O146" s="56" t="s">
        <v>1050</v>
      </c>
      <c r="P146" s="28">
        <v>3.5</v>
      </c>
      <c r="Q146" s="68"/>
      <c r="R146" s="63">
        <v>500000000</v>
      </c>
      <c r="S146" s="60">
        <v>52</v>
      </c>
      <c r="T146" s="60"/>
      <c r="U146" s="60"/>
      <c r="V146" s="60"/>
      <c r="W146" s="60"/>
      <c r="X146" s="29">
        <f t="shared" si="31"/>
        <v>52</v>
      </c>
      <c r="Y146" s="63">
        <v>0.25</v>
      </c>
      <c r="Z146" s="63">
        <v>1000000000</v>
      </c>
      <c r="AA146" s="64">
        <v>1</v>
      </c>
      <c r="AB146" s="63">
        <f t="shared" si="32"/>
        <v>1000000000</v>
      </c>
      <c r="AC146" s="63" t="s">
        <v>2096</v>
      </c>
      <c r="AD146" s="65">
        <f t="shared" si="27"/>
        <v>250.00000000000003</v>
      </c>
      <c r="AE146" s="29" t="str">
        <f t="shared" si="33"/>
        <v/>
      </c>
      <c r="AF146" s="29">
        <f t="shared" si="28"/>
        <v>768.58106245589283</v>
      </c>
      <c r="AG146" s="54" t="str">
        <f t="shared" si="34"/>
        <v/>
      </c>
      <c r="AH146" s="54">
        <f t="shared" si="29"/>
        <v>145.01029995663981</v>
      </c>
      <c r="AI146" s="66">
        <f t="shared" si="35"/>
        <v>7.6858106245589288E-7</v>
      </c>
      <c r="AJ146" s="67">
        <f t="shared" si="36"/>
        <v>235.01029995663981</v>
      </c>
    </row>
    <row r="147" spans="1:36" x14ac:dyDescent="0.3">
      <c r="A147" s="73">
        <v>2007</v>
      </c>
      <c r="B147" s="74">
        <v>13.1</v>
      </c>
      <c r="C147" s="75" t="s">
        <v>22</v>
      </c>
      <c r="D147" s="75" t="s">
        <v>1956</v>
      </c>
      <c r="E147" s="61">
        <v>0.09</v>
      </c>
      <c r="F147" s="127" t="s">
        <v>660</v>
      </c>
      <c r="G147" s="28" t="s">
        <v>2027</v>
      </c>
      <c r="H147" s="28" t="s">
        <v>661</v>
      </c>
      <c r="I147" s="125" t="s">
        <v>2264</v>
      </c>
      <c r="J147" s="148" t="str">
        <f t="shared" si="30"/>
        <v>https://doi.org/10.1109/ISSCC.2007.373382</v>
      </c>
      <c r="K147" s="28" t="s">
        <v>101</v>
      </c>
      <c r="L147" s="60">
        <v>1.2</v>
      </c>
      <c r="M147" s="60"/>
      <c r="N147" s="60"/>
      <c r="O147" s="56" t="s">
        <v>1050</v>
      </c>
      <c r="P147" s="28">
        <v>0.5</v>
      </c>
      <c r="Q147" s="68"/>
      <c r="R147" s="63">
        <v>20000000</v>
      </c>
      <c r="S147" s="60">
        <v>69</v>
      </c>
      <c r="T147" s="60">
        <v>71</v>
      </c>
      <c r="U147" s="60">
        <v>77</v>
      </c>
      <c r="V147" s="60"/>
      <c r="W147" s="60"/>
      <c r="X147" s="29">
        <f t="shared" si="31"/>
        <v>69</v>
      </c>
      <c r="Y147" s="63">
        <v>5.6000000000000001E-2</v>
      </c>
      <c r="Z147" s="63">
        <v>340000000</v>
      </c>
      <c r="AA147" s="64">
        <f>2*Z147/AB147</f>
        <v>17</v>
      </c>
      <c r="AB147" s="63">
        <f>40000000</f>
        <v>40000000</v>
      </c>
      <c r="AC147" s="63">
        <v>10500000</v>
      </c>
      <c r="AD147" s="65">
        <f t="shared" si="27"/>
        <v>1400.0000000000002</v>
      </c>
      <c r="AE147" s="29" t="str">
        <f t="shared" si="33"/>
        <v/>
      </c>
      <c r="AF147" s="29">
        <f t="shared" si="28"/>
        <v>607.84521332359134</v>
      </c>
      <c r="AG147" s="54" t="str">
        <f t="shared" si="34"/>
        <v/>
      </c>
      <c r="AH147" s="54">
        <f t="shared" si="29"/>
        <v>154.52841968657782</v>
      </c>
      <c r="AI147" s="66">
        <f t="shared" si="35"/>
        <v>1.5196130333089783E-5</v>
      </c>
      <c r="AJ147" s="67">
        <f t="shared" si="36"/>
        <v>230.54901959985744</v>
      </c>
    </row>
    <row r="148" spans="1:36" x14ac:dyDescent="0.3">
      <c r="A148" s="76">
        <v>2007</v>
      </c>
      <c r="B148" s="74">
        <v>13.2</v>
      </c>
      <c r="C148" s="75" t="s">
        <v>22</v>
      </c>
      <c r="D148" s="75" t="s">
        <v>25</v>
      </c>
      <c r="E148" s="61">
        <v>0.13</v>
      </c>
      <c r="F148" s="127" t="s">
        <v>662</v>
      </c>
      <c r="G148" s="28" t="s">
        <v>2028</v>
      </c>
      <c r="H148" s="28" t="s">
        <v>663</v>
      </c>
      <c r="I148" s="125" t="s">
        <v>2265</v>
      </c>
      <c r="J148" s="148" t="str">
        <f t="shared" si="30"/>
        <v>https://doi.org/10.1109/ISSCC.2007.373383</v>
      </c>
      <c r="K148" s="28" t="s">
        <v>100</v>
      </c>
      <c r="L148" s="60">
        <v>1.2</v>
      </c>
      <c r="M148" s="60"/>
      <c r="N148" s="60"/>
      <c r="O148" s="56" t="s">
        <v>1050</v>
      </c>
      <c r="P148" s="28">
        <v>0.4</v>
      </c>
      <c r="Q148" s="68"/>
      <c r="R148" s="63">
        <v>10000000</v>
      </c>
      <c r="S148" s="60">
        <v>63</v>
      </c>
      <c r="T148" s="60"/>
      <c r="U148" s="60">
        <v>67</v>
      </c>
      <c r="V148" s="60"/>
      <c r="W148" s="60"/>
      <c r="X148" s="29">
        <f t="shared" si="31"/>
        <v>63</v>
      </c>
      <c r="Y148" s="63">
        <v>2.0500000000000001E-2</v>
      </c>
      <c r="Z148" s="63">
        <v>240000000</v>
      </c>
      <c r="AA148" s="64">
        <v>12</v>
      </c>
      <c r="AB148" s="63">
        <f t="shared" ref="AB148:AB167" si="37">Z148/AA148</f>
        <v>20000000</v>
      </c>
      <c r="AC148" s="63" t="s">
        <v>2096</v>
      </c>
      <c r="AD148" s="65">
        <f t="shared" si="27"/>
        <v>1025</v>
      </c>
      <c r="AE148" s="29" t="str">
        <f t="shared" si="33"/>
        <v/>
      </c>
      <c r="AF148" s="29">
        <f t="shared" si="28"/>
        <v>888.0117795655575</v>
      </c>
      <c r="AG148" s="54" t="str">
        <f t="shared" si="34"/>
        <v/>
      </c>
      <c r="AH148" s="54">
        <f t="shared" si="29"/>
        <v>149.88246138944245</v>
      </c>
      <c r="AI148" s="66">
        <f t="shared" si="35"/>
        <v>4.4400588978277874E-5</v>
      </c>
      <c r="AJ148" s="67">
        <f t="shared" si="36"/>
        <v>222.89276134608227</v>
      </c>
    </row>
    <row r="149" spans="1:36" x14ac:dyDescent="0.3">
      <c r="A149" s="76">
        <v>2007</v>
      </c>
      <c r="B149" s="74">
        <v>13.3</v>
      </c>
      <c r="C149" s="75" t="s">
        <v>22</v>
      </c>
      <c r="D149" s="75" t="s">
        <v>30</v>
      </c>
      <c r="E149" s="61">
        <v>0.09</v>
      </c>
      <c r="F149" s="127" t="s">
        <v>102</v>
      </c>
      <c r="G149" s="28" t="s">
        <v>664</v>
      </c>
      <c r="H149" s="28" t="s">
        <v>665</v>
      </c>
      <c r="I149" s="125" t="s">
        <v>2266</v>
      </c>
      <c r="J149" s="148" t="str">
        <f t="shared" si="30"/>
        <v>https://doi.org/10.1109/ISSCC.2007.373384</v>
      </c>
      <c r="K149" s="28" t="s">
        <v>4</v>
      </c>
      <c r="L149" s="60">
        <v>1.2</v>
      </c>
      <c r="M149" s="60"/>
      <c r="N149" s="60"/>
      <c r="O149" s="56" t="s">
        <v>1050</v>
      </c>
      <c r="P149" s="28">
        <v>0.36</v>
      </c>
      <c r="Q149" s="68"/>
      <c r="R149" s="63">
        <v>200000</v>
      </c>
      <c r="S149" s="60"/>
      <c r="T149" s="60">
        <v>82</v>
      </c>
      <c r="U149" s="60">
        <v>82</v>
      </c>
      <c r="V149" s="60"/>
      <c r="W149" s="60"/>
      <c r="X149" s="29">
        <f t="shared" si="31"/>
        <v>82</v>
      </c>
      <c r="Y149" s="63">
        <v>1.4400000000000001E-3</v>
      </c>
      <c r="Z149" s="63">
        <v>26000000</v>
      </c>
      <c r="AA149" s="64">
        <v>65</v>
      </c>
      <c r="AB149" s="63">
        <f t="shared" si="37"/>
        <v>400000</v>
      </c>
      <c r="AC149" s="63" t="s">
        <v>2096</v>
      </c>
      <c r="AD149" s="65">
        <f t="shared" si="27"/>
        <v>3600.0000000000005</v>
      </c>
      <c r="AE149" s="29" t="str">
        <f t="shared" si="33"/>
        <v/>
      </c>
      <c r="AF149" s="29">
        <f t="shared" si="28"/>
        <v>349.86676667367487</v>
      </c>
      <c r="AG149" s="54" t="str">
        <f t="shared" si="34"/>
        <v/>
      </c>
      <c r="AH149" s="54">
        <f t="shared" si="29"/>
        <v>163.42667503568731</v>
      </c>
      <c r="AI149" s="66">
        <f t="shared" si="35"/>
        <v>8.7466691668418718E-4</v>
      </c>
      <c r="AJ149" s="67">
        <f t="shared" si="36"/>
        <v>219.44727494896694</v>
      </c>
    </row>
    <row r="150" spans="1:36" x14ac:dyDescent="0.3">
      <c r="A150" s="76">
        <v>2007</v>
      </c>
      <c r="B150" s="74">
        <v>13.4</v>
      </c>
      <c r="C150" s="75" t="s">
        <v>22</v>
      </c>
      <c r="D150" s="61" t="s">
        <v>516</v>
      </c>
      <c r="E150" s="39">
        <v>6.5000000000000002E-2</v>
      </c>
      <c r="F150" s="127" t="s">
        <v>666</v>
      </c>
      <c r="G150" s="28" t="s">
        <v>667</v>
      </c>
      <c r="H150" s="28" t="s">
        <v>668</v>
      </c>
      <c r="I150" s="125" t="s">
        <v>2810</v>
      </c>
      <c r="J150" s="148" t="str">
        <f t="shared" si="30"/>
        <v>https://doi.org/10.1109/ISSCC.2007.373385</v>
      </c>
      <c r="K150" s="28" t="s">
        <v>5</v>
      </c>
      <c r="L150" s="60">
        <v>2.5</v>
      </c>
      <c r="M150" s="60"/>
      <c r="N150" s="60"/>
      <c r="O150" s="56" t="s">
        <v>1050</v>
      </c>
      <c r="P150" s="28">
        <v>0.125</v>
      </c>
      <c r="Q150" s="68"/>
      <c r="R150" s="63">
        <v>614000</v>
      </c>
      <c r="S150" s="60"/>
      <c r="T150" s="60"/>
      <c r="U150" s="60">
        <v>82</v>
      </c>
      <c r="V150" s="60"/>
      <c r="W150" s="60"/>
      <c r="X150" s="29">
        <f t="shared" si="31"/>
        <v>82</v>
      </c>
      <c r="Y150" s="63">
        <v>3.0999999999999999E-3</v>
      </c>
      <c r="Z150" s="63">
        <v>76800000</v>
      </c>
      <c r="AA150" s="64">
        <v>62.54071661237785</v>
      </c>
      <c r="AB150" s="63">
        <f t="shared" si="37"/>
        <v>1228000</v>
      </c>
      <c r="AC150" s="63" t="s">
        <v>2096</v>
      </c>
      <c r="AD150" s="65">
        <f t="shared" si="27"/>
        <v>2524.4299674267099</v>
      </c>
      <c r="AE150" s="29" t="str">
        <f t="shared" si="33"/>
        <v/>
      </c>
      <c r="AF150" s="29">
        <f t="shared" si="28"/>
        <v>245.33726399936481</v>
      </c>
      <c r="AG150" s="54" t="str">
        <f t="shared" si="34"/>
        <v/>
      </c>
      <c r="AH150" s="54">
        <f t="shared" si="29"/>
        <v>164.96806677306895</v>
      </c>
      <c r="AI150" s="66">
        <f t="shared" si="35"/>
        <v>1.9978604560208859E-4</v>
      </c>
      <c r="AJ150" s="67">
        <f t="shared" si="36"/>
        <v>225.86005044112045</v>
      </c>
    </row>
    <row r="151" spans="1:36" s="57" customFormat="1" x14ac:dyDescent="0.3">
      <c r="A151" s="76">
        <v>2007</v>
      </c>
      <c r="B151" s="74">
        <v>13.5</v>
      </c>
      <c r="C151" s="75" t="s">
        <v>23</v>
      </c>
      <c r="D151" s="75" t="s">
        <v>31</v>
      </c>
      <c r="E151" s="61">
        <v>0.09</v>
      </c>
      <c r="F151" s="127" t="s">
        <v>2</v>
      </c>
      <c r="G151" s="28" t="s">
        <v>669</v>
      </c>
      <c r="H151" s="28" t="s">
        <v>670</v>
      </c>
      <c r="I151" s="125" t="s">
        <v>2267</v>
      </c>
      <c r="J151" s="148" t="str">
        <f t="shared" si="30"/>
        <v>https://doi.org/10.1109/ISSCC.2007.373386</v>
      </c>
      <c r="K151" s="28" t="s">
        <v>3</v>
      </c>
      <c r="L151" s="60"/>
      <c r="M151" s="60"/>
      <c r="N151" s="60"/>
      <c r="O151" s="56" t="s">
        <v>1050</v>
      </c>
      <c r="P151" s="28">
        <v>0.08</v>
      </c>
      <c r="R151" s="63">
        <f>Z151/2</f>
        <v>10000000</v>
      </c>
      <c r="S151" s="60">
        <f>6.02*7.4+1.76</f>
        <v>46.308</v>
      </c>
      <c r="T151" s="77"/>
      <c r="U151" s="77"/>
      <c r="V151" s="60"/>
      <c r="W151" s="60"/>
      <c r="X151" s="29">
        <f t="shared" si="31"/>
        <v>46.308</v>
      </c>
      <c r="Y151" s="63">
        <v>2.9E-4</v>
      </c>
      <c r="Z151" s="63">
        <v>20000000</v>
      </c>
      <c r="AA151" s="64">
        <v>1</v>
      </c>
      <c r="AB151" s="63">
        <f t="shared" si="37"/>
        <v>20000000</v>
      </c>
      <c r="AC151" s="63" t="s">
        <v>2096</v>
      </c>
      <c r="AD151" s="65">
        <f t="shared" si="27"/>
        <v>14.5</v>
      </c>
      <c r="AE151" s="29" t="str">
        <f t="shared" si="33"/>
        <v/>
      </c>
      <c r="AF151" s="29">
        <f t="shared" si="28"/>
        <v>85.851133650002964</v>
      </c>
      <c r="AG151" s="54" t="str">
        <f t="shared" si="34"/>
        <v/>
      </c>
      <c r="AH151" s="54">
        <f t="shared" si="29"/>
        <v>151.68402002101044</v>
      </c>
      <c r="AI151" s="66">
        <f t="shared" si="35"/>
        <v>4.2925566825001479E-6</v>
      </c>
      <c r="AJ151" s="67">
        <f t="shared" si="36"/>
        <v>224.69431997765025</v>
      </c>
    </row>
    <row r="152" spans="1:36" s="57" customFormat="1" x14ac:dyDescent="0.3">
      <c r="A152" s="76">
        <v>2007</v>
      </c>
      <c r="B152" s="74">
        <v>13.6</v>
      </c>
      <c r="C152" s="30" t="s">
        <v>22</v>
      </c>
      <c r="D152" s="75" t="s">
        <v>592</v>
      </c>
      <c r="E152" s="61">
        <v>0.13</v>
      </c>
      <c r="F152" s="127" t="s">
        <v>671</v>
      </c>
      <c r="G152" s="28" t="s">
        <v>2029</v>
      </c>
      <c r="H152" s="28" t="s">
        <v>672</v>
      </c>
      <c r="I152" s="125" t="s">
        <v>2268</v>
      </c>
      <c r="J152" s="148" t="str">
        <f t="shared" si="30"/>
        <v>https://doi.org/10.1109/ISSCC.2007.373387</v>
      </c>
      <c r="K152" s="28" t="s">
        <v>1050</v>
      </c>
      <c r="L152" s="60">
        <v>1.5</v>
      </c>
      <c r="M152" s="60"/>
      <c r="N152" s="60"/>
      <c r="O152" s="56" t="s">
        <v>1050</v>
      </c>
      <c r="P152" s="28">
        <v>0.55000000000000004</v>
      </c>
      <c r="R152" s="63">
        <v>960000</v>
      </c>
      <c r="S152" s="60">
        <v>83</v>
      </c>
      <c r="T152" s="60"/>
      <c r="U152" s="60"/>
      <c r="V152" s="60">
        <v>87</v>
      </c>
      <c r="W152" s="60"/>
      <c r="X152" s="29">
        <f t="shared" si="31"/>
        <v>83</v>
      </c>
      <c r="Y152" s="63">
        <v>6.6000000000000003E-2</v>
      </c>
      <c r="Z152" s="63">
        <v>40000000</v>
      </c>
      <c r="AA152" s="64">
        <v>8</v>
      </c>
      <c r="AB152" s="63">
        <f t="shared" si="37"/>
        <v>5000000</v>
      </c>
      <c r="AC152" s="63" t="s">
        <v>2096</v>
      </c>
      <c r="AD152" s="65">
        <f t="shared" si="27"/>
        <v>13200</v>
      </c>
      <c r="AE152" s="29" t="str">
        <f t="shared" si="33"/>
        <v/>
      </c>
      <c r="AF152" s="29">
        <f t="shared" si="28"/>
        <v>1143.3235239589981</v>
      </c>
      <c r="AG152" s="54" t="str">
        <f t="shared" si="34"/>
        <v/>
      </c>
      <c r="AH152" s="54">
        <f t="shared" si="29"/>
        <v>158.7839607313017</v>
      </c>
      <c r="AI152" s="66">
        <f t="shared" si="35"/>
        <v>2.2866470479179961E-4</v>
      </c>
      <c r="AJ152" s="67">
        <f t="shared" si="36"/>
        <v>225.77366077466189</v>
      </c>
    </row>
    <row r="153" spans="1:36" s="57" customFormat="1" x14ac:dyDescent="0.3">
      <c r="A153" s="76">
        <v>2007</v>
      </c>
      <c r="B153" s="74">
        <v>25.1</v>
      </c>
      <c r="C153" s="75" t="s">
        <v>23</v>
      </c>
      <c r="D153" s="75" t="s">
        <v>26</v>
      </c>
      <c r="E153" s="61">
        <v>0.09</v>
      </c>
      <c r="F153" s="127" t="s">
        <v>36</v>
      </c>
      <c r="G153" s="28" t="s">
        <v>2030</v>
      </c>
      <c r="H153" s="28" t="s">
        <v>673</v>
      </c>
      <c r="I153" s="125" t="s">
        <v>2269</v>
      </c>
      <c r="J153" s="148" t="str">
        <f t="shared" si="30"/>
        <v>https://doi.org/10.1109/ISSCC.2007.373489</v>
      </c>
      <c r="K153" s="28" t="s">
        <v>37</v>
      </c>
      <c r="L153" s="60">
        <v>0.8</v>
      </c>
      <c r="M153" s="60"/>
      <c r="N153" s="60"/>
      <c r="O153" s="56" t="s">
        <v>1050</v>
      </c>
      <c r="P153" s="28">
        <v>0.63719999999999999</v>
      </c>
      <c r="R153" s="63">
        <v>40000000</v>
      </c>
      <c r="S153" s="60">
        <v>51.4</v>
      </c>
      <c r="T153" s="60"/>
      <c r="U153" s="60"/>
      <c r="V153" s="60"/>
      <c r="W153" s="60"/>
      <c r="X153" s="29">
        <f t="shared" si="31"/>
        <v>51.4</v>
      </c>
      <c r="Y153" s="63">
        <v>6.4999999999999997E-3</v>
      </c>
      <c r="Z153" s="63">
        <v>80000000</v>
      </c>
      <c r="AA153" s="64">
        <v>1</v>
      </c>
      <c r="AB153" s="63">
        <f t="shared" si="37"/>
        <v>80000000</v>
      </c>
      <c r="AC153" s="63" t="s">
        <v>2096</v>
      </c>
      <c r="AD153" s="65">
        <f t="shared" si="27"/>
        <v>81.249999999999986</v>
      </c>
      <c r="AE153" s="29" t="str">
        <f t="shared" si="33"/>
        <v/>
      </c>
      <c r="AF153" s="29">
        <f t="shared" si="28"/>
        <v>267.65541245288114</v>
      </c>
      <c r="AG153" s="54" t="str">
        <f t="shared" si="34"/>
        <v/>
      </c>
      <c r="AH153" s="54">
        <f t="shared" si="29"/>
        <v>149.29146634685108</v>
      </c>
      <c r="AI153" s="66">
        <f t="shared" si="35"/>
        <v>3.3456926556610141E-6</v>
      </c>
      <c r="AJ153" s="67">
        <f t="shared" si="36"/>
        <v>228.32236621677052</v>
      </c>
    </row>
    <row r="154" spans="1:36" s="57" customFormat="1" x14ac:dyDescent="0.3">
      <c r="A154" s="76">
        <v>2007</v>
      </c>
      <c r="B154" s="74">
        <v>25.2</v>
      </c>
      <c r="C154" s="75" t="s">
        <v>23</v>
      </c>
      <c r="D154" s="75" t="s">
        <v>29</v>
      </c>
      <c r="E154" s="61">
        <v>0.09</v>
      </c>
      <c r="F154" s="127" t="s">
        <v>247</v>
      </c>
      <c r="G154" s="28" t="s">
        <v>674</v>
      </c>
      <c r="H154" s="28" t="s">
        <v>675</v>
      </c>
      <c r="I154" s="125" t="s">
        <v>2270</v>
      </c>
      <c r="J154" s="148" t="str">
        <f t="shared" si="30"/>
        <v>https://doi.org/10.1109/ISSCC.2007.373490</v>
      </c>
      <c r="K154" s="28" t="s">
        <v>99</v>
      </c>
      <c r="L154" s="60">
        <v>1</v>
      </c>
      <c r="M154" s="60"/>
      <c r="N154" s="60"/>
      <c r="O154" s="56" t="s">
        <v>1050</v>
      </c>
      <c r="P154" s="28">
        <v>0.42</v>
      </c>
      <c r="R154" s="63">
        <v>80000000</v>
      </c>
      <c r="S154" s="60">
        <v>56.541999999999994</v>
      </c>
      <c r="T154" s="60"/>
      <c r="U154" s="60"/>
      <c r="V154" s="60"/>
      <c r="W154" s="60"/>
      <c r="X154" s="29">
        <f t="shared" si="31"/>
        <v>56.541999999999994</v>
      </c>
      <c r="Y154" s="63">
        <v>8.4000000000000005E-2</v>
      </c>
      <c r="Z154" s="63">
        <v>160000000</v>
      </c>
      <c r="AA154" s="64">
        <v>1</v>
      </c>
      <c r="AB154" s="63">
        <f t="shared" si="37"/>
        <v>160000000</v>
      </c>
      <c r="AC154" s="63" t="s">
        <v>2096</v>
      </c>
      <c r="AD154" s="65">
        <f t="shared" si="27"/>
        <v>525</v>
      </c>
      <c r="AE154" s="29" t="str">
        <f t="shared" si="33"/>
        <v/>
      </c>
      <c r="AF154" s="29">
        <f t="shared" si="28"/>
        <v>956.72328233754672</v>
      </c>
      <c r="AG154" s="54" t="str">
        <f t="shared" si="34"/>
        <v/>
      </c>
      <c r="AH154" s="54">
        <f t="shared" si="29"/>
        <v>146.3301070093006</v>
      </c>
      <c r="AI154" s="66">
        <f t="shared" si="35"/>
        <v>5.979520514609667E-6</v>
      </c>
      <c r="AJ154" s="67">
        <f t="shared" si="36"/>
        <v>228.37130683585985</v>
      </c>
    </row>
    <row r="155" spans="1:36" s="57" customFormat="1" x14ac:dyDescent="0.3">
      <c r="A155" s="76">
        <v>2007</v>
      </c>
      <c r="B155" s="74">
        <v>25.3</v>
      </c>
      <c r="C155" s="75" t="s">
        <v>23</v>
      </c>
      <c r="D155" s="75" t="s">
        <v>26</v>
      </c>
      <c r="E155" s="61">
        <v>0.09</v>
      </c>
      <c r="F155" s="127" t="s">
        <v>2031</v>
      </c>
      <c r="G155" s="28" t="s">
        <v>2032</v>
      </c>
      <c r="H155" s="28" t="s">
        <v>676</v>
      </c>
      <c r="I155" s="125" t="s">
        <v>2809</v>
      </c>
      <c r="J155" s="148" t="str">
        <f t="shared" si="30"/>
        <v>https://doi.org/10.1109/ISSCC.2007.373491</v>
      </c>
      <c r="K155" s="28" t="s">
        <v>1050</v>
      </c>
      <c r="L155" s="60">
        <v>1</v>
      </c>
      <c r="M155" s="60"/>
      <c r="N155" s="60"/>
      <c r="O155" s="56" t="s">
        <v>1050</v>
      </c>
      <c r="P155" s="28">
        <v>0.32</v>
      </c>
      <c r="R155" s="63">
        <v>15000000</v>
      </c>
      <c r="S155" s="60">
        <v>57</v>
      </c>
      <c r="T155" s="60"/>
      <c r="U155" s="60"/>
      <c r="V155" s="60"/>
      <c r="W155" s="60"/>
      <c r="X155" s="29">
        <f t="shared" si="31"/>
        <v>57</v>
      </c>
      <c r="Y155" s="63">
        <v>4.7000000000000002E-3</v>
      </c>
      <c r="Z155" s="63">
        <v>30000000</v>
      </c>
      <c r="AA155" s="64">
        <v>1</v>
      </c>
      <c r="AB155" s="63">
        <f t="shared" si="37"/>
        <v>30000000</v>
      </c>
      <c r="AC155" s="63" t="s">
        <v>2096</v>
      </c>
      <c r="AD155" s="65">
        <f t="shared" si="27"/>
        <v>156.66666666666666</v>
      </c>
      <c r="AE155" s="29" t="str">
        <f t="shared" si="33"/>
        <v/>
      </c>
      <c r="AF155" s="29">
        <f t="shared" si="28"/>
        <v>270.83286292739029</v>
      </c>
      <c r="AG155" s="54" t="str">
        <f t="shared" si="34"/>
        <v/>
      </c>
      <c r="AH155" s="54">
        <f t="shared" si="29"/>
        <v>152.03993401119965</v>
      </c>
      <c r="AI155" s="66">
        <f t="shared" si="35"/>
        <v>9.0277620975796757E-6</v>
      </c>
      <c r="AJ155" s="67">
        <f t="shared" si="36"/>
        <v>226.81114655839627</v>
      </c>
    </row>
    <row r="156" spans="1:36" s="57" customFormat="1" x14ac:dyDescent="0.3">
      <c r="A156" s="76">
        <v>2007</v>
      </c>
      <c r="B156" s="74">
        <v>25.4</v>
      </c>
      <c r="C156" s="75" t="s">
        <v>23</v>
      </c>
      <c r="D156" s="75" t="s">
        <v>26</v>
      </c>
      <c r="E156" s="61">
        <v>0.09</v>
      </c>
      <c r="F156" s="127" t="s">
        <v>2033</v>
      </c>
      <c r="G156" s="28" t="s">
        <v>2034</v>
      </c>
      <c r="H156" s="28" t="s">
        <v>677</v>
      </c>
      <c r="I156" s="125" t="s">
        <v>2808</v>
      </c>
      <c r="J156" s="148" t="str">
        <f t="shared" si="30"/>
        <v>https://doi.org/10.1109/ISSCC.2007.373492</v>
      </c>
      <c r="K156" s="28" t="s">
        <v>35</v>
      </c>
      <c r="L156" s="60">
        <v>1</v>
      </c>
      <c r="M156" s="60"/>
      <c r="N156" s="60"/>
      <c r="O156" s="56" t="s">
        <v>1050</v>
      </c>
      <c r="P156" s="28">
        <v>1</v>
      </c>
      <c r="R156" s="63">
        <v>102500000</v>
      </c>
      <c r="S156" s="60">
        <v>55</v>
      </c>
      <c r="T156" s="60"/>
      <c r="U156" s="60"/>
      <c r="V156" s="60"/>
      <c r="W156" s="60">
        <v>72</v>
      </c>
      <c r="X156" s="29">
        <f t="shared" si="31"/>
        <v>55</v>
      </c>
      <c r="Y156" s="63">
        <v>6.0999999999999999E-2</v>
      </c>
      <c r="Z156" s="63">
        <v>205000000</v>
      </c>
      <c r="AA156" s="64">
        <v>1</v>
      </c>
      <c r="AB156" s="63">
        <f t="shared" si="37"/>
        <v>205000000</v>
      </c>
      <c r="AC156" s="63" t="s">
        <v>2096</v>
      </c>
      <c r="AD156" s="65">
        <f t="shared" si="27"/>
        <v>297.5609756097561</v>
      </c>
      <c r="AE156" s="29" t="str">
        <f t="shared" si="33"/>
        <v/>
      </c>
      <c r="AF156" s="29">
        <f t="shared" si="28"/>
        <v>647.60575081966783</v>
      </c>
      <c r="AG156" s="54" t="str">
        <f t="shared" si="34"/>
        <v/>
      </c>
      <c r="AH156" s="54">
        <f t="shared" si="29"/>
        <v>147.25394030381005</v>
      </c>
      <c r="AI156" s="66">
        <f t="shared" si="35"/>
        <v>3.1590524430227699E-6</v>
      </c>
      <c r="AJ156" s="67">
        <f t="shared" si="36"/>
        <v>230.3714789143676</v>
      </c>
    </row>
    <row r="157" spans="1:36" s="57" customFormat="1" x14ac:dyDescent="0.3">
      <c r="A157" s="76">
        <v>2007</v>
      </c>
      <c r="B157" s="74">
        <v>25.5</v>
      </c>
      <c r="C157" s="75" t="s">
        <v>23</v>
      </c>
      <c r="D157" s="75" t="s">
        <v>678</v>
      </c>
      <c r="E157" s="61">
        <v>0.18</v>
      </c>
      <c r="F157" s="127" t="s">
        <v>244</v>
      </c>
      <c r="G157" s="28" t="s">
        <v>679</v>
      </c>
      <c r="H157" s="28" t="s">
        <v>680</v>
      </c>
      <c r="I157" s="125" t="s">
        <v>2271</v>
      </c>
      <c r="J157" s="148" t="str">
        <f t="shared" si="30"/>
        <v>https://doi.org/10.1109/ISSCC.2007.373493</v>
      </c>
      <c r="K157" s="28" t="s">
        <v>245</v>
      </c>
      <c r="L157" s="60"/>
      <c r="M157" s="60"/>
      <c r="N157" s="60"/>
      <c r="O157" s="56" t="s">
        <v>1050</v>
      </c>
      <c r="P157" s="28">
        <v>0.05</v>
      </c>
      <c r="R157" s="63">
        <v>100000000</v>
      </c>
      <c r="S157" s="60">
        <v>40.287999999999997</v>
      </c>
      <c r="T157" s="60"/>
      <c r="U157" s="60"/>
      <c r="V157" s="60"/>
      <c r="W157" s="60"/>
      <c r="X157" s="29">
        <f t="shared" si="31"/>
        <v>40.287999999999997</v>
      </c>
      <c r="Y157" s="63">
        <v>8.5000000000000006E-3</v>
      </c>
      <c r="Z157" s="63">
        <v>200000000</v>
      </c>
      <c r="AA157" s="64">
        <v>1</v>
      </c>
      <c r="AB157" s="63">
        <f t="shared" si="37"/>
        <v>200000000</v>
      </c>
      <c r="AC157" s="63" t="s">
        <v>2096</v>
      </c>
      <c r="AD157" s="65">
        <f t="shared" si="27"/>
        <v>42.5</v>
      </c>
      <c r="AE157" s="29" t="str">
        <f t="shared" si="33"/>
        <v/>
      </c>
      <c r="AF157" s="29">
        <f t="shared" si="28"/>
        <v>503.26526622415582</v>
      </c>
      <c r="AG157" s="54" t="str">
        <f t="shared" si="34"/>
        <v/>
      </c>
      <c r="AH157" s="54">
        <f t="shared" si="29"/>
        <v>140.99381074285708</v>
      </c>
      <c r="AI157" s="66">
        <f t="shared" si="35"/>
        <v>2.5163263311207791E-6</v>
      </c>
      <c r="AJ157" s="67">
        <f t="shared" si="36"/>
        <v>224.00411069949689</v>
      </c>
    </row>
    <row r="158" spans="1:36" s="57" customFormat="1" x14ac:dyDescent="0.3">
      <c r="A158" s="76">
        <v>2007</v>
      </c>
      <c r="B158" s="74">
        <v>25.6</v>
      </c>
      <c r="C158" s="75" t="s">
        <v>23</v>
      </c>
      <c r="D158" s="75" t="s">
        <v>26</v>
      </c>
      <c r="E158" s="61">
        <v>0.13</v>
      </c>
      <c r="F158" s="127" t="s">
        <v>38</v>
      </c>
      <c r="G158" s="28" t="s">
        <v>2035</v>
      </c>
      <c r="H158" s="28" t="s">
        <v>681</v>
      </c>
      <c r="I158" s="125" t="s">
        <v>2272</v>
      </c>
      <c r="J158" s="148" t="str">
        <f t="shared" si="30"/>
        <v>https://doi.org/10.1109/ISSCC.2007.373494</v>
      </c>
      <c r="K158" s="28" t="s">
        <v>243</v>
      </c>
      <c r="L158" s="60"/>
      <c r="M158" s="60"/>
      <c r="N158" s="60"/>
      <c r="O158" s="56" t="s">
        <v>1050</v>
      </c>
      <c r="P158" s="28">
        <v>0.52</v>
      </c>
      <c r="R158" s="63">
        <v>102500000</v>
      </c>
      <c r="S158" s="60">
        <v>54</v>
      </c>
      <c r="T158" s="60"/>
      <c r="U158" s="60"/>
      <c r="V158" s="60"/>
      <c r="W158" s="60">
        <v>62</v>
      </c>
      <c r="X158" s="29">
        <f t="shared" si="31"/>
        <v>54</v>
      </c>
      <c r="Y158" s="63">
        <v>9.2499999999999999E-2</v>
      </c>
      <c r="Z158" s="63">
        <v>205000000</v>
      </c>
      <c r="AA158" s="64">
        <v>1</v>
      </c>
      <c r="AB158" s="63">
        <f t="shared" si="37"/>
        <v>205000000</v>
      </c>
      <c r="AC158" s="63" t="s">
        <v>2096</v>
      </c>
      <c r="AD158" s="65">
        <f t="shared" si="27"/>
        <v>451.21951219512192</v>
      </c>
      <c r="AE158" s="29" t="str">
        <f t="shared" si="33"/>
        <v/>
      </c>
      <c r="AF158" s="29">
        <f t="shared" si="28"/>
        <v>1101.8629420584023</v>
      </c>
      <c r="AG158" s="54" t="str">
        <f t="shared" si="34"/>
        <v/>
      </c>
      <c r="AH158" s="54">
        <f t="shared" si="29"/>
        <v>144.44582132652741</v>
      </c>
      <c r="AI158" s="66">
        <f t="shared" si="35"/>
        <v>5.3749411807726938E-6</v>
      </c>
      <c r="AJ158" s="67">
        <f t="shared" si="36"/>
        <v>227.56335993708495</v>
      </c>
    </row>
    <row r="159" spans="1:36" s="57" customFormat="1" x14ac:dyDescent="0.3">
      <c r="A159" s="76">
        <v>2007</v>
      </c>
      <c r="B159" s="74">
        <v>25.7</v>
      </c>
      <c r="C159" s="75" t="s">
        <v>23</v>
      </c>
      <c r="D159" s="75" t="s">
        <v>260</v>
      </c>
      <c r="E159" s="61">
        <v>0.09</v>
      </c>
      <c r="F159" s="127" t="s">
        <v>246</v>
      </c>
      <c r="G159" s="28" t="s">
        <v>2036</v>
      </c>
      <c r="H159" s="28" t="s">
        <v>682</v>
      </c>
      <c r="I159" s="125" t="s">
        <v>2807</v>
      </c>
      <c r="J159" s="148" t="str">
        <f t="shared" si="30"/>
        <v>https://doi.org/10.1109/ISSCC.2007.373495</v>
      </c>
      <c r="K159" s="28" t="s">
        <v>1050</v>
      </c>
      <c r="L159" s="60">
        <v>1.5</v>
      </c>
      <c r="M159" s="60">
        <v>1.3</v>
      </c>
      <c r="N159" s="60"/>
      <c r="O159" s="56" t="s">
        <v>1050</v>
      </c>
      <c r="P159" s="28">
        <v>1.4</v>
      </c>
      <c r="R159" s="63">
        <v>400000000</v>
      </c>
      <c r="S159" s="60">
        <v>54</v>
      </c>
      <c r="T159" s="60"/>
      <c r="U159" s="60"/>
      <c r="V159" s="60"/>
      <c r="W159" s="60"/>
      <c r="X159" s="29">
        <f t="shared" si="31"/>
        <v>54</v>
      </c>
      <c r="Y159" s="63">
        <v>0.35</v>
      </c>
      <c r="Z159" s="63">
        <v>800000000</v>
      </c>
      <c r="AA159" s="64">
        <v>1</v>
      </c>
      <c r="AB159" s="63">
        <f t="shared" si="37"/>
        <v>800000000</v>
      </c>
      <c r="AC159" s="63" t="s">
        <v>2096</v>
      </c>
      <c r="AD159" s="65">
        <f t="shared" si="27"/>
        <v>437.5</v>
      </c>
      <c r="AE159" s="29" t="str">
        <f t="shared" si="33"/>
        <v/>
      </c>
      <c r="AF159" s="29">
        <f t="shared" si="28"/>
        <v>1068.360352603924</v>
      </c>
      <c r="AG159" s="54" t="str">
        <f t="shared" si="34"/>
        <v/>
      </c>
      <c r="AH159" s="54">
        <f t="shared" si="29"/>
        <v>144.57991946977688</v>
      </c>
      <c r="AI159" s="66">
        <f t="shared" si="35"/>
        <v>1.335450440754905E-6</v>
      </c>
      <c r="AJ159" s="67">
        <f t="shared" si="36"/>
        <v>233.61081933969632</v>
      </c>
    </row>
    <row r="160" spans="1:36" s="57" customFormat="1" x14ac:dyDescent="0.3">
      <c r="A160" s="73">
        <v>2008</v>
      </c>
      <c r="B160" s="78">
        <v>12.1</v>
      </c>
      <c r="C160" s="79" t="s">
        <v>23</v>
      </c>
      <c r="D160" s="79" t="s">
        <v>31</v>
      </c>
      <c r="E160" s="38">
        <v>0.09</v>
      </c>
      <c r="F160" s="78" t="s">
        <v>39</v>
      </c>
      <c r="G160" s="28" t="s">
        <v>683</v>
      </c>
      <c r="H160" s="28" t="s">
        <v>40</v>
      </c>
      <c r="I160" s="125" t="s">
        <v>2273</v>
      </c>
      <c r="J160" s="148" t="str">
        <f t="shared" si="30"/>
        <v>https://doi.org/10.1109/ISSCC.2008.4523145</v>
      </c>
      <c r="K160" s="28" t="s">
        <v>1050</v>
      </c>
      <c r="L160" s="60"/>
      <c r="M160" s="60"/>
      <c r="N160" s="60"/>
      <c r="O160" s="56" t="s">
        <v>1050</v>
      </c>
      <c r="P160" s="28">
        <v>9.0200000000000002E-2</v>
      </c>
      <c r="R160" s="63">
        <v>20000000</v>
      </c>
      <c r="S160" s="30">
        <v>53.3</v>
      </c>
      <c r="T160" s="30"/>
      <c r="U160" s="30"/>
      <c r="V160" s="60"/>
      <c r="W160" s="30"/>
      <c r="X160" s="29">
        <f t="shared" si="31"/>
        <v>53.3</v>
      </c>
      <c r="Y160" s="63">
        <v>8.1999999999999998E-4</v>
      </c>
      <c r="Z160" s="63">
        <v>40000000</v>
      </c>
      <c r="AA160" s="64">
        <v>1</v>
      </c>
      <c r="AB160" s="63">
        <f t="shared" si="37"/>
        <v>40000000</v>
      </c>
      <c r="AC160" s="63" t="s">
        <v>2096</v>
      </c>
      <c r="AD160" s="65">
        <f t="shared" si="27"/>
        <v>20.5</v>
      </c>
      <c r="AE160" s="29" t="str">
        <f t="shared" si="33"/>
        <v/>
      </c>
      <c r="AF160" s="29">
        <f t="shared" si="28"/>
        <v>54.26215708944153</v>
      </c>
      <c r="AG160" s="54" t="str">
        <f t="shared" si="34"/>
        <v/>
      </c>
      <c r="AH160" s="54">
        <f t="shared" si="29"/>
        <v>157.17216143280262</v>
      </c>
      <c r="AI160" s="66">
        <f t="shared" si="35"/>
        <v>1.3565539272360383E-6</v>
      </c>
      <c r="AJ160" s="67">
        <f t="shared" si="36"/>
        <v>233.19276134608225</v>
      </c>
    </row>
    <row r="161" spans="1:36" s="57" customFormat="1" x14ac:dyDescent="0.3">
      <c r="A161" s="76">
        <v>2008</v>
      </c>
      <c r="B161" s="78">
        <v>12.2</v>
      </c>
      <c r="C161" s="79" t="s">
        <v>23</v>
      </c>
      <c r="D161" s="79" t="s">
        <v>592</v>
      </c>
      <c r="E161" s="39">
        <v>6.5000000000000002E-2</v>
      </c>
      <c r="F161" s="78" t="s">
        <v>41</v>
      </c>
      <c r="G161" s="28" t="s">
        <v>684</v>
      </c>
      <c r="H161" s="28" t="s">
        <v>42</v>
      </c>
      <c r="I161" s="125" t="s">
        <v>2274</v>
      </c>
      <c r="J161" s="148" t="str">
        <f t="shared" si="30"/>
        <v>https://doi.org/10.1109/ISSCC.2008.4523146</v>
      </c>
      <c r="K161" s="28" t="s">
        <v>1050</v>
      </c>
      <c r="L161" s="60"/>
      <c r="M161" s="60"/>
      <c r="N161" s="60"/>
      <c r="O161" s="56" t="s">
        <v>1050</v>
      </c>
      <c r="P161" s="28">
        <v>3</v>
      </c>
      <c r="R161" s="63">
        <v>125000000</v>
      </c>
      <c r="S161" s="30">
        <v>28.4</v>
      </c>
      <c r="T161" s="30"/>
      <c r="U161" s="30"/>
      <c r="V161" s="60"/>
      <c r="W161" s="30"/>
      <c r="X161" s="29">
        <f t="shared" si="31"/>
        <v>28.4</v>
      </c>
      <c r="Y161" s="63">
        <v>1.1999999999999999E-3</v>
      </c>
      <c r="Z161" s="63">
        <v>250000000</v>
      </c>
      <c r="AA161" s="64">
        <v>1</v>
      </c>
      <c r="AB161" s="63">
        <f t="shared" si="37"/>
        <v>250000000</v>
      </c>
      <c r="AC161" s="63" t="s">
        <v>2096</v>
      </c>
      <c r="AD161" s="65">
        <f t="shared" si="27"/>
        <v>4.8</v>
      </c>
      <c r="AE161" s="29" t="str">
        <f t="shared" si="33"/>
        <v/>
      </c>
      <c r="AF161" s="29">
        <f t="shared" si="28"/>
        <v>223.41303022780005</v>
      </c>
      <c r="AG161" s="54" t="str">
        <f t="shared" si="34"/>
        <v/>
      </c>
      <c r="AH161" s="54">
        <f t="shared" si="29"/>
        <v>138.57728766960432</v>
      </c>
      <c r="AI161" s="66">
        <f t="shared" si="35"/>
        <v>8.9365212091120022E-7</v>
      </c>
      <c r="AJ161" s="67">
        <f t="shared" si="36"/>
        <v>222.55668775632469</v>
      </c>
    </row>
    <row r="162" spans="1:36" s="57" customFormat="1" x14ac:dyDescent="0.3">
      <c r="A162" s="76">
        <v>2008</v>
      </c>
      <c r="B162" s="78">
        <v>12.3</v>
      </c>
      <c r="C162" s="79" t="s">
        <v>23</v>
      </c>
      <c r="D162" s="30" t="s">
        <v>29</v>
      </c>
      <c r="E162" s="38">
        <v>0.09</v>
      </c>
      <c r="F162" s="78" t="s">
        <v>43</v>
      </c>
      <c r="G162" s="28" t="s">
        <v>685</v>
      </c>
      <c r="H162" s="28" t="s">
        <v>44</v>
      </c>
      <c r="I162" s="125" t="s">
        <v>2275</v>
      </c>
      <c r="J162" s="148" t="str">
        <f t="shared" si="30"/>
        <v>https://doi.org/10.1109/ISSCC.2008.4523147</v>
      </c>
      <c r="K162" s="28" t="s">
        <v>1050</v>
      </c>
      <c r="L162" s="60"/>
      <c r="M162" s="60"/>
      <c r="N162" s="60"/>
      <c r="O162" s="56">
        <v>0.25</v>
      </c>
      <c r="P162" s="28">
        <v>6.25E-2</v>
      </c>
      <c r="R162" s="63">
        <v>75000000</v>
      </c>
      <c r="S162" s="30">
        <v>40</v>
      </c>
      <c r="T162" s="30"/>
      <c r="U162" s="30"/>
      <c r="V162" s="60"/>
      <c r="W162" s="30">
        <v>53.9</v>
      </c>
      <c r="X162" s="29">
        <f t="shared" si="31"/>
        <v>40</v>
      </c>
      <c r="Y162" s="63">
        <v>1.3349999999999999E-4</v>
      </c>
      <c r="Z162" s="63">
        <v>150000000</v>
      </c>
      <c r="AA162" s="64">
        <v>1</v>
      </c>
      <c r="AB162" s="63">
        <f t="shared" si="37"/>
        <v>150000000</v>
      </c>
      <c r="AC162" s="63" t="s">
        <v>2096</v>
      </c>
      <c r="AD162" s="65">
        <f t="shared" si="27"/>
        <v>0.8899999999999999</v>
      </c>
      <c r="AE162" s="29" t="str">
        <f t="shared" si="33"/>
        <v/>
      </c>
      <c r="AF162" s="29">
        <f t="shared" si="28"/>
        <v>10.894303486548832</v>
      </c>
      <c r="AG162" s="54" t="str">
        <f t="shared" si="34"/>
        <v/>
      </c>
      <c r="AH162" s="54">
        <f t="shared" si="29"/>
        <v>157.49579997691106</v>
      </c>
      <c r="AI162" s="66">
        <f t="shared" si="35"/>
        <v>7.2628689910325544E-8</v>
      </c>
      <c r="AJ162" s="67">
        <f t="shared" si="36"/>
        <v>239.25671256746787</v>
      </c>
    </row>
    <row r="163" spans="1:36" s="57" customFormat="1" x14ac:dyDescent="0.3">
      <c r="A163" s="76">
        <v>2008</v>
      </c>
      <c r="B163" s="78">
        <v>12.4</v>
      </c>
      <c r="C163" s="79" t="s">
        <v>23</v>
      </c>
      <c r="D163" s="64" t="s">
        <v>31</v>
      </c>
      <c r="E163" s="39">
        <v>6.5000000000000002E-2</v>
      </c>
      <c r="F163" s="126" t="s">
        <v>45</v>
      </c>
      <c r="G163" s="28" t="s">
        <v>686</v>
      </c>
      <c r="H163" s="28" t="s">
        <v>46</v>
      </c>
      <c r="I163" s="125" t="s">
        <v>2276</v>
      </c>
      <c r="J163" s="148" t="str">
        <f t="shared" si="30"/>
        <v>https://doi.org/10.1109/ISSCC.2008.4523148</v>
      </c>
      <c r="K163" s="28" t="s">
        <v>1050</v>
      </c>
      <c r="L163" s="60"/>
      <c r="M163" s="60"/>
      <c r="N163" s="60"/>
      <c r="O163" s="56">
        <v>0.5</v>
      </c>
      <c r="P163" s="28">
        <v>2.75E-2</v>
      </c>
      <c r="R163" s="63">
        <v>500000</v>
      </c>
      <c r="S163" s="60">
        <v>54.4</v>
      </c>
      <c r="T163" s="60">
        <v>55.6</v>
      </c>
      <c r="U163" s="60"/>
      <c r="V163" s="60">
        <v>61.1</v>
      </c>
      <c r="W163" s="60"/>
      <c r="X163" s="29">
        <f t="shared" si="31"/>
        <v>54.4</v>
      </c>
      <c r="Y163" s="63">
        <v>1.9E-6</v>
      </c>
      <c r="Z163" s="63">
        <v>1000000</v>
      </c>
      <c r="AA163" s="64">
        <v>1</v>
      </c>
      <c r="AB163" s="63">
        <f t="shared" si="37"/>
        <v>1000000</v>
      </c>
      <c r="AC163" s="63" t="s">
        <v>2096</v>
      </c>
      <c r="AD163" s="65">
        <f t="shared" si="27"/>
        <v>1.9</v>
      </c>
      <c r="AE163" s="29" t="str">
        <f t="shared" si="33"/>
        <v/>
      </c>
      <c r="AF163" s="29">
        <f t="shared" si="28"/>
        <v>4.4308935177296833</v>
      </c>
      <c r="AG163" s="54" t="str">
        <f t="shared" si="34"/>
        <v/>
      </c>
      <c r="AH163" s="54">
        <f t="shared" si="29"/>
        <v>168.60216403383191</v>
      </c>
      <c r="AI163" s="66">
        <f t="shared" si="35"/>
        <v>4.4308935177296836E-6</v>
      </c>
      <c r="AJ163" s="67">
        <f t="shared" si="36"/>
        <v>228.60216403383191</v>
      </c>
    </row>
    <row r="164" spans="1:36" x14ac:dyDescent="0.3">
      <c r="A164" s="76">
        <v>2008</v>
      </c>
      <c r="B164" s="78">
        <v>12.5</v>
      </c>
      <c r="C164" s="79" t="s">
        <v>23</v>
      </c>
      <c r="D164" s="64" t="s">
        <v>31</v>
      </c>
      <c r="E164" s="38">
        <v>0.18</v>
      </c>
      <c r="F164" s="126" t="s">
        <v>47</v>
      </c>
      <c r="G164" s="28" t="s">
        <v>687</v>
      </c>
      <c r="H164" s="28" t="s">
        <v>48</v>
      </c>
      <c r="I164" s="125" t="s">
        <v>2277</v>
      </c>
      <c r="J164" s="148" t="str">
        <f t="shared" si="30"/>
        <v>https://doi.org/10.1109/ISSCC.2008.4523149</v>
      </c>
      <c r="K164" s="28" t="s">
        <v>1050</v>
      </c>
      <c r="L164" s="60"/>
      <c r="M164" s="60"/>
      <c r="N164" s="60"/>
      <c r="O164" s="56">
        <v>15</v>
      </c>
      <c r="P164" s="28">
        <v>0.24</v>
      </c>
      <c r="Q164" s="68"/>
      <c r="R164" s="63">
        <v>50000</v>
      </c>
      <c r="S164" s="60">
        <v>58</v>
      </c>
      <c r="T164" s="60"/>
      <c r="U164" s="60"/>
      <c r="V164" s="60"/>
      <c r="W164" s="60">
        <v>71.8</v>
      </c>
      <c r="X164" s="29">
        <f t="shared" si="31"/>
        <v>58</v>
      </c>
      <c r="Y164" s="63">
        <v>3.5999999999999998E-6</v>
      </c>
      <c r="Z164" s="63">
        <v>100000</v>
      </c>
      <c r="AA164" s="64">
        <v>1</v>
      </c>
      <c r="AB164" s="63">
        <f t="shared" si="37"/>
        <v>100000</v>
      </c>
      <c r="AC164" s="63" t="s">
        <v>2096</v>
      </c>
      <c r="AD164" s="65">
        <f t="shared" si="27"/>
        <v>36</v>
      </c>
      <c r="AE164" s="29" t="str">
        <f t="shared" si="33"/>
        <v/>
      </c>
      <c r="AF164" s="29">
        <f t="shared" si="28"/>
        <v>55.465416111778318</v>
      </c>
      <c r="AG164" s="54" t="str">
        <f t="shared" si="34"/>
        <v/>
      </c>
      <c r="AH164" s="54">
        <f t="shared" si="29"/>
        <v>159.42667503568731</v>
      </c>
      <c r="AI164" s="66">
        <f t="shared" si="35"/>
        <v>5.546541611177832E-4</v>
      </c>
      <c r="AJ164" s="67">
        <f t="shared" si="36"/>
        <v>209.42667503568731</v>
      </c>
    </row>
    <row r="165" spans="1:36" x14ac:dyDescent="0.3">
      <c r="A165" s="76">
        <v>2008</v>
      </c>
      <c r="B165" s="78">
        <v>12.6</v>
      </c>
      <c r="C165" s="79" t="s">
        <v>23</v>
      </c>
      <c r="D165" s="64" t="s">
        <v>26</v>
      </c>
      <c r="E165" s="38">
        <v>0.18</v>
      </c>
      <c r="F165" s="126" t="s">
        <v>49</v>
      </c>
      <c r="G165" s="28" t="s">
        <v>688</v>
      </c>
      <c r="H165" s="28" t="s">
        <v>50</v>
      </c>
      <c r="I165" s="125" t="s">
        <v>2278</v>
      </c>
      <c r="J165" s="148" t="str">
        <f t="shared" si="30"/>
        <v>https://doi.org/10.1109/ISSCC.2008.4523150</v>
      </c>
      <c r="K165" s="28" t="s">
        <v>1050</v>
      </c>
      <c r="L165" s="60">
        <v>3</v>
      </c>
      <c r="M165" s="60"/>
      <c r="N165" s="60"/>
      <c r="O165" s="56" t="s">
        <v>1050</v>
      </c>
      <c r="P165" s="28">
        <v>7.28</v>
      </c>
      <c r="Q165" s="68"/>
      <c r="R165" s="63">
        <v>50000000</v>
      </c>
      <c r="S165" s="60"/>
      <c r="T165" s="60">
        <v>72.2</v>
      </c>
      <c r="U165" s="60"/>
      <c r="V165" s="60"/>
      <c r="W165" s="60"/>
      <c r="X165" s="29">
        <f t="shared" si="31"/>
        <v>72.2</v>
      </c>
      <c r="Y165" s="63">
        <v>0.23</v>
      </c>
      <c r="Z165" s="63">
        <v>100000000</v>
      </c>
      <c r="AA165" s="64">
        <v>1</v>
      </c>
      <c r="AB165" s="63">
        <f t="shared" si="37"/>
        <v>100000000</v>
      </c>
      <c r="AC165" s="63" t="s">
        <v>2096</v>
      </c>
      <c r="AD165" s="65">
        <f t="shared" si="27"/>
        <v>2300</v>
      </c>
      <c r="AE165" s="29" t="str">
        <f t="shared" si="33"/>
        <v/>
      </c>
      <c r="AF165" s="29">
        <f t="shared" si="28"/>
        <v>690.83901590346795</v>
      </c>
      <c r="AG165" s="54" t="str">
        <f t="shared" si="34"/>
        <v/>
      </c>
      <c r="AH165" s="54">
        <f t="shared" si="29"/>
        <v>155.57242168318425</v>
      </c>
      <c r="AI165" s="66">
        <f t="shared" si="35"/>
        <v>6.9083901590346794E-6</v>
      </c>
      <c r="AJ165" s="67">
        <f t="shared" si="36"/>
        <v>235.57242168318425</v>
      </c>
    </row>
    <row r="166" spans="1:36" x14ac:dyDescent="0.3">
      <c r="A166" s="76">
        <v>2008</v>
      </c>
      <c r="B166" s="78">
        <v>12.7</v>
      </c>
      <c r="C166" s="79" t="s">
        <v>23</v>
      </c>
      <c r="D166" s="64" t="s">
        <v>26</v>
      </c>
      <c r="E166" s="39">
        <v>6.5000000000000002E-2</v>
      </c>
      <c r="F166" s="126" t="s">
        <v>689</v>
      </c>
      <c r="G166" s="28" t="s">
        <v>2037</v>
      </c>
      <c r="H166" s="28" t="s">
        <v>51</v>
      </c>
      <c r="I166" s="125" t="s">
        <v>2279</v>
      </c>
      <c r="J166" s="148" t="str">
        <f t="shared" si="30"/>
        <v>https://doi.org/10.1109/ISSCC.2008.4523151</v>
      </c>
      <c r="K166" s="28" t="s">
        <v>1050</v>
      </c>
      <c r="L166" s="60"/>
      <c r="M166" s="60"/>
      <c r="N166" s="60"/>
      <c r="O166" s="56" t="s">
        <v>1050</v>
      </c>
      <c r="P166" s="28">
        <v>7.0000000000000007E-2</v>
      </c>
      <c r="Q166" s="68"/>
      <c r="R166" s="63">
        <v>50000000</v>
      </c>
      <c r="S166" s="60">
        <v>59</v>
      </c>
      <c r="T166" s="60"/>
      <c r="U166" s="60"/>
      <c r="V166" s="60">
        <v>74</v>
      </c>
      <c r="W166" s="60"/>
      <c r="X166" s="29">
        <f t="shared" si="31"/>
        <v>59</v>
      </c>
      <c r="Y166" s="63">
        <v>4.4999999999999997E-3</v>
      </c>
      <c r="Z166" s="63">
        <v>100000000</v>
      </c>
      <c r="AA166" s="64">
        <v>1</v>
      </c>
      <c r="AB166" s="63">
        <f t="shared" si="37"/>
        <v>100000000</v>
      </c>
      <c r="AC166" s="63" t="s">
        <v>2096</v>
      </c>
      <c r="AD166" s="65">
        <f t="shared" si="27"/>
        <v>45</v>
      </c>
      <c r="AE166" s="29" t="str">
        <f t="shared" si="33"/>
        <v/>
      </c>
      <c r="AF166" s="29">
        <f t="shared" si="28"/>
        <v>61.791296242776433</v>
      </c>
      <c r="AG166" s="54" t="str">
        <f t="shared" si="34"/>
        <v/>
      </c>
      <c r="AH166" s="54">
        <f t="shared" si="29"/>
        <v>159.45757490560675</v>
      </c>
      <c r="AI166" s="66">
        <f t="shared" si="35"/>
        <v>6.1791296242776429E-7</v>
      </c>
      <c r="AJ166" s="67">
        <f t="shared" si="36"/>
        <v>239.45757490560675</v>
      </c>
    </row>
    <row r="167" spans="1:36" x14ac:dyDescent="0.3">
      <c r="A167" s="76">
        <v>2008</v>
      </c>
      <c r="B167" s="78">
        <v>12.8</v>
      </c>
      <c r="C167" s="79" t="s">
        <v>23</v>
      </c>
      <c r="D167" s="64" t="s">
        <v>28</v>
      </c>
      <c r="E167" s="38">
        <v>0.09</v>
      </c>
      <c r="F167" s="126" t="s">
        <v>52</v>
      </c>
      <c r="G167" s="28" t="s">
        <v>690</v>
      </c>
      <c r="H167" s="28" t="s">
        <v>53</v>
      </c>
      <c r="I167" s="125" t="s">
        <v>2280</v>
      </c>
      <c r="J167" s="148" t="str">
        <f t="shared" si="30"/>
        <v>https://doi.org/10.1109/ISSCC.2008.4523152</v>
      </c>
      <c r="K167" s="28" t="s">
        <v>1050</v>
      </c>
      <c r="L167" s="60"/>
      <c r="M167" s="60"/>
      <c r="N167" s="60"/>
      <c r="O167" s="56">
        <v>0.2</v>
      </c>
      <c r="P167" s="28">
        <v>1.6500000000000001E-2</v>
      </c>
      <c r="Q167" s="68">
        <v>29.9</v>
      </c>
      <c r="R167" s="63">
        <v>875000000</v>
      </c>
      <c r="S167" s="60">
        <v>27.55</v>
      </c>
      <c r="T167" s="60"/>
      <c r="U167" s="60"/>
      <c r="V167" s="60"/>
      <c r="W167" s="60">
        <v>32</v>
      </c>
      <c r="X167" s="29">
        <f t="shared" si="31"/>
        <v>27.55</v>
      </c>
      <c r="Y167" s="63">
        <v>2.2000000000000001E-3</v>
      </c>
      <c r="Z167" s="63">
        <v>1750000000</v>
      </c>
      <c r="AA167" s="64">
        <v>1</v>
      </c>
      <c r="AB167" s="63">
        <f t="shared" si="37"/>
        <v>1750000000</v>
      </c>
      <c r="AC167" s="63" t="s">
        <v>2096</v>
      </c>
      <c r="AD167" s="65">
        <f t="shared" si="27"/>
        <v>1.2571428571428571</v>
      </c>
      <c r="AE167" s="29">
        <f t="shared" si="33"/>
        <v>49.231653223832915</v>
      </c>
      <c r="AF167" s="29">
        <f t="shared" si="28"/>
        <v>64.529177435626707</v>
      </c>
      <c r="AG167" s="54">
        <f t="shared" si="34"/>
        <v>145.89585372200108</v>
      </c>
      <c r="AH167" s="54">
        <f t="shared" si="29"/>
        <v>143.54585372200108</v>
      </c>
      <c r="AI167" s="66">
        <f t="shared" si="35"/>
        <v>3.6873815677500978E-8</v>
      </c>
      <c r="AJ167" s="67">
        <f t="shared" si="36"/>
        <v>235.97623420886401</v>
      </c>
    </row>
    <row r="168" spans="1:36" x14ac:dyDescent="0.3">
      <c r="A168" s="76">
        <v>2008</v>
      </c>
      <c r="B168" s="30">
        <v>27.2</v>
      </c>
      <c r="C168" s="30" t="s">
        <v>22</v>
      </c>
      <c r="D168" s="64" t="s">
        <v>25</v>
      </c>
      <c r="E168" s="38">
        <v>0.18</v>
      </c>
      <c r="F168" s="126" t="s">
        <v>54</v>
      </c>
      <c r="G168" s="28" t="s">
        <v>691</v>
      </c>
      <c r="H168" s="28" t="s">
        <v>55</v>
      </c>
      <c r="I168" s="125" t="s">
        <v>2281</v>
      </c>
      <c r="J168" s="148" t="str">
        <f t="shared" si="30"/>
        <v>https://doi.org/10.1109/ISSCC.2008.4523271</v>
      </c>
      <c r="K168" s="28" t="s">
        <v>1050</v>
      </c>
      <c r="L168" s="60">
        <v>0.7</v>
      </c>
      <c r="M168" s="60"/>
      <c r="N168" s="60"/>
      <c r="O168" s="56" t="s">
        <v>1050</v>
      </c>
      <c r="P168" s="28">
        <v>0.71499999999999997</v>
      </c>
      <c r="Q168" s="68"/>
      <c r="R168" s="63">
        <f>AB168/2</f>
        <v>20000</v>
      </c>
      <c r="S168" s="60">
        <v>81</v>
      </c>
      <c r="T168" s="60">
        <v>84</v>
      </c>
      <c r="U168" s="60">
        <v>85</v>
      </c>
      <c r="V168" s="60"/>
      <c r="W168" s="60">
        <v>93</v>
      </c>
      <c r="X168" s="29">
        <f t="shared" si="31"/>
        <v>81</v>
      </c>
      <c r="Y168" s="63">
        <v>3.6000000000000001E-5</v>
      </c>
      <c r="Z168" s="63">
        <v>4000000</v>
      </c>
      <c r="AA168" s="64">
        <f>Z168/AB168</f>
        <v>100</v>
      </c>
      <c r="AB168" s="63">
        <v>40000</v>
      </c>
      <c r="AC168" s="63" t="s">
        <v>2096</v>
      </c>
      <c r="AD168" s="65">
        <f t="shared" si="27"/>
        <v>900</v>
      </c>
      <c r="AE168" s="29" t="str">
        <f t="shared" si="33"/>
        <v/>
      </c>
      <c r="AF168" s="29">
        <f t="shared" si="28"/>
        <v>98.140368148462912</v>
      </c>
      <c r="AG168" s="54" t="str">
        <f t="shared" si="34"/>
        <v/>
      </c>
      <c r="AH168" s="54">
        <f t="shared" si="29"/>
        <v>168.44727494896694</v>
      </c>
      <c r="AI168" s="66">
        <f t="shared" si="35"/>
        <v>2.4535092037115728E-3</v>
      </c>
      <c r="AJ168" s="67">
        <f t="shared" si="36"/>
        <v>214.46787486224656</v>
      </c>
    </row>
    <row r="169" spans="1:36" x14ac:dyDescent="0.3">
      <c r="A169" s="76">
        <v>2008</v>
      </c>
      <c r="B169" s="30">
        <v>27.3</v>
      </c>
      <c r="C169" s="30" t="s">
        <v>22</v>
      </c>
      <c r="D169" s="64" t="s">
        <v>25</v>
      </c>
      <c r="E169" s="39">
        <v>6.5000000000000002E-2</v>
      </c>
      <c r="F169" s="126" t="s">
        <v>56</v>
      </c>
      <c r="G169" s="28" t="s">
        <v>692</v>
      </c>
      <c r="H169" s="28" t="s">
        <v>57</v>
      </c>
      <c r="I169" s="125" t="s">
        <v>2282</v>
      </c>
      <c r="J169" s="148" t="str">
        <f t="shared" si="30"/>
        <v>https://doi.org/10.1109/ISSCC.2008.4523272</v>
      </c>
      <c r="K169" s="28" t="s">
        <v>1050</v>
      </c>
      <c r="L169" s="60"/>
      <c r="M169" s="60"/>
      <c r="N169" s="60"/>
      <c r="O169" s="56" t="s">
        <v>1050</v>
      </c>
      <c r="P169" s="28">
        <v>0.03</v>
      </c>
      <c r="Q169" s="68"/>
      <c r="R169" s="63">
        <f>AB169/2</f>
        <v>200000</v>
      </c>
      <c r="S169" s="60"/>
      <c r="T169" s="60">
        <v>77</v>
      </c>
      <c r="U169" s="60"/>
      <c r="V169" s="60">
        <v>79</v>
      </c>
      <c r="W169" s="60"/>
      <c r="X169" s="29">
        <f t="shared" si="31"/>
        <v>77</v>
      </c>
      <c r="Y169" s="63">
        <v>9.5E-4</v>
      </c>
      <c r="Z169" s="63">
        <v>150000000</v>
      </c>
      <c r="AA169" s="64">
        <f>Z169/AB169</f>
        <v>375</v>
      </c>
      <c r="AB169" s="63">
        <v>400000</v>
      </c>
      <c r="AC169" s="63" t="s">
        <v>2096</v>
      </c>
      <c r="AD169" s="65">
        <f t="shared" si="27"/>
        <v>2375</v>
      </c>
      <c r="AE169" s="29" t="str">
        <f t="shared" si="33"/>
        <v/>
      </c>
      <c r="AF169" s="29">
        <f t="shared" si="28"/>
        <v>410.47689641125606</v>
      </c>
      <c r="AG169" s="54" t="str">
        <f t="shared" si="34"/>
        <v/>
      </c>
      <c r="AH169" s="54">
        <f t="shared" si="29"/>
        <v>160.23306390375134</v>
      </c>
      <c r="AI169" s="66">
        <f t="shared" si="35"/>
        <v>1.0261922410281401E-3</v>
      </c>
      <c r="AJ169" s="67">
        <f t="shared" si="36"/>
        <v>216.25366381703097</v>
      </c>
    </row>
    <row r="170" spans="1:36" x14ac:dyDescent="0.3">
      <c r="A170" s="76">
        <v>2008</v>
      </c>
      <c r="B170" s="30">
        <v>27.4</v>
      </c>
      <c r="C170" s="30" t="s">
        <v>22</v>
      </c>
      <c r="D170" s="64" t="s">
        <v>405</v>
      </c>
      <c r="E170" s="38">
        <v>0.18</v>
      </c>
      <c r="F170" s="126" t="s">
        <v>58</v>
      </c>
      <c r="G170" s="28" t="s">
        <v>693</v>
      </c>
      <c r="H170" s="28" t="s">
        <v>59</v>
      </c>
      <c r="I170" s="125" t="s">
        <v>2283</v>
      </c>
      <c r="J170" s="148" t="str">
        <f t="shared" si="30"/>
        <v>https://doi.org/10.1109/ISSCC.2008.4523273</v>
      </c>
      <c r="K170" s="28" t="s">
        <v>808</v>
      </c>
      <c r="L170" s="60"/>
      <c r="M170" s="60"/>
      <c r="N170" s="60"/>
      <c r="O170" s="56" t="s">
        <v>1050</v>
      </c>
      <c r="P170" s="28">
        <v>3.67</v>
      </c>
      <c r="Q170" s="68"/>
      <c r="R170" s="63">
        <v>2500000</v>
      </c>
      <c r="S170" s="60">
        <v>81</v>
      </c>
      <c r="T170" s="60">
        <v>81</v>
      </c>
      <c r="U170" s="60">
        <v>83</v>
      </c>
      <c r="V170" s="60">
        <v>104</v>
      </c>
      <c r="W170" s="60"/>
      <c r="X170" s="29">
        <f t="shared" si="31"/>
        <v>81</v>
      </c>
      <c r="Y170" s="63">
        <v>1.4999999999999999E-2</v>
      </c>
      <c r="Z170" s="63">
        <v>60000000</v>
      </c>
      <c r="AA170" s="64">
        <f>Z170/AB170</f>
        <v>12</v>
      </c>
      <c r="AB170" s="63">
        <v>5000000</v>
      </c>
      <c r="AC170" s="63" t="s">
        <v>2096</v>
      </c>
      <c r="AD170" s="65">
        <f t="shared" si="27"/>
        <v>3000</v>
      </c>
      <c r="AE170" s="29" t="str">
        <f t="shared" si="33"/>
        <v/>
      </c>
      <c r="AF170" s="29">
        <f t="shared" si="28"/>
        <v>327.13456049487633</v>
      </c>
      <c r="AG170" s="54" t="str">
        <f t="shared" si="34"/>
        <v/>
      </c>
      <c r="AH170" s="54">
        <f t="shared" si="29"/>
        <v>163.21848749616356</v>
      </c>
      <c r="AI170" s="66">
        <f t="shared" si="35"/>
        <v>6.5426912098975266E-5</v>
      </c>
      <c r="AJ170" s="67">
        <f t="shared" si="36"/>
        <v>230.20818753952375</v>
      </c>
    </row>
    <row r="171" spans="1:36" x14ac:dyDescent="0.3">
      <c r="A171" s="76">
        <v>2008</v>
      </c>
      <c r="B171" s="30">
        <v>27.5</v>
      </c>
      <c r="C171" s="30" t="s">
        <v>22</v>
      </c>
      <c r="D171" s="64" t="s">
        <v>25</v>
      </c>
      <c r="E171" s="38">
        <v>0.09</v>
      </c>
      <c r="F171" s="126" t="s">
        <v>60</v>
      </c>
      <c r="G171" s="28" t="s">
        <v>694</v>
      </c>
      <c r="H171" s="28" t="s">
        <v>61</v>
      </c>
      <c r="I171" s="125" t="s">
        <v>2284</v>
      </c>
      <c r="J171" s="148" t="str">
        <f t="shared" si="30"/>
        <v>https://doi.org/10.1109/ISSCC.2008.4523274</v>
      </c>
      <c r="K171" s="28" t="s">
        <v>1054</v>
      </c>
      <c r="L171" s="60"/>
      <c r="M171" s="60"/>
      <c r="N171" s="60"/>
      <c r="O171" s="56" t="s">
        <v>1050</v>
      </c>
      <c r="P171" s="28">
        <v>1</v>
      </c>
      <c r="Q171" s="68"/>
      <c r="R171" s="63">
        <v>20000000</v>
      </c>
      <c r="S171" s="60">
        <v>64</v>
      </c>
      <c r="T171" s="60">
        <v>67</v>
      </c>
      <c r="U171" s="60">
        <v>72</v>
      </c>
      <c r="V171" s="60"/>
      <c r="W171" s="60">
        <v>79</v>
      </c>
      <c r="X171" s="29">
        <f t="shared" si="31"/>
        <v>64</v>
      </c>
      <c r="Y171" s="63">
        <v>2.7900000000000001E-2</v>
      </c>
      <c r="Z171" s="63">
        <v>420000000</v>
      </c>
      <c r="AA171" s="64">
        <v>10.5</v>
      </c>
      <c r="AB171" s="63">
        <f>Z171/AA171</f>
        <v>40000000</v>
      </c>
      <c r="AC171" s="63" t="s">
        <v>2096</v>
      </c>
      <c r="AD171" s="65">
        <f t="shared" si="27"/>
        <v>697.5</v>
      </c>
      <c r="AE171" s="29" t="str">
        <f t="shared" si="33"/>
        <v/>
      </c>
      <c r="AF171" s="29">
        <f t="shared" si="28"/>
        <v>538.5599954941498</v>
      </c>
      <c r="AG171" s="54" t="str">
        <f t="shared" si="34"/>
        <v/>
      </c>
      <c r="AH171" s="54">
        <f t="shared" si="29"/>
        <v>152.55425792390383</v>
      </c>
      <c r="AI171" s="66">
        <f t="shared" si="35"/>
        <v>1.3463999887353746E-5</v>
      </c>
      <c r="AJ171" s="67">
        <f t="shared" si="36"/>
        <v>228.57485783718346</v>
      </c>
    </row>
    <row r="172" spans="1:36" x14ac:dyDescent="0.3">
      <c r="A172" s="76">
        <v>2008</v>
      </c>
      <c r="B172" s="30">
        <v>27.6</v>
      </c>
      <c r="C172" s="30" t="s">
        <v>22</v>
      </c>
      <c r="D172" s="64" t="s">
        <v>30</v>
      </c>
      <c r="E172" s="38">
        <v>0.18</v>
      </c>
      <c r="F172" s="126" t="s">
        <v>62</v>
      </c>
      <c r="G172" s="28" t="s">
        <v>695</v>
      </c>
      <c r="H172" s="28" t="s">
        <v>696</v>
      </c>
      <c r="I172" s="125" t="s">
        <v>2285</v>
      </c>
      <c r="J172" s="148" t="str">
        <f t="shared" si="30"/>
        <v>https://doi.org/10.1109/ISSCC.2008.4523275</v>
      </c>
      <c r="K172" s="28" t="s">
        <v>1050</v>
      </c>
      <c r="L172" s="60"/>
      <c r="M172" s="60"/>
      <c r="N172" s="60"/>
      <c r="O172" s="56" t="s">
        <v>1050</v>
      </c>
      <c r="P172" s="28">
        <v>0.7</v>
      </c>
      <c r="Q172" s="68"/>
      <c r="R172" s="63">
        <f>AB172/2</f>
        <v>10000000</v>
      </c>
      <c r="S172" s="60">
        <v>82</v>
      </c>
      <c r="T172" s="60"/>
      <c r="U172" s="60">
        <v>87</v>
      </c>
      <c r="V172" s="60"/>
      <c r="W172" s="60"/>
      <c r="X172" s="29">
        <f t="shared" si="31"/>
        <v>82</v>
      </c>
      <c r="Y172" s="63">
        <v>0.1</v>
      </c>
      <c r="Z172" s="63">
        <v>640000000</v>
      </c>
      <c r="AA172" s="64">
        <f>Z172/AB172</f>
        <v>32</v>
      </c>
      <c r="AB172" s="63">
        <v>20000000</v>
      </c>
      <c r="AC172" s="63" t="s">
        <v>2096</v>
      </c>
      <c r="AD172" s="65">
        <f t="shared" si="27"/>
        <v>5000</v>
      </c>
      <c r="AE172" s="29" t="str">
        <f t="shared" si="33"/>
        <v/>
      </c>
      <c r="AF172" s="29">
        <f t="shared" si="28"/>
        <v>485.9260648245484</v>
      </c>
      <c r="AG172" s="54" t="str">
        <f t="shared" si="34"/>
        <v/>
      </c>
      <c r="AH172" s="54">
        <f t="shared" si="29"/>
        <v>162</v>
      </c>
      <c r="AI172" s="66">
        <f t="shared" si="35"/>
        <v>2.4296303241227419E-5</v>
      </c>
      <c r="AJ172" s="67">
        <f t="shared" si="36"/>
        <v>235.01029995663981</v>
      </c>
    </row>
    <row r="173" spans="1:36" x14ac:dyDescent="0.3">
      <c r="A173" s="76">
        <v>2008</v>
      </c>
      <c r="B173" s="30">
        <v>27.7</v>
      </c>
      <c r="C173" s="30" t="s">
        <v>22</v>
      </c>
      <c r="D173" s="64" t="s">
        <v>30</v>
      </c>
      <c r="E173" s="39">
        <v>6.5000000000000002E-2</v>
      </c>
      <c r="F173" s="126" t="s">
        <v>63</v>
      </c>
      <c r="G173" s="28" t="s">
        <v>697</v>
      </c>
      <c r="H173" s="28" t="s">
        <v>64</v>
      </c>
      <c r="I173" s="125" t="s">
        <v>2286</v>
      </c>
      <c r="J173" s="148" t="str">
        <f t="shared" si="30"/>
        <v>https://doi.org/10.1109/ISSCC.2008.4523276</v>
      </c>
      <c r="K173" s="28" t="s">
        <v>1050</v>
      </c>
      <c r="L173" s="60"/>
      <c r="M173" s="60"/>
      <c r="N173" s="60"/>
      <c r="O173" s="56" t="s">
        <v>1050</v>
      </c>
      <c r="P173" s="28">
        <v>0.5</v>
      </c>
      <c r="Q173" s="68"/>
      <c r="R173" s="63">
        <v>8000000</v>
      </c>
      <c r="S173" s="60"/>
      <c r="T173" s="60"/>
      <c r="U173" s="60">
        <v>81</v>
      </c>
      <c r="V173" s="60"/>
      <c r="W173" s="60"/>
      <c r="X173" s="29">
        <f t="shared" si="31"/>
        <v>81</v>
      </c>
      <c r="Y173" s="63">
        <v>0.05</v>
      </c>
      <c r="Z173" s="63">
        <v>256000000</v>
      </c>
      <c r="AA173" s="64">
        <v>16</v>
      </c>
      <c r="AB173" s="63">
        <f t="shared" ref="AB173:AB214" si="38">Z173/AA173</f>
        <v>16000000</v>
      </c>
      <c r="AC173" s="63" t="s">
        <v>2096</v>
      </c>
      <c r="AD173" s="65">
        <f t="shared" si="27"/>
        <v>3125.0000000000005</v>
      </c>
      <c r="AE173" s="29" t="str">
        <f t="shared" si="33"/>
        <v/>
      </c>
      <c r="AF173" s="29">
        <f t="shared" si="28"/>
        <v>340.76516718216294</v>
      </c>
      <c r="AG173" s="54" t="str">
        <f t="shared" si="34"/>
        <v/>
      </c>
      <c r="AH173" s="54">
        <f t="shared" si="29"/>
        <v>163.04119982655925</v>
      </c>
      <c r="AI173" s="66">
        <f t="shared" si="35"/>
        <v>2.1297822948885184E-5</v>
      </c>
      <c r="AJ173" s="67">
        <f t="shared" si="36"/>
        <v>235.0823996531185</v>
      </c>
    </row>
    <row r="174" spans="1:36" x14ac:dyDescent="0.3">
      <c r="A174" s="76">
        <v>2008</v>
      </c>
      <c r="B174" s="30">
        <v>27.8</v>
      </c>
      <c r="C174" s="30" t="s">
        <v>22</v>
      </c>
      <c r="D174" s="64" t="s">
        <v>30</v>
      </c>
      <c r="E174" s="39">
        <v>4.4999999999999998E-2</v>
      </c>
      <c r="F174" s="126" t="s">
        <v>65</v>
      </c>
      <c r="G174" s="28" t="s">
        <v>698</v>
      </c>
      <c r="H174" s="28" t="s">
        <v>66</v>
      </c>
      <c r="I174" s="125" t="s">
        <v>2287</v>
      </c>
      <c r="J174" s="148" t="str">
        <f t="shared" si="30"/>
        <v>https://doi.org/10.1109/ISSCC.2008.4523277</v>
      </c>
      <c r="K174" s="28" t="s">
        <v>1050</v>
      </c>
      <c r="L174" s="60"/>
      <c r="M174" s="60"/>
      <c r="N174" s="60"/>
      <c r="O174" s="56" t="s">
        <v>1050</v>
      </c>
      <c r="P174" s="28">
        <v>8.8800000000000004E-2</v>
      </c>
      <c r="Q174" s="68"/>
      <c r="R174" s="63">
        <v>20000</v>
      </c>
      <c r="S174" s="60">
        <v>76.5</v>
      </c>
      <c r="T174" s="60">
        <v>78.7</v>
      </c>
      <c r="U174" s="60">
        <v>92</v>
      </c>
      <c r="V174" s="60">
        <v>80</v>
      </c>
      <c r="W174" s="60"/>
      <c r="X174" s="29">
        <f t="shared" si="31"/>
        <v>76.5</v>
      </c>
      <c r="Y174" s="63">
        <v>1.1999999999999999E-3</v>
      </c>
      <c r="Z174" s="63">
        <v>12000000</v>
      </c>
      <c r="AA174" s="64">
        <v>300</v>
      </c>
      <c r="AB174" s="63">
        <f t="shared" si="38"/>
        <v>40000</v>
      </c>
      <c r="AC174" s="63" t="s">
        <v>2096</v>
      </c>
      <c r="AD174" s="65">
        <f t="shared" si="27"/>
        <v>29999.999999999996</v>
      </c>
      <c r="AE174" s="29" t="str">
        <f t="shared" si="33"/>
        <v/>
      </c>
      <c r="AF174" s="29">
        <f t="shared" si="28"/>
        <v>5492.2316950663744</v>
      </c>
      <c r="AG174" s="54" t="str">
        <f t="shared" si="34"/>
        <v/>
      </c>
      <c r="AH174" s="54">
        <f t="shared" si="29"/>
        <v>148.71848749616356</v>
      </c>
      <c r="AI174" s="66">
        <f t="shared" si="35"/>
        <v>0.13730579237665935</v>
      </c>
      <c r="AJ174" s="67">
        <f t="shared" si="36"/>
        <v>194.73908740944319</v>
      </c>
    </row>
    <row r="175" spans="1:36" x14ac:dyDescent="0.3">
      <c r="A175" s="76">
        <v>2008</v>
      </c>
      <c r="B175" s="30">
        <v>30.1</v>
      </c>
      <c r="C175" s="30" t="s">
        <v>23</v>
      </c>
      <c r="D175" s="64" t="s">
        <v>26</v>
      </c>
      <c r="E175" s="38">
        <v>0.18</v>
      </c>
      <c r="F175" s="126" t="s">
        <v>67</v>
      </c>
      <c r="G175" s="28" t="s">
        <v>699</v>
      </c>
      <c r="H175" s="28" t="s">
        <v>700</v>
      </c>
      <c r="I175" s="125" t="s">
        <v>2288</v>
      </c>
      <c r="J175" s="148" t="str">
        <f t="shared" si="30"/>
        <v>https://doi.org/10.1109/ISSCC.2008.4523296</v>
      </c>
      <c r="K175" s="28" t="s">
        <v>1050</v>
      </c>
      <c r="L175" s="60">
        <v>0.9</v>
      </c>
      <c r="M175" s="60"/>
      <c r="N175" s="60"/>
      <c r="O175" s="56" t="s">
        <v>1050</v>
      </c>
      <c r="P175" s="28">
        <v>2.2999999999999998</v>
      </c>
      <c r="Q175" s="68"/>
      <c r="R175" s="63">
        <v>10000000</v>
      </c>
      <c r="S175" s="60">
        <v>64.7</v>
      </c>
      <c r="T175" s="60">
        <v>66.400000000000006</v>
      </c>
      <c r="U175" s="60"/>
      <c r="V175" s="60">
        <v>70.3</v>
      </c>
      <c r="W175" s="60">
        <v>73.599999999999994</v>
      </c>
      <c r="X175" s="29">
        <f t="shared" si="31"/>
        <v>64.7</v>
      </c>
      <c r="Y175" s="63">
        <v>8.6999999999999994E-3</v>
      </c>
      <c r="Z175" s="63">
        <v>20000000</v>
      </c>
      <c r="AA175" s="64">
        <v>1</v>
      </c>
      <c r="AB175" s="63">
        <f t="shared" si="38"/>
        <v>20000000</v>
      </c>
      <c r="AC175" s="63" t="s">
        <v>2096</v>
      </c>
      <c r="AD175" s="65">
        <f t="shared" si="27"/>
        <v>434.99999999999994</v>
      </c>
      <c r="AE175" s="29" t="str">
        <f t="shared" si="33"/>
        <v/>
      </c>
      <c r="AF175" s="29">
        <f t="shared" si="28"/>
        <v>309.86722852737955</v>
      </c>
      <c r="AG175" s="54" t="str">
        <f t="shared" si="34"/>
        <v/>
      </c>
      <c r="AH175" s="54">
        <f t="shared" si="29"/>
        <v>155.30480747381381</v>
      </c>
      <c r="AI175" s="66">
        <f t="shared" si="35"/>
        <v>1.5493361426368979E-5</v>
      </c>
      <c r="AJ175" s="67">
        <f t="shared" si="36"/>
        <v>228.31510743045362</v>
      </c>
    </row>
    <row r="176" spans="1:36" x14ac:dyDescent="0.3">
      <c r="A176" s="76">
        <v>2008</v>
      </c>
      <c r="B176" s="30">
        <v>30.2</v>
      </c>
      <c r="C176" s="30" t="s">
        <v>23</v>
      </c>
      <c r="D176" s="64" t="s">
        <v>592</v>
      </c>
      <c r="E176" s="38">
        <v>0.13</v>
      </c>
      <c r="F176" s="126" t="s">
        <v>68</v>
      </c>
      <c r="G176" s="28" t="s">
        <v>701</v>
      </c>
      <c r="H176" s="28" t="s">
        <v>69</v>
      </c>
      <c r="I176" s="125" t="s">
        <v>2289</v>
      </c>
      <c r="J176" s="148" t="str">
        <f t="shared" si="30"/>
        <v>https://doi.org/10.1109/ISSCC.2008.4523297</v>
      </c>
      <c r="K176" s="28" t="s">
        <v>813</v>
      </c>
      <c r="L176" s="60"/>
      <c r="M176" s="60"/>
      <c r="N176" s="60"/>
      <c r="O176" s="56" t="s">
        <v>1050</v>
      </c>
      <c r="P176" s="28">
        <v>0.09</v>
      </c>
      <c r="Q176" s="68"/>
      <c r="R176" s="63">
        <v>450000000</v>
      </c>
      <c r="S176" s="60">
        <v>32</v>
      </c>
      <c r="T176" s="60"/>
      <c r="U176" s="60"/>
      <c r="V176" s="60"/>
      <c r="W176" s="60">
        <v>48</v>
      </c>
      <c r="X176" s="29">
        <f t="shared" si="31"/>
        <v>32</v>
      </c>
      <c r="Y176" s="63">
        <v>3.2000000000000001E-2</v>
      </c>
      <c r="Z176" s="63">
        <v>1250000000</v>
      </c>
      <c r="AA176" s="64">
        <v>1</v>
      </c>
      <c r="AB176" s="63">
        <f t="shared" si="38"/>
        <v>1250000000</v>
      </c>
      <c r="AC176" s="63" t="s">
        <v>2096</v>
      </c>
      <c r="AD176" s="65">
        <f t="shared" si="27"/>
        <v>25.6</v>
      </c>
      <c r="AE176" s="29" t="str">
        <f t="shared" si="33"/>
        <v/>
      </c>
      <c r="AF176" s="29">
        <f t="shared" si="28"/>
        <v>787.20762017727714</v>
      </c>
      <c r="AG176" s="54" t="str">
        <f t="shared" si="34"/>
        <v/>
      </c>
      <c r="AH176" s="54">
        <f t="shared" si="29"/>
        <v>134.90730039024169</v>
      </c>
      <c r="AI176" s="66">
        <f t="shared" si="35"/>
        <v>6.2976609614182172E-7</v>
      </c>
      <c r="AJ176" s="67">
        <f t="shared" si="36"/>
        <v>225.87640052032225</v>
      </c>
    </row>
    <row r="177" spans="1:36" x14ac:dyDescent="0.3">
      <c r="A177" s="76">
        <v>2008</v>
      </c>
      <c r="B177" s="30">
        <v>30.3</v>
      </c>
      <c r="C177" s="30" t="s">
        <v>23</v>
      </c>
      <c r="D177" s="64" t="s">
        <v>592</v>
      </c>
      <c r="E177" s="38">
        <v>0.09</v>
      </c>
      <c r="F177" s="126" t="s">
        <v>70</v>
      </c>
      <c r="G177" s="28" t="s">
        <v>497</v>
      </c>
      <c r="H177" s="28" t="s">
        <v>71</v>
      </c>
      <c r="I177" s="125" t="s">
        <v>2290</v>
      </c>
      <c r="J177" s="148" t="str">
        <f t="shared" si="30"/>
        <v>https://doi.org/10.1109/ISSCC.2008.4523298</v>
      </c>
      <c r="K177" s="28" t="s">
        <v>812</v>
      </c>
      <c r="L177" s="60">
        <v>2.5</v>
      </c>
      <c r="M177" s="60">
        <v>1</v>
      </c>
      <c r="N177" s="60"/>
      <c r="O177" s="56" t="s">
        <v>1050</v>
      </c>
      <c r="P177" s="28">
        <v>16</v>
      </c>
      <c r="Q177" s="68">
        <f>5.5*6.02+1.76</f>
        <v>34.869999999999997</v>
      </c>
      <c r="R177" s="63">
        <v>12000000000</v>
      </c>
      <c r="S177" s="60">
        <f>3.5*6.02+1.76</f>
        <v>22.830000000000002</v>
      </c>
      <c r="T177" s="60"/>
      <c r="U177" s="60"/>
      <c r="V177" s="60"/>
      <c r="W177" s="60"/>
      <c r="X177" s="29">
        <f t="shared" si="31"/>
        <v>22.830000000000002</v>
      </c>
      <c r="Y177" s="63">
        <v>1.2</v>
      </c>
      <c r="Z177" s="63">
        <v>24000000000</v>
      </c>
      <c r="AA177" s="64">
        <v>1</v>
      </c>
      <c r="AB177" s="63">
        <f t="shared" si="38"/>
        <v>24000000000</v>
      </c>
      <c r="AC177" s="63" t="s">
        <v>2096</v>
      </c>
      <c r="AD177" s="65">
        <f t="shared" si="27"/>
        <v>49.999999999999993</v>
      </c>
      <c r="AE177" s="29">
        <f t="shared" si="33"/>
        <v>1104.8543456039802</v>
      </c>
      <c r="AF177" s="29">
        <f t="shared" si="28"/>
        <v>4419.4173824159197</v>
      </c>
      <c r="AG177" s="54">
        <f t="shared" si="34"/>
        <v>134.87</v>
      </c>
      <c r="AH177" s="54">
        <f t="shared" si="29"/>
        <v>122.83</v>
      </c>
      <c r="AI177" s="66">
        <f t="shared" si="35"/>
        <v>1.8414239093399665E-7</v>
      </c>
      <c r="AJ177" s="67">
        <f t="shared" si="36"/>
        <v>226.63211241711605</v>
      </c>
    </row>
    <row r="178" spans="1:36" x14ac:dyDescent="0.3">
      <c r="A178" s="76">
        <v>2008</v>
      </c>
      <c r="B178" s="30">
        <v>30.4</v>
      </c>
      <c r="C178" s="30" t="s">
        <v>23</v>
      </c>
      <c r="D178" s="64" t="s">
        <v>26</v>
      </c>
      <c r="E178" s="39">
        <v>6.5000000000000002E-2</v>
      </c>
      <c r="F178" s="126" t="s">
        <v>72</v>
      </c>
      <c r="G178" s="28" t="s">
        <v>498</v>
      </c>
      <c r="H178" s="28" t="s">
        <v>73</v>
      </c>
      <c r="I178" s="125" t="s">
        <v>2291</v>
      </c>
      <c r="J178" s="148" t="str">
        <f t="shared" si="30"/>
        <v>https://doi.org/10.1109/ISSCC.2008.4523299</v>
      </c>
      <c r="K178" s="28" t="s">
        <v>811</v>
      </c>
      <c r="L178" s="60"/>
      <c r="M178" s="60"/>
      <c r="N178" s="60"/>
      <c r="O178" s="56" t="s">
        <v>1050</v>
      </c>
      <c r="P178" s="28">
        <v>1.1000000000000001</v>
      </c>
      <c r="Q178" s="68"/>
      <c r="R178" s="63">
        <v>60000000</v>
      </c>
      <c r="S178" s="60">
        <v>59.9</v>
      </c>
      <c r="T178" s="60"/>
      <c r="U178" s="60"/>
      <c r="V178" s="60"/>
      <c r="W178" s="60">
        <v>64.900000000000006</v>
      </c>
      <c r="X178" s="29">
        <f t="shared" si="31"/>
        <v>59.9</v>
      </c>
      <c r="Y178" s="63">
        <v>0.18</v>
      </c>
      <c r="Z178" s="63">
        <v>200000000</v>
      </c>
      <c r="AA178" s="64">
        <v>1</v>
      </c>
      <c r="AB178" s="63">
        <f t="shared" si="38"/>
        <v>200000000</v>
      </c>
      <c r="AC178" s="63" t="s">
        <v>2096</v>
      </c>
      <c r="AD178" s="65">
        <f t="shared" si="27"/>
        <v>900</v>
      </c>
      <c r="AE178" s="29" t="str">
        <f t="shared" si="33"/>
        <v/>
      </c>
      <c r="AF178" s="29">
        <f t="shared" si="28"/>
        <v>1114.173480256319</v>
      </c>
      <c r="AG178" s="54" t="str">
        <f t="shared" si="34"/>
        <v/>
      </c>
      <c r="AH178" s="54">
        <f t="shared" si="29"/>
        <v>147.34727494896694</v>
      </c>
      <c r="AI178" s="66">
        <f t="shared" si="35"/>
        <v>5.5708674012815945E-6</v>
      </c>
      <c r="AJ178" s="67">
        <f t="shared" si="36"/>
        <v>230.35757490560675</v>
      </c>
    </row>
    <row r="179" spans="1:36" x14ac:dyDescent="0.3">
      <c r="A179" s="76">
        <v>2008</v>
      </c>
      <c r="B179" s="30">
        <v>30.7</v>
      </c>
      <c r="C179" s="30" t="s">
        <v>23</v>
      </c>
      <c r="D179" s="64" t="s">
        <v>29</v>
      </c>
      <c r="E179" s="38">
        <v>0.09</v>
      </c>
      <c r="F179" s="126" t="s">
        <v>74</v>
      </c>
      <c r="G179" s="28" t="s">
        <v>2038</v>
      </c>
      <c r="H179" s="28" t="s">
        <v>75</v>
      </c>
      <c r="I179" s="125" t="s">
        <v>2292</v>
      </c>
      <c r="J179" s="148" t="str">
        <f t="shared" si="30"/>
        <v>https://doi.org/10.1109/ISSCC.2008.4523302</v>
      </c>
      <c r="K179" s="28" t="s">
        <v>1050</v>
      </c>
      <c r="L179" s="60">
        <v>2.5</v>
      </c>
      <c r="M179" s="60">
        <v>1.2</v>
      </c>
      <c r="N179" s="60"/>
      <c r="O179" s="56" t="s">
        <v>1050</v>
      </c>
      <c r="P179" s="28">
        <v>0.28999999999999998</v>
      </c>
      <c r="Q179" s="68"/>
      <c r="R179" s="63">
        <v>150000000</v>
      </c>
      <c r="S179" s="60">
        <v>38.4</v>
      </c>
      <c r="T179" s="60"/>
      <c r="U179" s="60"/>
      <c r="V179" s="60"/>
      <c r="W179" s="60"/>
      <c r="X179" s="29">
        <f t="shared" si="31"/>
        <v>38.4</v>
      </c>
      <c r="Y179" s="63">
        <v>3.4000000000000002E-2</v>
      </c>
      <c r="Z179" s="63">
        <v>300000000</v>
      </c>
      <c r="AA179" s="64">
        <v>1</v>
      </c>
      <c r="AB179" s="63">
        <f t="shared" si="38"/>
        <v>300000000</v>
      </c>
      <c r="AC179" s="63" t="s">
        <v>2096</v>
      </c>
      <c r="AD179" s="65">
        <f t="shared" si="27"/>
        <v>113.33333333333334</v>
      </c>
      <c r="AE179" s="29" t="str">
        <f t="shared" si="33"/>
        <v/>
      </c>
      <c r="AF179" s="29">
        <f t="shared" si="28"/>
        <v>1667.9195430559043</v>
      </c>
      <c r="AG179" s="54" t="str">
        <f t="shared" si="34"/>
        <v/>
      </c>
      <c r="AH179" s="54">
        <f t="shared" si="29"/>
        <v>134.84612342013426</v>
      </c>
      <c r="AI179" s="66">
        <f t="shared" si="35"/>
        <v>5.5597318101863475E-6</v>
      </c>
      <c r="AJ179" s="67">
        <f t="shared" si="36"/>
        <v>219.61733596733089</v>
      </c>
    </row>
    <row r="180" spans="1:36" x14ac:dyDescent="0.3">
      <c r="A180" s="76">
        <v>2008</v>
      </c>
      <c r="B180" s="30">
        <v>30.8</v>
      </c>
      <c r="C180" s="30" t="s">
        <v>23</v>
      </c>
      <c r="D180" s="64" t="s">
        <v>27</v>
      </c>
      <c r="E180" s="38">
        <v>0.18</v>
      </c>
      <c r="F180" s="126" t="s">
        <v>76</v>
      </c>
      <c r="G180" s="28" t="s">
        <v>499</v>
      </c>
      <c r="H180" s="28" t="s">
        <v>77</v>
      </c>
      <c r="I180" s="125" t="s">
        <v>2293</v>
      </c>
      <c r="J180" s="148" t="str">
        <f t="shared" si="30"/>
        <v>https://doi.org/10.1109/ISSCC.2008.4523303</v>
      </c>
      <c r="K180" s="28" t="s">
        <v>2715</v>
      </c>
      <c r="L180" s="60"/>
      <c r="M180" s="60"/>
      <c r="N180" s="60"/>
      <c r="O180" s="56" t="s">
        <v>1050</v>
      </c>
      <c r="P180" s="28">
        <v>2</v>
      </c>
      <c r="Q180" s="68"/>
      <c r="R180" s="63">
        <v>200000</v>
      </c>
      <c r="S180" s="60">
        <v>32</v>
      </c>
      <c r="T180" s="60"/>
      <c r="U180" s="29"/>
      <c r="V180" s="60"/>
      <c r="W180" s="60"/>
      <c r="X180" s="29">
        <f t="shared" si="31"/>
        <v>32</v>
      </c>
      <c r="Y180" s="63">
        <v>1.66E-6</v>
      </c>
      <c r="Z180" s="63">
        <v>400000</v>
      </c>
      <c r="AA180" s="64">
        <v>1</v>
      </c>
      <c r="AB180" s="63">
        <f t="shared" si="38"/>
        <v>400000</v>
      </c>
      <c r="AC180" s="63" t="s">
        <v>2096</v>
      </c>
      <c r="AD180" s="65">
        <f t="shared" si="27"/>
        <v>4.1499999999999995</v>
      </c>
      <c r="AE180" s="29" t="str">
        <f t="shared" si="33"/>
        <v/>
      </c>
      <c r="AF180" s="29">
        <f t="shared" si="28"/>
        <v>127.61373530217575</v>
      </c>
      <c r="AG180" s="54" t="str">
        <f t="shared" si="34"/>
        <v/>
      </c>
      <c r="AH180" s="54">
        <f t="shared" si="29"/>
        <v>142.80921907623926</v>
      </c>
      <c r="AI180" s="66">
        <f t="shared" si="35"/>
        <v>3.1903433825543939E-4</v>
      </c>
      <c r="AJ180" s="67">
        <f t="shared" si="36"/>
        <v>198.82981898951888</v>
      </c>
    </row>
    <row r="181" spans="1:36" x14ac:dyDescent="0.3">
      <c r="A181" s="59">
        <v>2009</v>
      </c>
      <c r="B181" s="30">
        <v>4.2</v>
      </c>
      <c r="C181" s="30" t="s">
        <v>23</v>
      </c>
      <c r="D181" s="64" t="s">
        <v>592</v>
      </c>
      <c r="E181" s="39">
        <v>4.4999999999999998E-2</v>
      </c>
      <c r="F181" s="28" t="s">
        <v>328</v>
      </c>
      <c r="G181" s="28" t="s">
        <v>500</v>
      </c>
      <c r="H181" s="28" t="s">
        <v>329</v>
      </c>
      <c r="I181" s="125" t="s">
        <v>2294</v>
      </c>
      <c r="J181" s="148" t="str">
        <f t="shared" si="30"/>
        <v>https://doi.org/10.1109/ISSCC.2009.4977315</v>
      </c>
      <c r="K181" s="28" t="s">
        <v>1050</v>
      </c>
      <c r="L181" s="60"/>
      <c r="M181" s="60"/>
      <c r="N181" s="60"/>
      <c r="O181" s="56" t="s">
        <v>1050</v>
      </c>
      <c r="P181" s="28">
        <v>1</v>
      </c>
      <c r="Q181" s="68"/>
      <c r="R181" s="63">
        <v>1100000000</v>
      </c>
      <c r="S181" s="60">
        <v>34</v>
      </c>
      <c r="T181" s="60"/>
      <c r="U181" s="29"/>
      <c r="V181" s="60"/>
      <c r="W181" s="60">
        <v>45</v>
      </c>
      <c r="X181" s="29">
        <f t="shared" si="31"/>
        <v>34</v>
      </c>
      <c r="Y181" s="63">
        <v>0.05</v>
      </c>
      <c r="Z181" s="63">
        <v>2500000000</v>
      </c>
      <c r="AA181" s="64">
        <v>1.1363636363636365</v>
      </c>
      <c r="AB181" s="63">
        <f t="shared" si="38"/>
        <v>2200000000</v>
      </c>
      <c r="AC181" s="63" t="s">
        <v>2096</v>
      </c>
      <c r="AD181" s="65">
        <f t="shared" si="27"/>
        <v>22.727272727272727</v>
      </c>
      <c r="AE181" s="29" t="str">
        <f t="shared" si="33"/>
        <v/>
      </c>
      <c r="AF181" s="29">
        <f t="shared" si="28"/>
        <v>555.11975432946429</v>
      </c>
      <c r="AG181" s="54" t="str">
        <f t="shared" si="34"/>
        <v/>
      </c>
      <c r="AH181" s="54">
        <f t="shared" si="29"/>
        <v>137.42422680822207</v>
      </c>
      <c r="AI181" s="66">
        <f t="shared" si="35"/>
        <v>2.5232716105884741E-7</v>
      </c>
      <c r="AJ181" s="67">
        <f t="shared" si="36"/>
        <v>230.84845361644415</v>
      </c>
    </row>
    <row r="182" spans="1:36" x14ac:dyDescent="0.3">
      <c r="A182" s="64">
        <v>2009</v>
      </c>
      <c r="B182" s="30">
        <v>4.3</v>
      </c>
      <c r="C182" s="30" t="s">
        <v>23</v>
      </c>
      <c r="D182" s="64" t="s">
        <v>762</v>
      </c>
      <c r="E182" s="39">
        <v>0.18</v>
      </c>
      <c r="F182" s="126" t="s">
        <v>326</v>
      </c>
      <c r="G182" s="28" t="s">
        <v>713</v>
      </c>
      <c r="H182" s="28" t="s">
        <v>327</v>
      </c>
      <c r="I182" s="125" t="s">
        <v>2295</v>
      </c>
      <c r="J182" s="148" t="str">
        <f t="shared" si="30"/>
        <v>https://doi.org/10.1109/ISSCC.2009.4977316</v>
      </c>
      <c r="K182" s="28" t="s">
        <v>1050</v>
      </c>
      <c r="L182" s="60"/>
      <c r="M182" s="60"/>
      <c r="N182" s="60"/>
      <c r="O182" s="56" t="s">
        <v>1050</v>
      </c>
      <c r="P182" s="28">
        <f>35/2</f>
        <v>17.5</v>
      </c>
      <c r="Q182" s="68"/>
      <c r="R182" s="63">
        <v>497770000</v>
      </c>
      <c r="S182" s="60"/>
      <c r="T182" s="60">
        <v>56.5</v>
      </c>
      <c r="U182" s="29"/>
      <c r="V182" s="60">
        <v>65.400000000000006</v>
      </c>
      <c r="W182" s="60">
        <v>66.3</v>
      </c>
      <c r="X182" s="29">
        <f t="shared" si="31"/>
        <v>56.5</v>
      </c>
      <c r="Y182" s="63">
        <v>1.2</v>
      </c>
      <c r="Z182" s="63">
        <v>1000000000</v>
      </c>
      <c r="AA182" s="64">
        <v>1.0044799807139844</v>
      </c>
      <c r="AB182" s="63">
        <f t="shared" si="38"/>
        <v>995540000</v>
      </c>
      <c r="AC182" s="63" t="s">
        <v>2096</v>
      </c>
      <c r="AD182" s="65">
        <f t="shared" si="27"/>
        <v>1205.3759768567811</v>
      </c>
      <c r="AE182" s="29" t="str">
        <f t="shared" si="33"/>
        <v/>
      </c>
      <c r="AF182" s="29">
        <f t="shared" si="28"/>
        <v>2207.2411310986704</v>
      </c>
      <c r="AG182" s="54" t="str">
        <f t="shared" si="34"/>
        <v/>
      </c>
      <c r="AH182" s="54">
        <f t="shared" si="29"/>
        <v>142.678474726069</v>
      </c>
      <c r="AI182" s="66">
        <f t="shared" si="35"/>
        <v>2.2171295287971053E-6</v>
      </c>
      <c r="AJ182" s="67">
        <f t="shared" si="36"/>
        <v>232.65906186925406</v>
      </c>
    </row>
    <row r="183" spans="1:36" x14ac:dyDescent="0.3">
      <c r="A183" s="64">
        <v>2009</v>
      </c>
      <c r="B183" s="30">
        <v>4.4000000000000004</v>
      </c>
      <c r="C183" s="30" t="s">
        <v>23</v>
      </c>
      <c r="D183" s="64" t="s">
        <v>352</v>
      </c>
      <c r="E183" s="39">
        <v>6.5000000000000002E-2</v>
      </c>
      <c r="F183" s="28" t="s">
        <v>330</v>
      </c>
      <c r="G183" s="28" t="s">
        <v>714</v>
      </c>
      <c r="H183" s="28" t="s">
        <v>331</v>
      </c>
      <c r="I183" s="125" t="s">
        <v>2296</v>
      </c>
      <c r="J183" s="148" t="str">
        <f t="shared" si="30"/>
        <v>https://doi.org/10.1109/ISSCC.2009.4977317</v>
      </c>
      <c r="K183" s="28" t="s">
        <v>1050</v>
      </c>
      <c r="L183" s="60"/>
      <c r="M183" s="60"/>
      <c r="N183" s="60"/>
      <c r="O183" s="56" t="s">
        <v>1050</v>
      </c>
      <c r="P183" s="28">
        <v>0.18</v>
      </c>
      <c r="Q183" s="68"/>
      <c r="R183" s="63">
        <v>400000000</v>
      </c>
      <c r="S183" s="60">
        <v>27</v>
      </c>
      <c r="T183" s="60"/>
      <c r="U183" s="29"/>
      <c r="V183" s="60"/>
      <c r="W183" s="60">
        <v>36</v>
      </c>
      <c r="X183" s="29">
        <f t="shared" si="31"/>
        <v>27</v>
      </c>
      <c r="Y183" s="63">
        <v>1.97E-3</v>
      </c>
      <c r="Z183" s="63">
        <v>800000000</v>
      </c>
      <c r="AA183" s="64">
        <v>1</v>
      </c>
      <c r="AB183" s="63">
        <f t="shared" si="38"/>
        <v>800000000</v>
      </c>
      <c r="AC183" s="63" t="s">
        <v>2096</v>
      </c>
      <c r="AD183" s="65">
        <f t="shared" si="27"/>
        <v>2.4624999999999999</v>
      </c>
      <c r="AE183" s="29" t="str">
        <f t="shared" si="33"/>
        <v/>
      </c>
      <c r="AF183" s="29">
        <f t="shared" si="28"/>
        <v>134.66367944553269</v>
      </c>
      <c r="AG183" s="54" t="str">
        <f t="shared" si="34"/>
        <v/>
      </c>
      <c r="AH183" s="54">
        <f t="shared" si="29"/>
        <v>140.07593765166371</v>
      </c>
      <c r="AI183" s="66">
        <f t="shared" si="35"/>
        <v>1.6832959930691588E-7</v>
      </c>
      <c r="AJ183" s="67">
        <f t="shared" si="36"/>
        <v>229.10683752158315</v>
      </c>
    </row>
    <row r="184" spans="1:36" x14ac:dyDescent="0.3">
      <c r="A184" s="64">
        <v>2009</v>
      </c>
      <c r="B184" s="30">
        <v>4.5</v>
      </c>
      <c r="C184" s="30" t="s">
        <v>23</v>
      </c>
      <c r="D184" s="64" t="s">
        <v>592</v>
      </c>
      <c r="E184" s="39">
        <v>0.13</v>
      </c>
      <c r="F184" s="28" t="s">
        <v>332</v>
      </c>
      <c r="G184" s="28" t="s">
        <v>715</v>
      </c>
      <c r="H184" s="28" t="s">
        <v>333</v>
      </c>
      <c r="I184" s="125" t="s">
        <v>2297</v>
      </c>
      <c r="J184" s="148" t="str">
        <f t="shared" si="30"/>
        <v>https://doi.org/10.1109/ISSCC.2009.4977318</v>
      </c>
      <c r="K184" s="28" t="s">
        <v>1050</v>
      </c>
      <c r="L184" s="60"/>
      <c r="M184" s="60"/>
      <c r="N184" s="60"/>
      <c r="O184" s="56" t="s">
        <v>1050</v>
      </c>
      <c r="P184" s="28">
        <v>1.1000000000000001</v>
      </c>
      <c r="Q184" s="68"/>
      <c r="R184" s="63">
        <v>300000000</v>
      </c>
      <c r="S184" s="60">
        <v>43</v>
      </c>
      <c r="T184" s="60"/>
      <c r="U184" s="29"/>
      <c r="V184" s="60"/>
      <c r="W184" s="60">
        <v>56.5</v>
      </c>
      <c r="X184" s="29">
        <f t="shared" si="31"/>
        <v>43</v>
      </c>
      <c r="Y184" s="63">
        <v>0.03</v>
      </c>
      <c r="Z184" s="63">
        <v>600000000</v>
      </c>
      <c r="AA184" s="64">
        <v>1</v>
      </c>
      <c r="AB184" s="63">
        <f t="shared" si="38"/>
        <v>600000000</v>
      </c>
      <c r="AC184" s="63" t="s">
        <v>2096</v>
      </c>
      <c r="AD184" s="65">
        <f t="shared" si="27"/>
        <v>49.999999999999993</v>
      </c>
      <c r="AE184" s="29" t="str">
        <f t="shared" si="33"/>
        <v/>
      </c>
      <c r="AF184" s="29">
        <f t="shared" si="28"/>
        <v>433.2758860726376</v>
      </c>
      <c r="AG184" s="54" t="str">
        <f t="shared" si="34"/>
        <v/>
      </c>
      <c r="AH184" s="54">
        <f t="shared" si="29"/>
        <v>143</v>
      </c>
      <c r="AI184" s="66">
        <f t="shared" si="35"/>
        <v>7.2212647678772936E-7</v>
      </c>
      <c r="AJ184" s="67">
        <f t="shared" si="36"/>
        <v>230.78151250383644</v>
      </c>
    </row>
    <row r="185" spans="1:36" x14ac:dyDescent="0.3">
      <c r="A185" s="64">
        <v>2009</v>
      </c>
      <c r="B185" s="30">
        <v>4.5999999999999996</v>
      </c>
      <c r="C185" s="30" t="s">
        <v>23</v>
      </c>
      <c r="D185" s="64" t="s">
        <v>26</v>
      </c>
      <c r="E185" s="39">
        <v>0.09</v>
      </c>
      <c r="F185" s="28" t="s">
        <v>334</v>
      </c>
      <c r="G185" s="28" t="s">
        <v>716</v>
      </c>
      <c r="H185" s="28" t="s">
        <v>335</v>
      </c>
      <c r="I185" s="125" t="s">
        <v>2298</v>
      </c>
      <c r="J185" s="148" t="str">
        <f t="shared" si="30"/>
        <v>https://doi.org/10.1109/ISSCC.2009.4977319</v>
      </c>
      <c r="K185" s="28" t="s">
        <v>1050</v>
      </c>
      <c r="L185" s="60"/>
      <c r="M185" s="60"/>
      <c r="N185" s="60"/>
      <c r="O185" s="56" t="s">
        <v>1050</v>
      </c>
      <c r="P185" s="28">
        <v>0.49</v>
      </c>
      <c r="Q185" s="68"/>
      <c r="R185" s="63">
        <v>233000000</v>
      </c>
      <c r="S185" s="60">
        <v>53</v>
      </c>
      <c r="T185" s="60"/>
      <c r="U185" s="29"/>
      <c r="V185" s="60"/>
      <c r="W185" s="60"/>
      <c r="X185" s="29">
        <f t="shared" si="31"/>
        <v>53</v>
      </c>
      <c r="Y185" s="63">
        <v>5.5E-2</v>
      </c>
      <c r="Z185" s="63">
        <v>500000000</v>
      </c>
      <c r="AA185" s="64">
        <v>1</v>
      </c>
      <c r="AB185" s="63">
        <f t="shared" si="38"/>
        <v>500000000</v>
      </c>
      <c r="AC185" s="63" t="s">
        <v>2096</v>
      </c>
      <c r="AD185" s="65">
        <f t="shared" si="27"/>
        <v>110</v>
      </c>
      <c r="AE185" s="29" t="str">
        <f t="shared" si="33"/>
        <v/>
      </c>
      <c r="AF185" s="29">
        <f t="shared" si="28"/>
        <v>301.39592295537926</v>
      </c>
      <c r="AG185" s="54" t="str">
        <f t="shared" si="34"/>
        <v/>
      </c>
      <c r="AH185" s="54">
        <f t="shared" si="29"/>
        <v>149.57577319177793</v>
      </c>
      <c r="AI185" s="66">
        <f t="shared" si="35"/>
        <v>6.0279184591075855E-7</v>
      </c>
      <c r="AJ185" s="67">
        <f t="shared" si="36"/>
        <v>236.56547323513811</v>
      </c>
    </row>
    <row r="186" spans="1:36" x14ac:dyDescent="0.3">
      <c r="A186" s="64">
        <v>2009</v>
      </c>
      <c r="B186" s="30">
        <v>4.7</v>
      </c>
      <c r="C186" s="30" t="s">
        <v>23</v>
      </c>
      <c r="D186" s="64" t="s">
        <v>26</v>
      </c>
      <c r="E186" s="39">
        <v>0.18</v>
      </c>
      <c r="F186" s="28" t="s">
        <v>336</v>
      </c>
      <c r="G186" s="28" t="s">
        <v>717</v>
      </c>
      <c r="H186" s="28" t="s">
        <v>351</v>
      </c>
      <c r="I186" s="125" t="s">
        <v>2299</v>
      </c>
      <c r="J186" s="148" t="str">
        <f t="shared" si="30"/>
        <v>https://doi.org/10.1109/ISSCC.2009.4977320</v>
      </c>
      <c r="K186" s="28" t="s">
        <v>1050</v>
      </c>
      <c r="L186" s="60">
        <v>1.8</v>
      </c>
      <c r="M186" s="60"/>
      <c r="N186" s="60"/>
      <c r="O186" s="56" t="s">
        <v>1050</v>
      </c>
      <c r="P186" s="28">
        <v>10</v>
      </c>
      <c r="Q186" s="68">
        <v>78.599999999999994</v>
      </c>
      <c r="R186" s="63">
        <f>+Z186/2</f>
        <v>62500000</v>
      </c>
      <c r="S186" s="60">
        <v>77</v>
      </c>
      <c r="T186" s="60">
        <v>76.5</v>
      </c>
      <c r="U186" s="29"/>
      <c r="V186" s="60"/>
      <c r="W186" s="60">
        <v>92</v>
      </c>
      <c r="X186" s="29">
        <f t="shared" si="31"/>
        <v>77</v>
      </c>
      <c r="Y186" s="63">
        <v>0.38500000000000001</v>
      </c>
      <c r="Z186" s="63">
        <v>125000000</v>
      </c>
      <c r="AA186" s="64">
        <v>1</v>
      </c>
      <c r="AB186" s="63">
        <f t="shared" si="38"/>
        <v>125000000</v>
      </c>
      <c r="AC186" s="63" t="s">
        <v>2096</v>
      </c>
      <c r="AD186" s="65">
        <f t="shared" si="27"/>
        <v>3080</v>
      </c>
      <c r="AE186" s="29">
        <f t="shared" si="33"/>
        <v>442.75945914298842</v>
      </c>
      <c r="AF186" s="29">
        <f t="shared" si="28"/>
        <v>532.32372250386049</v>
      </c>
      <c r="AG186" s="54">
        <f t="shared" si="34"/>
        <v>160.70419287835574</v>
      </c>
      <c r="AH186" s="54">
        <f t="shared" si="29"/>
        <v>159.10419287835575</v>
      </c>
      <c r="AI186" s="66">
        <f t="shared" si="35"/>
        <v>4.2585897800308836E-6</v>
      </c>
      <c r="AJ186" s="67">
        <f t="shared" si="36"/>
        <v>240.07329300843631</v>
      </c>
    </row>
    <row r="187" spans="1:36" x14ac:dyDescent="0.3">
      <c r="A187" s="64">
        <v>2009</v>
      </c>
      <c r="B187" s="30">
        <v>9.1</v>
      </c>
      <c r="C187" s="30" t="s">
        <v>23</v>
      </c>
      <c r="D187" s="64" t="s">
        <v>26</v>
      </c>
      <c r="E187" s="38">
        <v>0.09</v>
      </c>
      <c r="F187" s="28" t="s">
        <v>337</v>
      </c>
      <c r="G187" s="28" t="s">
        <v>718</v>
      </c>
      <c r="H187" s="28" t="s">
        <v>343</v>
      </c>
      <c r="I187" s="125" t="s">
        <v>2300</v>
      </c>
      <c r="J187" s="148" t="str">
        <f t="shared" si="30"/>
        <v>https://doi.org/10.1109/ISSCC.2009.4977358</v>
      </c>
      <c r="K187" s="28" t="s">
        <v>1050</v>
      </c>
      <c r="L187" s="60"/>
      <c r="M187" s="60"/>
      <c r="N187" s="60"/>
      <c r="O187" s="56" t="s">
        <v>1050</v>
      </c>
      <c r="P187" s="28">
        <v>4</v>
      </c>
      <c r="Q187" s="68"/>
      <c r="R187" s="63">
        <v>50000000</v>
      </c>
      <c r="S187" s="60">
        <v>68.8</v>
      </c>
      <c r="T187" s="60">
        <v>69.150000000000006</v>
      </c>
      <c r="U187" s="29"/>
      <c r="V187" s="60"/>
      <c r="W187" s="60">
        <v>85</v>
      </c>
      <c r="X187" s="29">
        <f t="shared" si="31"/>
        <v>68.8</v>
      </c>
      <c r="Y187" s="63">
        <v>0.13</v>
      </c>
      <c r="Z187" s="63">
        <v>100000000</v>
      </c>
      <c r="AA187" s="64">
        <v>1</v>
      </c>
      <c r="AB187" s="63">
        <f t="shared" si="38"/>
        <v>100000000</v>
      </c>
      <c r="AC187" s="63" t="s">
        <v>2096</v>
      </c>
      <c r="AD187" s="65">
        <f t="shared" si="27"/>
        <v>1300</v>
      </c>
      <c r="AE187" s="29" t="str">
        <f t="shared" si="33"/>
        <v/>
      </c>
      <c r="AF187" s="29">
        <f t="shared" si="28"/>
        <v>577.5762334077491</v>
      </c>
      <c r="AG187" s="54" t="str">
        <f t="shared" si="34"/>
        <v/>
      </c>
      <c r="AH187" s="54">
        <f t="shared" si="29"/>
        <v>154.65026652029184</v>
      </c>
      <c r="AI187" s="66">
        <f t="shared" si="35"/>
        <v>5.7757623340774906E-6</v>
      </c>
      <c r="AJ187" s="67">
        <f t="shared" si="36"/>
        <v>234.65026652029184</v>
      </c>
    </row>
    <row r="188" spans="1:36" x14ac:dyDescent="0.3">
      <c r="A188" s="64">
        <v>2009</v>
      </c>
      <c r="B188" s="30">
        <v>9.1999999999999993</v>
      </c>
      <c r="C188" s="30" t="s">
        <v>23</v>
      </c>
      <c r="D188" s="64" t="s">
        <v>26</v>
      </c>
      <c r="E188" s="39">
        <v>0.18</v>
      </c>
      <c r="F188" s="28" t="s">
        <v>338</v>
      </c>
      <c r="G188" s="28" t="s">
        <v>719</v>
      </c>
      <c r="H188" s="28" t="s">
        <v>344</v>
      </c>
      <c r="I188" s="125" t="s">
        <v>2301</v>
      </c>
      <c r="J188" s="148" t="str">
        <f t="shared" si="30"/>
        <v>https://doi.org/10.1109/ISSCC.2009.4977359</v>
      </c>
      <c r="K188" s="28" t="s">
        <v>1055</v>
      </c>
      <c r="L188" s="60"/>
      <c r="M188" s="60"/>
      <c r="N188" s="60"/>
      <c r="O188" s="56" t="s">
        <v>1050</v>
      </c>
      <c r="P188" s="28">
        <v>1.4</v>
      </c>
      <c r="Q188" s="68"/>
      <c r="R188" s="63">
        <v>25000000</v>
      </c>
      <c r="S188" s="60">
        <v>58.2</v>
      </c>
      <c r="T188" s="60"/>
      <c r="U188" s="29"/>
      <c r="V188" s="60"/>
      <c r="W188" s="60">
        <v>64.5</v>
      </c>
      <c r="X188" s="29">
        <f t="shared" si="31"/>
        <v>58.2</v>
      </c>
      <c r="Y188" s="63">
        <v>9.9000000000000008E-3</v>
      </c>
      <c r="Z188" s="63">
        <v>50000000</v>
      </c>
      <c r="AA188" s="64">
        <v>1</v>
      </c>
      <c r="AB188" s="63">
        <f t="shared" si="38"/>
        <v>50000000</v>
      </c>
      <c r="AC188" s="63" t="s">
        <v>2096</v>
      </c>
      <c r="AD188" s="65">
        <f t="shared" si="27"/>
        <v>198</v>
      </c>
      <c r="AE188" s="29" t="str">
        <f t="shared" si="33"/>
        <v/>
      </c>
      <c r="AF188" s="29">
        <f t="shared" si="28"/>
        <v>298.11509599451404</v>
      </c>
      <c r="AG188" s="54" t="str">
        <f t="shared" si="34"/>
        <v/>
      </c>
      <c r="AH188" s="54">
        <f t="shared" si="29"/>
        <v>152.22304814074488</v>
      </c>
      <c r="AI188" s="66">
        <f t="shared" si="35"/>
        <v>5.9623019198902811E-6</v>
      </c>
      <c r="AJ188" s="67">
        <f t="shared" si="36"/>
        <v>229.21274818410507</v>
      </c>
    </row>
    <row r="189" spans="1:36" x14ac:dyDescent="0.3">
      <c r="A189" s="64">
        <v>2009</v>
      </c>
      <c r="B189" s="30">
        <v>9.3000000000000007</v>
      </c>
      <c r="C189" s="30" t="s">
        <v>23</v>
      </c>
      <c r="D189" s="64" t="s">
        <v>678</v>
      </c>
      <c r="E189" s="39">
        <v>0.09</v>
      </c>
      <c r="F189" s="28" t="s">
        <v>339</v>
      </c>
      <c r="G189" s="28" t="s">
        <v>720</v>
      </c>
      <c r="H189" s="28" t="s">
        <v>345</v>
      </c>
      <c r="I189" s="125" t="s">
        <v>2302</v>
      </c>
      <c r="J189" s="148" t="str">
        <f t="shared" si="30"/>
        <v>https://doi.org/10.1109/ISSCC.2009.4977360</v>
      </c>
      <c r="K189" s="28" t="s">
        <v>1050</v>
      </c>
      <c r="L189" s="60"/>
      <c r="M189" s="60"/>
      <c r="N189" s="60"/>
      <c r="O189" s="56" t="s">
        <v>1050</v>
      </c>
      <c r="P189" s="28">
        <v>0.3</v>
      </c>
      <c r="Q189" s="68"/>
      <c r="R189" s="63">
        <v>25000000</v>
      </c>
      <c r="S189" s="60">
        <v>62</v>
      </c>
      <c r="T189" s="60"/>
      <c r="U189" s="60">
        <v>72</v>
      </c>
      <c r="V189" s="60"/>
      <c r="W189" s="60">
        <v>68</v>
      </c>
      <c r="X189" s="29">
        <f t="shared" si="31"/>
        <v>62</v>
      </c>
      <c r="Y189" s="63">
        <v>4.4999999999999997E-3</v>
      </c>
      <c r="Z189" s="63">
        <v>50000000</v>
      </c>
      <c r="AA189" s="64">
        <v>1</v>
      </c>
      <c r="AB189" s="63">
        <f t="shared" si="38"/>
        <v>50000000</v>
      </c>
      <c r="AC189" s="63" t="s">
        <v>2096</v>
      </c>
      <c r="AD189" s="65">
        <f t="shared" si="27"/>
        <v>90</v>
      </c>
      <c r="AE189" s="29" t="str">
        <f t="shared" si="33"/>
        <v/>
      </c>
      <c r="AF189" s="29">
        <f t="shared" si="28"/>
        <v>87.486764109913352</v>
      </c>
      <c r="AG189" s="54" t="str">
        <f t="shared" si="34"/>
        <v/>
      </c>
      <c r="AH189" s="54">
        <f t="shared" si="29"/>
        <v>159.44727494896694</v>
      </c>
      <c r="AI189" s="66">
        <f t="shared" si="35"/>
        <v>1.7497352821982669E-6</v>
      </c>
      <c r="AJ189" s="67">
        <f t="shared" si="36"/>
        <v>236.43697499232712</v>
      </c>
    </row>
    <row r="190" spans="1:36" x14ac:dyDescent="0.3">
      <c r="A190" s="64">
        <v>2009</v>
      </c>
      <c r="B190" s="30">
        <v>9.4</v>
      </c>
      <c r="C190" s="30" t="s">
        <v>23</v>
      </c>
      <c r="D190" s="64" t="s">
        <v>721</v>
      </c>
      <c r="E190" s="39">
        <v>0.09</v>
      </c>
      <c r="F190" s="28" t="s">
        <v>2039</v>
      </c>
      <c r="G190" s="28" t="s">
        <v>722</v>
      </c>
      <c r="H190" s="28" t="s">
        <v>346</v>
      </c>
      <c r="I190" s="125" t="s">
        <v>2806</v>
      </c>
      <c r="J190" s="148" t="str">
        <f t="shared" si="30"/>
        <v>https://doi.org/10.1109/ISSCC.2009.4977361</v>
      </c>
      <c r="K190" s="28" t="s">
        <v>1050</v>
      </c>
      <c r="L190" s="60"/>
      <c r="M190" s="60"/>
      <c r="N190" s="60"/>
      <c r="O190" s="56" t="s">
        <v>1050</v>
      </c>
      <c r="P190" s="28">
        <v>0.06</v>
      </c>
      <c r="Q190" s="68"/>
      <c r="R190" s="63">
        <f>AB190/2</f>
        <v>300000</v>
      </c>
      <c r="S190" s="60">
        <v>49.4</v>
      </c>
      <c r="T190" s="60"/>
      <c r="U190" s="29"/>
      <c r="V190" s="60"/>
      <c r="W190" s="60">
        <v>58</v>
      </c>
      <c r="X190" s="29">
        <f t="shared" si="31"/>
        <v>49.4</v>
      </c>
      <c r="Y190" s="63">
        <v>1.4E-5</v>
      </c>
      <c r="Z190" s="63">
        <v>1000000</v>
      </c>
      <c r="AA190" s="38">
        <f>5/3</f>
        <v>1.6666666666666667</v>
      </c>
      <c r="AB190" s="63">
        <f t="shared" si="38"/>
        <v>600000</v>
      </c>
      <c r="AC190" s="63" t="s">
        <v>2096</v>
      </c>
      <c r="AD190" s="65">
        <f t="shared" si="27"/>
        <v>23.333333333333332</v>
      </c>
      <c r="AE190" s="29" t="str">
        <f t="shared" si="33"/>
        <v/>
      </c>
      <c r="AF190" s="29">
        <f t="shared" si="28"/>
        <v>96.769703630543205</v>
      </c>
      <c r="AG190" s="54" t="str">
        <f t="shared" si="34"/>
        <v/>
      </c>
      <c r="AH190" s="54">
        <f t="shared" si="29"/>
        <v>152.70993219041424</v>
      </c>
      <c r="AI190" s="66">
        <f t="shared" si="35"/>
        <v>1.6128283938423866E-4</v>
      </c>
      <c r="AJ190" s="67">
        <f t="shared" si="36"/>
        <v>210.49144469425067</v>
      </c>
    </row>
    <row r="191" spans="1:36" x14ac:dyDescent="0.3">
      <c r="A191" s="64">
        <v>2009</v>
      </c>
      <c r="B191" s="30">
        <v>9.5</v>
      </c>
      <c r="C191" s="30" t="s">
        <v>22</v>
      </c>
      <c r="D191" s="64" t="s">
        <v>30</v>
      </c>
      <c r="E191" s="39">
        <v>0.13</v>
      </c>
      <c r="F191" s="28" t="s">
        <v>340</v>
      </c>
      <c r="G191" s="28" t="s">
        <v>723</v>
      </c>
      <c r="H191" s="28" t="s">
        <v>347</v>
      </c>
      <c r="I191" s="125" t="s">
        <v>2303</v>
      </c>
      <c r="J191" s="148" t="str">
        <f t="shared" si="30"/>
        <v>https://doi.org/10.1109/ISSCC.2009.4977362</v>
      </c>
      <c r="K191" s="28" t="s">
        <v>1050</v>
      </c>
      <c r="L191" s="60"/>
      <c r="M191" s="60"/>
      <c r="N191" s="60"/>
      <c r="O191" s="56" t="s">
        <v>1050</v>
      </c>
      <c r="P191" s="28">
        <v>0.45</v>
      </c>
      <c r="Q191" s="68"/>
      <c r="R191" s="63">
        <v>20000000</v>
      </c>
      <c r="S191" s="60">
        <v>78.099999999999994</v>
      </c>
      <c r="T191" s="60">
        <v>81.2</v>
      </c>
      <c r="U191" s="29"/>
      <c r="V191" s="60"/>
      <c r="W191" s="60"/>
      <c r="X191" s="29">
        <f t="shared" si="31"/>
        <v>78.099999999999994</v>
      </c>
      <c r="Y191" s="63">
        <v>8.6999999999999994E-2</v>
      </c>
      <c r="Z191" s="63">
        <v>900000000</v>
      </c>
      <c r="AA191" s="64">
        <v>22.5</v>
      </c>
      <c r="AB191" s="63">
        <f t="shared" si="38"/>
        <v>40000000</v>
      </c>
      <c r="AC191" s="63" t="s">
        <v>2096</v>
      </c>
      <c r="AD191" s="65">
        <f t="shared" si="27"/>
        <v>2175</v>
      </c>
      <c r="AE191" s="29" t="str">
        <f t="shared" si="33"/>
        <v/>
      </c>
      <c r="AF191" s="29">
        <f t="shared" si="28"/>
        <v>331.19127294087428</v>
      </c>
      <c r="AG191" s="54" t="str">
        <f t="shared" si="34"/>
        <v/>
      </c>
      <c r="AH191" s="54">
        <f t="shared" si="29"/>
        <v>161.71510743045363</v>
      </c>
      <c r="AI191" s="66">
        <f t="shared" si="35"/>
        <v>8.2797818235218567E-6</v>
      </c>
      <c r="AJ191" s="67">
        <f t="shared" si="36"/>
        <v>237.73570734373325</v>
      </c>
    </row>
    <row r="192" spans="1:36" x14ac:dyDescent="0.3">
      <c r="A192" s="64">
        <v>2009</v>
      </c>
      <c r="B192" s="30">
        <v>9.6</v>
      </c>
      <c r="C192" s="30" t="s">
        <v>22</v>
      </c>
      <c r="D192" s="64" t="s">
        <v>30</v>
      </c>
      <c r="E192" s="39">
        <v>6.5000000000000002E-2</v>
      </c>
      <c r="F192" s="28" t="s">
        <v>2040</v>
      </c>
      <c r="G192" s="28" t="s">
        <v>724</v>
      </c>
      <c r="H192" s="28" t="s">
        <v>348</v>
      </c>
      <c r="I192" s="125" t="s">
        <v>2805</v>
      </c>
      <c r="J192" s="148" t="str">
        <f t="shared" si="30"/>
        <v>https://doi.org/10.1109/ISSCC.2009.4977363</v>
      </c>
      <c r="K192" s="28" t="s">
        <v>1050</v>
      </c>
      <c r="L192" s="60">
        <v>1.2</v>
      </c>
      <c r="M192" s="60"/>
      <c r="N192" s="60"/>
      <c r="O192" s="56" t="s">
        <v>1050</v>
      </c>
      <c r="P192" s="28">
        <v>8.4000000000000005E-2</v>
      </c>
      <c r="Q192" s="68"/>
      <c r="R192" s="63">
        <v>2000000</v>
      </c>
      <c r="S192" s="60">
        <v>79.069999999999993</v>
      </c>
      <c r="T192" s="60">
        <v>79.099999999999994</v>
      </c>
      <c r="U192" s="60">
        <v>80</v>
      </c>
      <c r="V192" s="60">
        <v>97.7</v>
      </c>
      <c r="W192" s="60"/>
      <c r="X192" s="29">
        <f t="shared" si="31"/>
        <v>79.069999999999993</v>
      </c>
      <c r="Y192" s="63">
        <v>4.5199999999999997E-3</v>
      </c>
      <c r="Z192" s="63">
        <v>128000000</v>
      </c>
      <c r="AA192" s="64">
        <v>32</v>
      </c>
      <c r="AB192" s="63">
        <f t="shared" si="38"/>
        <v>4000000</v>
      </c>
      <c r="AC192" s="63" t="s">
        <v>2096</v>
      </c>
      <c r="AD192" s="65">
        <f t="shared" si="27"/>
        <v>1130</v>
      </c>
      <c r="AE192" s="29" t="str">
        <f t="shared" si="33"/>
        <v/>
      </c>
      <c r="AF192" s="29">
        <f t="shared" si="28"/>
        <v>153.88391734370984</v>
      </c>
      <c r="AG192" s="54" t="str">
        <f t="shared" si="34"/>
        <v/>
      </c>
      <c r="AH192" s="54">
        <f t="shared" si="29"/>
        <v>165.52891560852598</v>
      </c>
      <c r="AI192" s="66">
        <f t="shared" si="35"/>
        <v>3.847097933592746E-5</v>
      </c>
      <c r="AJ192" s="67">
        <f t="shared" si="36"/>
        <v>231.5495155218056</v>
      </c>
    </row>
    <row r="193" spans="1:36" x14ac:dyDescent="0.3">
      <c r="A193" s="64">
        <v>2009</v>
      </c>
      <c r="B193" s="30">
        <v>9.6999999999999993</v>
      </c>
      <c r="C193" s="30" t="s">
        <v>22</v>
      </c>
      <c r="D193" s="64" t="s">
        <v>30</v>
      </c>
      <c r="E193" s="39">
        <v>6.5000000000000002E-2</v>
      </c>
      <c r="F193" s="28" t="s">
        <v>341</v>
      </c>
      <c r="G193" s="28" t="s">
        <v>725</v>
      </c>
      <c r="H193" s="28" t="s">
        <v>349</v>
      </c>
      <c r="I193" s="125" t="s">
        <v>2304</v>
      </c>
      <c r="J193" s="148" t="str">
        <f t="shared" si="30"/>
        <v>https://doi.org/10.1109/ISSCC.2009.4977364</v>
      </c>
      <c r="K193" s="28" t="s">
        <v>1050</v>
      </c>
      <c r="L193" s="60"/>
      <c r="M193" s="60"/>
      <c r="N193" s="60"/>
      <c r="O193" s="56" t="s">
        <v>1050</v>
      </c>
      <c r="P193" s="28">
        <v>0.154</v>
      </c>
      <c r="Q193" s="68"/>
      <c r="R193" s="63">
        <v>20000000</v>
      </c>
      <c r="S193" s="60">
        <v>60</v>
      </c>
      <c r="T193" s="60">
        <v>62</v>
      </c>
      <c r="U193" s="60">
        <v>68</v>
      </c>
      <c r="V193" s="60"/>
      <c r="W193" s="60"/>
      <c r="X193" s="29">
        <f t="shared" si="31"/>
        <v>60</v>
      </c>
      <c r="Y193" s="63">
        <v>1.0500000000000001E-2</v>
      </c>
      <c r="Z193" s="63">
        <v>250000000</v>
      </c>
      <c r="AA193" s="64">
        <v>6.25</v>
      </c>
      <c r="AB193" s="63">
        <f t="shared" si="38"/>
        <v>40000000</v>
      </c>
      <c r="AC193" s="63" t="s">
        <v>2096</v>
      </c>
      <c r="AD193" s="65">
        <f t="shared" si="27"/>
        <v>262.5</v>
      </c>
      <c r="AE193" s="29" t="str">
        <f t="shared" si="33"/>
        <v/>
      </c>
      <c r="AF193" s="29">
        <f t="shared" si="28"/>
        <v>321.24702698434965</v>
      </c>
      <c r="AG193" s="54" t="str">
        <f t="shared" si="34"/>
        <v/>
      </c>
      <c r="AH193" s="54">
        <f t="shared" si="29"/>
        <v>152.79840696594044</v>
      </c>
      <c r="AI193" s="66">
        <f t="shared" si="35"/>
        <v>8.0311756746087405E-6</v>
      </c>
      <c r="AJ193" s="67">
        <f t="shared" si="36"/>
        <v>228.81900687922007</v>
      </c>
    </row>
    <row r="194" spans="1:36" x14ac:dyDescent="0.3">
      <c r="A194" s="64">
        <v>2009</v>
      </c>
      <c r="B194" s="30">
        <v>9.8000000000000007</v>
      </c>
      <c r="C194" s="30" t="s">
        <v>22</v>
      </c>
      <c r="D194" s="64" t="s">
        <v>25</v>
      </c>
      <c r="E194" s="39">
        <v>0.09</v>
      </c>
      <c r="F194" s="28" t="s">
        <v>342</v>
      </c>
      <c r="G194" s="28" t="s">
        <v>726</v>
      </c>
      <c r="H194" s="28" t="s">
        <v>350</v>
      </c>
      <c r="I194" s="125" t="s">
        <v>2305</v>
      </c>
      <c r="J194" s="148" t="str">
        <f t="shared" si="30"/>
        <v>https://doi.org/10.1109/ISSCC.2009.4977365</v>
      </c>
      <c r="K194" s="28" t="s">
        <v>1050</v>
      </c>
      <c r="L194" s="60"/>
      <c r="M194" s="60"/>
      <c r="N194" s="60"/>
      <c r="O194" s="56" t="s">
        <v>1050</v>
      </c>
      <c r="P194" s="28">
        <v>7.5600000000000001E-2</v>
      </c>
      <c r="Q194" s="68"/>
      <c r="R194" s="63">
        <v>2000000</v>
      </c>
      <c r="S194" s="60">
        <v>65</v>
      </c>
      <c r="T194" s="60"/>
      <c r="U194" s="60">
        <v>66</v>
      </c>
      <c r="V194" s="60">
        <v>79</v>
      </c>
      <c r="W194" s="60">
        <v>79</v>
      </c>
      <c r="X194" s="29">
        <f t="shared" si="31"/>
        <v>65</v>
      </c>
      <c r="Y194" s="63">
        <v>6.8300000000000001E-3</v>
      </c>
      <c r="Z194" s="63">
        <v>320000000</v>
      </c>
      <c r="AA194" s="64">
        <v>80</v>
      </c>
      <c r="AB194" s="63">
        <f t="shared" si="38"/>
        <v>4000000</v>
      </c>
      <c r="AC194" s="63" t="s">
        <v>2096</v>
      </c>
      <c r="AD194" s="65">
        <f t="shared" ref="AD194:AD249" si="39">Y194/AB194*1000000000000</f>
        <v>1707.5</v>
      </c>
      <c r="AE194" s="29" t="str">
        <f t="shared" si="33"/>
        <v/>
      </c>
      <c r="AF194" s="29">
        <f t="shared" ref="AF194:AF257" si="40">$AD194*1000/2^(($X194-1.76)/6.02)</f>
        <v>1175.0209459004443</v>
      </c>
      <c r="AG194" s="54" t="str">
        <f t="shared" si="34"/>
        <v/>
      </c>
      <c r="AH194" s="54">
        <f t="shared" ref="AH194:AH249" si="41">$X194+10*LOG10($AB194/2/$Y194)</f>
        <v>149.66609291982451</v>
      </c>
      <c r="AI194" s="66">
        <f t="shared" si="35"/>
        <v>2.9375523647511107E-4</v>
      </c>
      <c r="AJ194" s="67">
        <f t="shared" si="36"/>
        <v>215.68669283310413</v>
      </c>
    </row>
    <row r="195" spans="1:36" x14ac:dyDescent="0.3">
      <c r="A195" s="64">
        <v>2009</v>
      </c>
      <c r="B195" s="30">
        <v>21.7</v>
      </c>
      <c r="C195" s="30" t="s">
        <v>23</v>
      </c>
      <c r="D195" s="64" t="s">
        <v>557</v>
      </c>
      <c r="E195" s="39">
        <v>6.5000000000000002E-2</v>
      </c>
      <c r="F195" s="71" t="s">
        <v>915</v>
      </c>
      <c r="G195" s="71" t="s">
        <v>916</v>
      </c>
      <c r="H195" s="71" t="s">
        <v>917</v>
      </c>
      <c r="I195" s="125" t="s">
        <v>2306</v>
      </c>
      <c r="J195" s="148" t="str">
        <f t="shared" ref="J195:J258" si="42">IF(I195&lt;&gt;"?", HYPERLINK(CONCATENATE("https://doi.org/",I195)), "")</f>
        <v>https://doi.org/10.1109/ISSCC.2009.4977462</v>
      </c>
      <c r="K195" s="69" t="s">
        <v>1050</v>
      </c>
      <c r="L195" s="60"/>
      <c r="M195" s="60"/>
      <c r="N195" s="60"/>
      <c r="O195" s="56" t="s">
        <v>1050</v>
      </c>
      <c r="P195" s="69"/>
      <c r="Q195" s="68">
        <v>33.200000000000003</v>
      </c>
      <c r="R195" s="63">
        <v>5000000000</v>
      </c>
      <c r="S195" s="60">
        <v>31.6</v>
      </c>
      <c r="T195" s="60"/>
      <c r="U195" s="60"/>
      <c r="V195" s="28"/>
      <c r="W195" s="29"/>
      <c r="X195" s="29">
        <f t="shared" ref="X195:X249" si="43">+IF(ISNUMBER($S195),$S195,MIN($V195,$T195,$U195,$W195))</f>
        <v>31.6</v>
      </c>
      <c r="Y195" s="63">
        <v>0.39</v>
      </c>
      <c r="Z195" s="63">
        <v>10300000000</v>
      </c>
      <c r="AA195" s="30">
        <v>1</v>
      </c>
      <c r="AB195" s="63">
        <f t="shared" si="38"/>
        <v>10300000000</v>
      </c>
      <c r="AC195" s="63" t="s">
        <v>2096</v>
      </c>
      <c r="AD195" s="65">
        <f t="shared" si="39"/>
        <v>37.864077669902912</v>
      </c>
      <c r="AE195" s="29">
        <f t="shared" ref="AE195:AE258" si="44">IF(ISNUMBER($Q195), $AD195*1000/2^(($Q195-1.76)/6.02), "")</f>
        <v>1014.0765201835048</v>
      </c>
      <c r="AF195" s="29">
        <f t="shared" si="40"/>
        <v>1219.2105148306107</v>
      </c>
      <c r="AG195" s="54">
        <f t="shared" ref="AG195:AG258" si="45">IF(ISNUMBER($Q195), $Q195+10*LOG10($AB195/2/$Y195), "")</f>
        <v>134.40742622014693</v>
      </c>
      <c r="AH195" s="54">
        <f t="shared" si="41"/>
        <v>132.80742622014691</v>
      </c>
      <c r="AI195" s="66">
        <f t="shared" ref="AI195:AI258" si="46">AF195/AB195</f>
        <v>1.1836995289617579E-7</v>
      </c>
      <c r="AJ195" s="67">
        <f t="shared" ref="AJ195:AJ258" si="47">AH195+10*LOG10(AB195)</f>
        <v>232.93579846719865</v>
      </c>
    </row>
    <row r="196" spans="1:36" x14ac:dyDescent="0.3">
      <c r="A196" s="59">
        <v>2010</v>
      </c>
      <c r="B196" s="30">
        <v>16.100000000000001</v>
      </c>
      <c r="C196" s="30" t="s">
        <v>23</v>
      </c>
      <c r="D196" s="64" t="s">
        <v>26</v>
      </c>
      <c r="E196" s="39" t="s">
        <v>727</v>
      </c>
      <c r="F196" s="28" t="s">
        <v>728</v>
      </c>
      <c r="G196" s="28" t="s">
        <v>729</v>
      </c>
      <c r="H196" s="28" t="s">
        <v>730</v>
      </c>
      <c r="I196" s="125" t="s">
        <v>2307</v>
      </c>
      <c r="J196" s="148" t="str">
        <f t="shared" si="42"/>
        <v>https://doi.org/10.1109/ISSCC.2010.5433923</v>
      </c>
      <c r="K196" s="28" t="s">
        <v>1050</v>
      </c>
      <c r="L196" s="60"/>
      <c r="M196" s="60"/>
      <c r="N196" s="60"/>
      <c r="O196" s="56" t="s">
        <v>1050</v>
      </c>
      <c r="P196" s="28">
        <v>50</v>
      </c>
      <c r="Q196" s="68"/>
      <c r="R196" s="63">
        <f>+Z196/2</f>
        <v>125000000</v>
      </c>
      <c r="S196" s="60">
        <v>77.5</v>
      </c>
      <c r="T196" s="60"/>
      <c r="U196" s="60"/>
      <c r="V196" s="60"/>
      <c r="W196" s="60">
        <v>90</v>
      </c>
      <c r="X196" s="29">
        <f t="shared" si="43"/>
        <v>77.5</v>
      </c>
      <c r="Y196" s="63">
        <v>0.85</v>
      </c>
      <c r="Z196" s="63">
        <v>250000000</v>
      </c>
      <c r="AA196" s="64">
        <v>1</v>
      </c>
      <c r="AB196" s="63">
        <f t="shared" si="38"/>
        <v>250000000</v>
      </c>
      <c r="AC196" s="63" t="s">
        <v>2096</v>
      </c>
      <c r="AD196" s="65">
        <f t="shared" si="39"/>
        <v>3400</v>
      </c>
      <c r="AE196" s="29" t="str">
        <f t="shared" si="44"/>
        <v/>
      </c>
      <c r="AF196" s="29">
        <f t="shared" si="40"/>
        <v>554.75538898814773</v>
      </c>
      <c r="AG196" s="54" t="str">
        <f t="shared" si="45"/>
        <v/>
      </c>
      <c r="AH196" s="54">
        <f t="shared" si="41"/>
        <v>159.17491087293763</v>
      </c>
      <c r="AI196" s="66">
        <f t="shared" si="46"/>
        <v>2.2190215559525908E-6</v>
      </c>
      <c r="AJ196" s="67">
        <f t="shared" si="47"/>
        <v>243.15431095965801</v>
      </c>
    </row>
    <row r="197" spans="1:36" x14ac:dyDescent="0.3">
      <c r="A197" s="64">
        <v>2010</v>
      </c>
      <c r="B197" s="30">
        <v>16.2</v>
      </c>
      <c r="C197" s="30" t="s">
        <v>23</v>
      </c>
      <c r="D197" s="64" t="s">
        <v>26</v>
      </c>
      <c r="E197" s="39" t="s">
        <v>727</v>
      </c>
      <c r="F197" s="28" t="s">
        <v>731</v>
      </c>
      <c r="G197" s="28" t="s">
        <v>732</v>
      </c>
      <c r="H197" s="28" t="s">
        <v>733</v>
      </c>
      <c r="I197" s="125" t="s">
        <v>2308</v>
      </c>
      <c r="J197" s="148" t="str">
        <f t="shared" si="42"/>
        <v>https://doi.org/10.1109/ISSCC.2010.5433928</v>
      </c>
      <c r="K197" s="28" t="s">
        <v>822</v>
      </c>
      <c r="L197" s="60">
        <v>5</v>
      </c>
      <c r="M197" s="60">
        <v>3.3</v>
      </c>
      <c r="N197" s="60"/>
      <c r="O197" s="56" t="s">
        <v>1050</v>
      </c>
      <c r="P197" s="28">
        <v>4</v>
      </c>
      <c r="Q197" s="68"/>
      <c r="R197" s="63">
        <f>+Z197/2</f>
        <v>80000000</v>
      </c>
      <c r="S197" s="60"/>
      <c r="T197" s="60">
        <v>75.2</v>
      </c>
      <c r="U197" s="60"/>
      <c r="V197" s="60"/>
      <c r="W197" s="60">
        <v>91</v>
      </c>
      <c r="X197" s="29">
        <f t="shared" si="43"/>
        <v>75.2</v>
      </c>
      <c r="Y197" s="63">
        <v>1.62</v>
      </c>
      <c r="Z197" s="63">
        <v>160000000</v>
      </c>
      <c r="AA197" s="64">
        <v>1</v>
      </c>
      <c r="AB197" s="63">
        <f t="shared" si="38"/>
        <v>160000000</v>
      </c>
      <c r="AC197" s="63" t="s">
        <v>2096</v>
      </c>
      <c r="AD197" s="65">
        <f t="shared" si="39"/>
        <v>10125.000000000002</v>
      </c>
      <c r="AE197" s="29" t="str">
        <f t="shared" si="44"/>
        <v/>
      </c>
      <c r="AF197" s="29">
        <f t="shared" si="40"/>
        <v>2152.9260105668764</v>
      </c>
      <c r="AG197" s="54" t="str">
        <f t="shared" si="45"/>
        <v/>
      </c>
      <c r="AH197" s="54">
        <f t="shared" si="41"/>
        <v>152.13574972449314</v>
      </c>
      <c r="AI197" s="66">
        <f t="shared" si="46"/>
        <v>1.3455787566042978E-5</v>
      </c>
      <c r="AJ197" s="67">
        <f t="shared" si="47"/>
        <v>234.17694955105239</v>
      </c>
    </row>
    <row r="198" spans="1:36" x14ac:dyDescent="0.3">
      <c r="A198" s="64">
        <v>2010</v>
      </c>
      <c r="B198" s="30">
        <v>16.3</v>
      </c>
      <c r="C198" s="30" t="s">
        <v>23</v>
      </c>
      <c r="D198" s="64" t="s">
        <v>734</v>
      </c>
      <c r="E198" s="39">
        <v>0.04</v>
      </c>
      <c r="F198" s="28" t="s">
        <v>735</v>
      </c>
      <c r="G198" s="28" t="s">
        <v>736</v>
      </c>
      <c r="H198" s="28" t="s">
        <v>737</v>
      </c>
      <c r="I198" s="125" t="s">
        <v>2309</v>
      </c>
      <c r="J198" s="148" t="str">
        <f t="shared" si="42"/>
        <v>https://doi.org/10.1109/ISSCC.2010.5433925</v>
      </c>
      <c r="K198" s="28" t="s">
        <v>1050</v>
      </c>
      <c r="L198" s="60"/>
      <c r="M198" s="60"/>
      <c r="N198" s="60"/>
      <c r="O198" s="56" t="s">
        <v>1050</v>
      </c>
      <c r="P198" s="28">
        <v>0.03</v>
      </c>
      <c r="Q198" s="68"/>
      <c r="R198" s="63">
        <f>+Z198/2</f>
        <v>1100000000</v>
      </c>
      <c r="S198" s="60">
        <v>31.1</v>
      </c>
      <c r="T198" s="60"/>
      <c r="U198" s="60"/>
      <c r="V198" s="60"/>
      <c r="W198" s="60">
        <v>41.5</v>
      </c>
      <c r="X198" s="29">
        <f t="shared" si="43"/>
        <v>31.1</v>
      </c>
      <c r="Y198" s="63">
        <v>2.5999999999999999E-3</v>
      </c>
      <c r="Z198" s="63">
        <v>2200000000</v>
      </c>
      <c r="AA198" s="64">
        <v>1</v>
      </c>
      <c r="AB198" s="63">
        <f t="shared" si="38"/>
        <v>2200000000</v>
      </c>
      <c r="AC198" s="63" t="s">
        <v>2096</v>
      </c>
      <c r="AD198" s="65">
        <f t="shared" si="39"/>
        <v>1.1818181818181817</v>
      </c>
      <c r="AE198" s="29" t="str">
        <f t="shared" si="44"/>
        <v/>
      </c>
      <c r="AF198" s="29">
        <f t="shared" si="40"/>
        <v>40.309227536552257</v>
      </c>
      <c r="AG198" s="54" t="str">
        <f t="shared" si="45"/>
        <v/>
      </c>
      <c r="AH198" s="54">
        <f t="shared" si="41"/>
        <v>147.36419337187408</v>
      </c>
      <c r="AI198" s="66">
        <f t="shared" si="46"/>
        <v>1.8322376152978297E-8</v>
      </c>
      <c r="AJ198" s="67">
        <f t="shared" si="47"/>
        <v>240.78842018009615</v>
      </c>
    </row>
    <row r="199" spans="1:36" x14ac:dyDescent="0.3">
      <c r="A199" s="64">
        <v>2010</v>
      </c>
      <c r="B199" s="30">
        <v>16.399999999999999</v>
      </c>
      <c r="C199" s="30" t="s">
        <v>22</v>
      </c>
      <c r="D199" s="64" t="s">
        <v>1302</v>
      </c>
      <c r="E199" s="39">
        <v>6.5000000000000002E-2</v>
      </c>
      <c r="F199" s="28" t="s">
        <v>738</v>
      </c>
      <c r="G199" s="28" t="s">
        <v>2041</v>
      </c>
      <c r="H199" s="28" t="s">
        <v>739</v>
      </c>
      <c r="I199" s="125" t="s">
        <v>2310</v>
      </c>
      <c r="J199" s="148" t="str">
        <f t="shared" si="42"/>
        <v>https://doi.org/10.1109/ISSCC.2010.5433930</v>
      </c>
      <c r="K199" s="28" t="s">
        <v>1050</v>
      </c>
      <c r="L199" s="60"/>
      <c r="M199" s="60"/>
      <c r="N199" s="60"/>
      <c r="O199" s="56" t="s">
        <v>1050</v>
      </c>
      <c r="P199" s="28">
        <v>7.0000000000000007E-2</v>
      </c>
      <c r="Q199" s="68"/>
      <c r="R199" s="63">
        <v>4500000</v>
      </c>
      <c r="S199" s="60">
        <v>77.8</v>
      </c>
      <c r="T199" s="60">
        <v>80</v>
      </c>
      <c r="U199" s="60"/>
      <c r="V199" s="60"/>
      <c r="W199" s="60"/>
      <c r="X199" s="29">
        <f t="shared" si="43"/>
        <v>77.8</v>
      </c>
      <c r="Y199" s="63">
        <v>1.7000000000000001E-2</v>
      </c>
      <c r="Z199" s="63">
        <v>1150000000</v>
      </c>
      <c r="AA199" s="64">
        <v>127.77777777777777</v>
      </c>
      <c r="AB199" s="63">
        <f t="shared" si="38"/>
        <v>9000000</v>
      </c>
      <c r="AC199" s="63" t="s">
        <v>2096</v>
      </c>
      <c r="AD199" s="65">
        <f t="shared" si="39"/>
        <v>1888.8888888888891</v>
      </c>
      <c r="AE199" s="29" t="str">
        <f t="shared" si="44"/>
        <v/>
      </c>
      <c r="AF199" s="29">
        <f t="shared" si="40"/>
        <v>297.73338142606161</v>
      </c>
      <c r="AG199" s="54" t="str">
        <f t="shared" si="45"/>
        <v/>
      </c>
      <c r="AH199" s="54">
        <f t="shared" si="41"/>
        <v>162.02763592397071</v>
      </c>
      <c r="AI199" s="66">
        <f t="shared" si="46"/>
        <v>3.3081486825117955E-5</v>
      </c>
      <c r="AJ199" s="67">
        <f t="shared" si="47"/>
        <v>231.57006101836396</v>
      </c>
    </row>
    <row r="200" spans="1:36" x14ac:dyDescent="0.3">
      <c r="A200" s="64">
        <v>2010</v>
      </c>
      <c r="B200" s="30">
        <v>16.5</v>
      </c>
      <c r="C200" s="30" t="s">
        <v>23</v>
      </c>
      <c r="D200" s="64" t="s">
        <v>26</v>
      </c>
      <c r="E200" s="39">
        <v>0.09</v>
      </c>
      <c r="F200" s="28" t="s">
        <v>740</v>
      </c>
      <c r="G200" s="28" t="s">
        <v>2042</v>
      </c>
      <c r="H200" s="28" t="s">
        <v>741</v>
      </c>
      <c r="I200" s="125" t="s">
        <v>2311</v>
      </c>
      <c r="J200" s="148" t="str">
        <f t="shared" si="42"/>
        <v>https://doi.org/10.1109/ISSCC.2010.5433927</v>
      </c>
      <c r="K200" s="28" t="s">
        <v>1050</v>
      </c>
      <c r="L200" s="60">
        <v>1</v>
      </c>
      <c r="M200" s="60"/>
      <c r="N200" s="60"/>
      <c r="O200" s="56" t="s">
        <v>1050</v>
      </c>
      <c r="P200" s="28">
        <v>5.7200000000000001E-2</v>
      </c>
      <c r="Q200" s="68"/>
      <c r="R200" s="63">
        <f t="shared" ref="R200:R207" si="48">+Z200/2</f>
        <v>50000000</v>
      </c>
      <c r="S200" s="60">
        <v>53.9</v>
      </c>
      <c r="T200" s="60">
        <v>54.4</v>
      </c>
      <c r="U200" s="60"/>
      <c r="V200" s="60"/>
      <c r="W200" s="60">
        <v>67.400000000000006</v>
      </c>
      <c r="X200" s="29">
        <f t="shared" si="43"/>
        <v>53.9</v>
      </c>
      <c r="Y200" s="63">
        <f>0.0037+0.0008</f>
        <v>4.5000000000000005E-3</v>
      </c>
      <c r="Z200" s="63">
        <v>100000000</v>
      </c>
      <c r="AA200" s="64">
        <v>1</v>
      </c>
      <c r="AB200" s="63">
        <f t="shared" si="38"/>
        <v>100000000</v>
      </c>
      <c r="AC200" s="63" t="s">
        <v>2096</v>
      </c>
      <c r="AD200" s="65">
        <f t="shared" si="39"/>
        <v>45.000000000000007</v>
      </c>
      <c r="AE200" s="29" t="str">
        <f t="shared" si="44"/>
        <v/>
      </c>
      <c r="AF200" s="29">
        <f t="shared" si="40"/>
        <v>111.16106972905051</v>
      </c>
      <c r="AG200" s="54" t="str">
        <f t="shared" si="45"/>
        <v/>
      </c>
      <c r="AH200" s="54">
        <f t="shared" si="41"/>
        <v>154.35757490560675</v>
      </c>
      <c r="AI200" s="66">
        <f t="shared" si="46"/>
        <v>1.111610697290505E-6</v>
      </c>
      <c r="AJ200" s="67">
        <f t="shared" si="47"/>
        <v>234.35757490560675</v>
      </c>
    </row>
    <row r="201" spans="1:36" x14ac:dyDescent="0.3">
      <c r="A201" s="64">
        <v>2010</v>
      </c>
      <c r="B201" s="30">
        <v>16.600000000000001</v>
      </c>
      <c r="C201" s="30" t="s">
        <v>23</v>
      </c>
      <c r="D201" s="64" t="s">
        <v>678</v>
      </c>
      <c r="E201" s="39">
        <v>0.18</v>
      </c>
      <c r="F201" s="28" t="s">
        <v>742</v>
      </c>
      <c r="G201" s="28" t="s">
        <v>743</v>
      </c>
      <c r="H201" s="28" t="s">
        <v>744</v>
      </c>
      <c r="I201" s="125" t="s">
        <v>2312</v>
      </c>
      <c r="J201" s="148" t="str">
        <f t="shared" si="42"/>
        <v>https://doi.org/10.1109/ISSCC.2010.5433894</v>
      </c>
      <c r="K201" s="28" t="s">
        <v>1050</v>
      </c>
      <c r="L201" s="60"/>
      <c r="M201" s="60"/>
      <c r="N201" s="60"/>
      <c r="O201" s="56" t="s">
        <v>1050</v>
      </c>
      <c r="P201" s="28">
        <v>1.1100000000000001</v>
      </c>
      <c r="Q201" s="68"/>
      <c r="R201" s="63">
        <f t="shared" si="48"/>
        <v>5000000</v>
      </c>
      <c r="S201" s="60">
        <v>69.5</v>
      </c>
      <c r="T201" s="60">
        <v>69.599999999999994</v>
      </c>
      <c r="U201" s="60"/>
      <c r="V201" s="60"/>
      <c r="W201" s="60">
        <v>78.8</v>
      </c>
      <c r="X201" s="29">
        <f t="shared" si="43"/>
        <v>69.5</v>
      </c>
      <c r="Y201" s="63">
        <f>0.0072+0.0012</f>
        <v>8.3999999999999995E-3</v>
      </c>
      <c r="Z201" s="63">
        <v>10000000</v>
      </c>
      <c r="AA201" s="64">
        <v>1</v>
      </c>
      <c r="AB201" s="63">
        <f t="shared" si="38"/>
        <v>10000000</v>
      </c>
      <c r="AC201" s="63" t="s">
        <v>2096</v>
      </c>
      <c r="AD201" s="65">
        <f t="shared" si="39"/>
        <v>840</v>
      </c>
      <c r="AE201" s="29" t="str">
        <f t="shared" si="44"/>
        <v/>
      </c>
      <c r="AF201" s="29">
        <f t="shared" si="40"/>
        <v>344.30375573461475</v>
      </c>
      <c r="AG201" s="54" t="str">
        <f t="shared" si="45"/>
        <v/>
      </c>
      <c r="AH201" s="54">
        <f t="shared" si="41"/>
        <v>157.24690718274138</v>
      </c>
      <c r="AI201" s="66">
        <f t="shared" si="46"/>
        <v>3.4430375573461478E-5</v>
      </c>
      <c r="AJ201" s="67">
        <f t="shared" si="47"/>
        <v>227.24690718274138</v>
      </c>
    </row>
    <row r="202" spans="1:36" x14ac:dyDescent="0.3">
      <c r="A202" s="64">
        <v>2010</v>
      </c>
      <c r="B202" s="30">
        <v>21.1</v>
      </c>
      <c r="C202" s="30" t="s">
        <v>23</v>
      </c>
      <c r="D202" s="64" t="s">
        <v>745</v>
      </c>
      <c r="E202" s="39">
        <v>0.25</v>
      </c>
      <c r="F202" s="28" t="s">
        <v>746</v>
      </c>
      <c r="G202" s="28" t="s">
        <v>2043</v>
      </c>
      <c r="H202" s="28" t="s">
        <v>747</v>
      </c>
      <c r="I202" s="125" t="s">
        <v>2313</v>
      </c>
      <c r="J202" s="148" t="str">
        <f t="shared" si="42"/>
        <v>https://doi.org/10.1109/ISSCC.2010.5433829</v>
      </c>
      <c r="K202" s="28" t="s">
        <v>1056</v>
      </c>
      <c r="L202" s="60"/>
      <c r="M202" s="60"/>
      <c r="N202" s="60"/>
      <c r="O202" s="56" t="s">
        <v>1050</v>
      </c>
      <c r="P202" s="28">
        <v>4.5</v>
      </c>
      <c r="Q202" s="68"/>
      <c r="R202" s="63">
        <f t="shared" si="48"/>
        <v>6250000</v>
      </c>
      <c r="S202" s="60">
        <v>80</v>
      </c>
      <c r="T202" s="60">
        <v>85</v>
      </c>
      <c r="U202" s="60">
        <v>93</v>
      </c>
      <c r="V202" s="60"/>
      <c r="W202" s="60">
        <v>82</v>
      </c>
      <c r="X202" s="29">
        <f t="shared" si="43"/>
        <v>80</v>
      </c>
      <c r="Y202" s="63">
        <v>0.105</v>
      </c>
      <c r="Z202" s="63">
        <v>12500000</v>
      </c>
      <c r="AA202" s="64">
        <v>1</v>
      </c>
      <c r="AB202" s="63">
        <f t="shared" si="38"/>
        <v>12500000</v>
      </c>
      <c r="AC202" s="63" t="s">
        <v>2096</v>
      </c>
      <c r="AD202" s="65">
        <f t="shared" si="39"/>
        <v>8400</v>
      </c>
      <c r="AE202" s="29" t="str">
        <f t="shared" si="44"/>
        <v/>
      </c>
      <c r="AF202" s="29">
        <f t="shared" si="40"/>
        <v>1027.7546303423933</v>
      </c>
      <c r="AG202" s="54" t="str">
        <f t="shared" si="45"/>
        <v/>
      </c>
      <c r="AH202" s="54">
        <f t="shared" si="41"/>
        <v>157.74690718274138</v>
      </c>
      <c r="AI202" s="66">
        <f t="shared" si="46"/>
        <v>8.2220370427391461E-5</v>
      </c>
      <c r="AJ202" s="67">
        <f t="shared" si="47"/>
        <v>228.71600731282194</v>
      </c>
    </row>
    <row r="203" spans="1:36" x14ac:dyDescent="0.3">
      <c r="A203" s="64">
        <v>2010</v>
      </c>
      <c r="B203" s="30">
        <v>21.2</v>
      </c>
      <c r="C203" s="30" t="s">
        <v>23</v>
      </c>
      <c r="D203" s="64" t="s">
        <v>31</v>
      </c>
      <c r="E203" s="39">
        <v>0.13</v>
      </c>
      <c r="F203" s="28" t="s">
        <v>2044</v>
      </c>
      <c r="G203" s="28" t="s">
        <v>2045</v>
      </c>
      <c r="H203" s="28" t="s">
        <v>748</v>
      </c>
      <c r="I203" s="125" t="s">
        <v>2314</v>
      </c>
      <c r="J203" s="148" t="str">
        <f t="shared" si="42"/>
        <v>https://doi.org/10.1109/ISSCC.2010.5433830</v>
      </c>
      <c r="K203" s="28" t="s">
        <v>1050</v>
      </c>
      <c r="L203" s="60">
        <v>1.2</v>
      </c>
      <c r="M203" s="60"/>
      <c r="N203" s="60"/>
      <c r="O203" s="56" t="s">
        <v>1050</v>
      </c>
      <c r="P203" s="28">
        <v>5.8999999999999997E-2</v>
      </c>
      <c r="Q203" s="68"/>
      <c r="R203" s="63">
        <f t="shared" si="48"/>
        <v>22500000</v>
      </c>
      <c r="S203" s="60">
        <v>67.09</v>
      </c>
      <c r="T203" s="60"/>
      <c r="U203" s="60"/>
      <c r="V203" s="60"/>
      <c r="W203" s="60">
        <v>84.71</v>
      </c>
      <c r="X203" s="29">
        <f t="shared" si="43"/>
        <v>67.09</v>
      </c>
      <c r="Y203" s="63">
        <f>0.00161+0.00121+0.0002</f>
        <v>3.0200000000000001E-3</v>
      </c>
      <c r="Z203" s="63">
        <v>45000000</v>
      </c>
      <c r="AA203" s="64">
        <v>1</v>
      </c>
      <c r="AB203" s="63">
        <f t="shared" si="38"/>
        <v>45000000</v>
      </c>
      <c r="AC203" s="63" t="s">
        <v>2096</v>
      </c>
      <c r="AD203" s="65">
        <f t="shared" si="39"/>
        <v>67.111111111111114</v>
      </c>
      <c r="AE203" s="29" t="str">
        <f t="shared" si="44"/>
        <v/>
      </c>
      <c r="AF203" s="29">
        <f t="shared" si="40"/>
        <v>36.305206511176117</v>
      </c>
      <c r="AG203" s="54" t="str">
        <f t="shared" si="45"/>
        <v/>
      </c>
      <c r="AH203" s="54">
        <f t="shared" si="41"/>
        <v>165.81175575154214</v>
      </c>
      <c r="AI203" s="66">
        <f t="shared" si="46"/>
        <v>8.0678236691502485E-7</v>
      </c>
      <c r="AJ203" s="67">
        <f t="shared" si="47"/>
        <v>242.34388088929558</v>
      </c>
    </row>
    <row r="204" spans="1:36" x14ac:dyDescent="0.3">
      <c r="A204" s="64">
        <v>2010</v>
      </c>
      <c r="B204" s="30">
        <v>21.3</v>
      </c>
      <c r="C204" s="30" t="s">
        <v>23</v>
      </c>
      <c r="D204" s="64" t="s">
        <v>745</v>
      </c>
      <c r="E204" s="39">
        <v>6.5000000000000002E-2</v>
      </c>
      <c r="F204" s="28" t="s">
        <v>2046</v>
      </c>
      <c r="G204" s="28" t="s">
        <v>2047</v>
      </c>
      <c r="H204" s="28" t="s">
        <v>749</v>
      </c>
      <c r="I204" s="125" t="s">
        <v>2315</v>
      </c>
      <c r="J204" s="148" t="str">
        <f t="shared" si="42"/>
        <v>https://doi.org/10.1109/ISSCC.2010.5433968</v>
      </c>
      <c r="K204" s="28" t="s">
        <v>1050</v>
      </c>
      <c r="L204" s="60"/>
      <c r="M204" s="60"/>
      <c r="N204" s="60"/>
      <c r="O204" s="56" t="s">
        <v>1050</v>
      </c>
      <c r="P204" s="28">
        <v>5.8500000000000003E-2</v>
      </c>
      <c r="Q204" s="68"/>
      <c r="R204" s="63">
        <f t="shared" si="48"/>
        <v>20000000</v>
      </c>
      <c r="S204" s="60">
        <v>52.5</v>
      </c>
      <c r="T204" s="60"/>
      <c r="U204" s="60"/>
      <c r="V204" s="60"/>
      <c r="W204" s="60">
        <v>63</v>
      </c>
      <c r="X204" s="29">
        <f t="shared" si="43"/>
        <v>52.5</v>
      </c>
      <c r="Y204" s="63">
        <f>0.0006+0.00061</f>
        <v>1.2099999999999999E-3</v>
      </c>
      <c r="Z204" s="63">
        <v>40000000</v>
      </c>
      <c r="AA204" s="64">
        <v>1</v>
      </c>
      <c r="AB204" s="63">
        <f t="shared" si="38"/>
        <v>40000000</v>
      </c>
      <c r="AC204" s="63" t="s">
        <v>2096</v>
      </c>
      <c r="AD204" s="65">
        <f t="shared" si="39"/>
        <v>30.25</v>
      </c>
      <c r="AE204" s="29" t="str">
        <f t="shared" si="44"/>
        <v/>
      </c>
      <c r="AF204" s="29">
        <f t="shared" si="40"/>
        <v>87.795561028110711</v>
      </c>
      <c r="AG204" s="54" t="str">
        <f t="shared" si="45"/>
        <v/>
      </c>
      <c r="AH204" s="54">
        <f t="shared" si="41"/>
        <v>154.68244625347529</v>
      </c>
      <c r="AI204" s="66">
        <f t="shared" si="46"/>
        <v>2.1948890257027678E-6</v>
      </c>
      <c r="AJ204" s="67">
        <f t="shared" si="47"/>
        <v>230.70304616675492</v>
      </c>
    </row>
    <row r="205" spans="1:36" x14ac:dyDescent="0.3">
      <c r="A205" s="64">
        <v>2010</v>
      </c>
      <c r="B205" s="30">
        <v>21.4</v>
      </c>
      <c r="C205" s="30" t="s">
        <v>23</v>
      </c>
      <c r="D205" s="64" t="s">
        <v>31</v>
      </c>
      <c r="E205" s="39">
        <v>6.5000000000000002E-2</v>
      </c>
      <c r="F205" s="28" t="s">
        <v>750</v>
      </c>
      <c r="G205" s="28" t="s">
        <v>751</v>
      </c>
      <c r="H205" s="28" t="s">
        <v>752</v>
      </c>
      <c r="I205" s="125" t="s">
        <v>2316</v>
      </c>
      <c r="J205" s="148" t="str">
        <f t="shared" si="42"/>
        <v>https://doi.org/10.1109/ISSCC.2010.5433965</v>
      </c>
      <c r="K205" s="28" t="s">
        <v>1050</v>
      </c>
      <c r="L205" s="60">
        <v>1</v>
      </c>
      <c r="M205" s="60"/>
      <c r="N205" s="60"/>
      <c r="O205" s="56" t="s">
        <v>1050</v>
      </c>
      <c r="P205" s="28">
        <v>3.9E-2</v>
      </c>
      <c r="Q205" s="68"/>
      <c r="R205" s="63">
        <f t="shared" si="48"/>
        <v>25000000</v>
      </c>
      <c r="S205" s="60">
        <v>56.6</v>
      </c>
      <c r="T205" s="60"/>
      <c r="U205" s="60"/>
      <c r="V205" s="60"/>
      <c r="W205" s="60"/>
      <c r="X205" s="29">
        <f t="shared" si="43"/>
        <v>56.6</v>
      </c>
      <c r="Y205" s="63">
        <f>0.00045+0.00037</f>
        <v>8.1999999999999998E-4</v>
      </c>
      <c r="Z205" s="63">
        <v>50000000</v>
      </c>
      <c r="AA205" s="64">
        <v>1</v>
      </c>
      <c r="AB205" s="63">
        <f t="shared" si="38"/>
        <v>50000000</v>
      </c>
      <c r="AC205" s="63" t="s">
        <v>2096</v>
      </c>
      <c r="AD205" s="65">
        <f t="shared" si="39"/>
        <v>16.399999999999999</v>
      </c>
      <c r="AE205" s="29" t="str">
        <f t="shared" si="44"/>
        <v/>
      </c>
      <c r="AF205" s="29">
        <f t="shared" si="40"/>
        <v>29.687292981388563</v>
      </c>
      <c r="AG205" s="54" t="str">
        <f t="shared" si="45"/>
        <v/>
      </c>
      <c r="AH205" s="54">
        <f t="shared" si="41"/>
        <v>161.4412615628832</v>
      </c>
      <c r="AI205" s="66">
        <f t="shared" si="46"/>
        <v>5.9374585962777121E-7</v>
      </c>
      <c r="AJ205" s="67">
        <f t="shared" si="47"/>
        <v>238.43096160624339</v>
      </c>
    </row>
    <row r="206" spans="1:36" x14ac:dyDescent="0.3">
      <c r="A206" s="64">
        <v>2010</v>
      </c>
      <c r="B206" s="30">
        <v>21.5</v>
      </c>
      <c r="C206" s="30" t="s">
        <v>23</v>
      </c>
      <c r="D206" s="64" t="s">
        <v>31</v>
      </c>
      <c r="E206" s="39">
        <v>6.5000000000000002E-2</v>
      </c>
      <c r="F206" s="28" t="s">
        <v>753</v>
      </c>
      <c r="G206" s="28" t="s">
        <v>754</v>
      </c>
      <c r="H206" s="28" t="s">
        <v>755</v>
      </c>
      <c r="I206" s="125" t="s">
        <v>2317</v>
      </c>
      <c r="J206" s="148" t="str">
        <f t="shared" si="42"/>
        <v>https://doi.org/10.1109/ISSCC.2010.5433970</v>
      </c>
      <c r="K206" s="28" t="s">
        <v>1050</v>
      </c>
      <c r="L206" s="60">
        <v>1.2</v>
      </c>
      <c r="M206" s="60"/>
      <c r="N206" s="60"/>
      <c r="O206" s="56" t="s">
        <v>1050</v>
      </c>
      <c r="P206" s="28">
        <v>2.5600000000000001E-2</v>
      </c>
      <c r="Q206" s="68"/>
      <c r="R206" s="63">
        <f t="shared" si="48"/>
        <v>50000000</v>
      </c>
      <c r="S206" s="60">
        <v>56</v>
      </c>
      <c r="T206" s="60"/>
      <c r="U206" s="60"/>
      <c r="V206" s="60"/>
      <c r="W206" s="60">
        <v>66.900000000000006</v>
      </c>
      <c r="X206" s="29">
        <f t="shared" si="43"/>
        <v>56</v>
      </c>
      <c r="Y206" s="63">
        <f>0.00037+0.00046+0.0003</f>
        <v>1.1299999999999999E-3</v>
      </c>
      <c r="Z206" s="63">
        <v>100000000</v>
      </c>
      <c r="AA206" s="64">
        <v>1</v>
      </c>
      <c r="AB206" s="63">
        <f t="shared" si="38"/>
        <v>100000000</v>
      </c>
      <c r="AC206" s="63" t="s">
        <v>2096</v>
      </c>
      <c r="AD206" s="65">
        <f t="shared" si="39"/>
        <v>11.299999999999999</v>
      </c>
      <c r="AE206" s="29" t="str">
        <f t="shared" si="44"/>
        <v/>
      </c>
      <c r="AF206" s="29">
        <f t="shared" si="40"/>
        <v>21.918366449221072</v>
      </c>
      <c r="AG206" s="54" t="str">
        <f t="shared" si="45"/>
        <v/>
      </c>
      <c r="AH206" s="54">
        <f t="shared" si="41"/>
        <v>162.45891560852598</v>
      </c>
      <c r="AI206" s="66">
        <f t="shared" si="46"/>
        <v>2.1918366449221072E-7</v>
      </c>
      <c r="AJ206" s="67">
        <f t="shared" si="47"/>
        <v>242.45891560852598</v>
      </c>
    </row>
    <row r="207" spans="1:36" x14ac:dyDescent="0.3">
      <c r="A207" s="64">
        <v>2010</v>
      </c>
      <c r="B207" s="30">
        <v>21.6</v>
      </c>
      <c r="C207" s="30" t="s">
        <v>23</v>
      </c>
      <c r="D207" s="64" t="s">
        <v>31</v>
      </c>
      <c r="E207" s="39">
        <v>0.09</v>
      </c>
      <c r="F207" s="28" t="s">
        <v>756</v>
      </c>
      <c r="G207" s="28" t="s">
        <v>757</v>
      </c>
      <c r="H207" s="28" t="s">
        <v>758</v>
      </c>
      <c r="I207" s="125" t="s">
        <v>2318</v>
      </c>
      <c r="J207" s="148" t="str">
        <f t="shared" si="42"/>
        <v>https://doi.org/10.1109/ISSCC.2010.5433967</v>
      </c>
      <c r="K207" s="28" t="s">
        <v>1050</v>
      </c>
      <c r="L207" s="60">
        <v>1</v>
      </c>
      <c r="M207" s="60"/>
      <c r="N207" s="60"/>
      <c r="O207" s="56" t="s">
        <v>1050</v>
      </c>
      <c r="P207" s="28">
        <v>7.0000000000000007E-2</v>
      </c>
      <c r="Q207" s="68"/>
      <c r="R207" s="63">
        <f t="shared" si="48"/>
        <v>5120000</v>
      </c>
      <c r="S207" s="60">
        <v>48.4</v>
      </c>
      <c r="T207" s="60"/>
      <c r="U207" s="60"/>
      <c r="V207" s="60"/>
      <c r="W207" s="60"/>
      <c r="X207" s="29">
        <f t="shared" si="43"/>
        <v>48.4</v>
      </c>
      <c r="Y207" s="63">
        <v>6.8999999999999997E-5</v>
      </c>
      <c r="Z207" s="63">
        <v>10240000</v>
      </c>
      <c r="AA207" s="64">
        <v>1</v>
      </c>
      <c r="AB207" s="63">
        <f t="shared" si="38"/>
        <v>10240000</v>
      </c>
      <c r="AC207" s="63" t="s">
        <v>2096</v>
      </c>
      <c r="AD207" s="65">
        <f t="shared" si="39"/>
        <v>6.73828125</v>
      </c>
      <c r="AE207" s="29" t="str">
        <f t="shared" si="44"/>
        <v/>
      </c>
      <c r="AF207" s="29">
        <f t="shared" si="40"/>
        <v>31.355717459161184</v>
      </c>
      <c r="AG207" s="54" t="str">
        <f t="shared" si="45"/>
        <v/>
      </c>
      <c r="AH207" s="54">
        <f t="shared" si="41"/>
        <v>157.10420870238576</v>
      </c>
      <c r="AI207" s="66">
        <f t="shared" si="46"/>
        <v>3.0620817831212095E-6</v>
      </c>
      <c r="AJ207" s="67">
        <f t="shared" si="47"/>
        <v>227.20720826878386</v>
      </c>
    </row>
    <row r="208" spans="1:36" x14ac:dyDescent="0.3">
      <c r="A208" s="64">
        <v>2010</v>
      </c>
      <c r="B208" s="30">
        <v>21.7</v>
      </c>
      <c r="C208" s="30" t="s">
        <v>23</v>
      </c>
      <c r="D208" s="64" t="s">
        <v>592</v>
      </c>
      <c r="E208" s="39">
        <v>6.5000000000000002E-2</v>
      </c>
      <c r="F208" s="28" t="s">
        <v>759</v>
      </c>
      <c r="G208" s="28" t="s">
        <v>760</v>
      </c>
      <c r="H208" s="28" t="s">
        <v>761</v>
      </c>
      <c r="I208" s="125" t="s">
        <v>2319</v>
      </c>
      <c r="J208" s="148" t="str">
        <f t="shared" si="42"/>
        <v>https://doi.org/10.1109/ISSCC.2010.5433972</v>
      </c>
      <c r="K208" s="28" t="s">
        <v>1050</v>
      </c>
      <c r="L208" s="60"/>
      <c r="M208" s="60"/>
      <c r="N208" s="60"/>
      <c r="O208" s="56" t="s">
        <v>1050</v>
      </c>
      <c r="P208" s="28">
        <v>16</v>
      </c>
      <c r="Q208" s="68">
        <f>5.5*6.02+1.76</f>
        <v>34.869999999999997</v>
      </c>
      <c r="R208" s="63">
        <v>18000000000</v>
      </c>
      <c r="S208" s="60">
        <f>3.9*6.02+1.76</f>
        <v>25.238</v>
      </c>
      <c r="T208" s="60"/>
      <c r="U208" s="60"/>
      <c r="V208" s="60"/>
      <c r="W208" s="60">
        <v>35</v>
      </c>
      <c r="X208" s="29">
        <f t="shared" si="43"/>
        <v>25.238</v>
      </c>
      <c r="Y208" s="63">
        <v>1.5</v>
      </c>
      <c r="Z208" s="63">
        <v>40000000000</v>
      </c>
      <c r="AA208" s="64">
        <v>1</v>
      </c>
      <c r="AB208" s="63">
        <f t="shared" si="38"/>
        <v>40000000000</v>
      </c>
      <c r="AC208" s="63" t="s">
        <v>2096</v>
      </c>
      <c r="AD208" s="65">
        <f t="shared" si="39"/>
        <v>37.5</v>
      </c>
      <c r="AE208" s="29">
        <f t="shared" si="44"/>
        <v>828.64075920298535</v>
      </c>
      <c r="AF208" s="29">
        <f t="shared" si="40"/>
        <v>2511.9690528194374</v>
      </c>
      <c r="AG208" s="54">
        <f t="shared" si="45"/>
        <v>136.119387366083</v>
      </c>
      <c r="AH208" s="54">
        <f t="shared" si="41"/>
        <v>126.487387366083</v>
      </c>
      <c r="AI208" s="66">
        <f t="shared" si="46"/>
        <v>6.2799226320485932E-8</v>
      </c>
      <c r="AJ208" s="67">
        <f t="shared" si="47"/>
        <v>232.50798727936262</v>
      </c>
    </row>
    <row r="209" spans="1:36" x14ac:dyDescent="0.3">
      <c r="A209" s="59">
        <v>2011</v>
      </c>
      <c r="B209" s="30">
        <v>10.1</v>
      </c>
      <c r="C209" s="30" t="s">
        <v>23</v>
      </c>
      <c r="D209" s="64" t="s">
        <v>592</v>
      </c>
      <c r="E209" s="39">
        <v>6.5000000000000002E-2</v>
      </c>
      <c r="F209" s="126" t="s">
        <v>835</v>
      </c>
      <c r="G209" s="128" t="s">
        <v>836</v>
      </c>
      <c r="H209" s="71" t="s">
        <v>837</v>
      </c>
      <c r="I209" s="125" t="s">
        <v>2320</v>
      </c>
      <c r="J209" s="148" t="str">
        <f t="shared" si="42"/>
        <v>https://doi.org/10.1109/ISSCC.2011.5746272</v>
      </c>
      <c r="K209" s="69" t="s">
        <v>1050</v>
      </c>
      <c r="L209" s="60"/>
      <c r="M209" s="60"/>
      <c r="N209" s="60"/>
      <c r="O209" s="56" t="s">
        <v>1050</v>
      </c>
      <c r="P209" s="28">
        <v>5.0999999999999996</v>
      </c>
      <c r="Q209" s="68"/>
      <c r="R209" s="63">
        <f t="shared" ref="R209:R222" si="49">AB209/2</f>
        <v>1300000000</v>
      </c>
      <c r="S209" s="60">
        <v>48.5</v>
      </c>
      <c r="T209" s="60">
        <v>52</v>
      </c>
      <c r="U209" s="60"/>
      <c r="V209" s="28">
        <v>58</v>
      </c>
      <c r="W209" s="60">
        <v>53.8</v>
      </c>
      <c r="X209" s="29">
        <f t="shared" si="43"/>
        <v>48.5</v>
      </c>
      <c r="Y209" s="63">
        <v>0.48</v>
      </c>
      <c r="Z209" s="63">
        <v>2600000000</v>
      </c>
      <c r="AA209" s="30">
        <v>1</v>
      </c>
      <c r="AB209" s="63">
        <f t="shared" si="38"/>
        <v>2600000000</v>
      </c>
      <c r="AC209" s="63" t="s">
        <v>2096</v>
      </c>
      <c r="AD209" s="65">
        <f t="shared" si="39"/>
        <v>184.61538461538461</v>
      </c>
      <c r="AE209" s="29" t="str">
        <f t="shared" si="44"/>
        <v/>
      </c>
      <c r="AF209" s="29">
        <f t="shared" si="40"/>
        <v>849.24891264189409</v>
      </c>
      <c r="AG209" s="54" t="str">
        <f t="shared" si="45"/>
        <v/>
      </c>
      <c r="AH209" s="54">
        <f t="shared" si="41"/>
        <v>142.82702114931249</v>
      </c>
      <c r="AI209" s="66">
        <f t="shared" si="46"/>
        <v>3.2663419716995926E-7</v>
      </c>
      <c r="AJ209" s="67">
        <f t="shared" si="47"/>
        <v>236.97675462902066</v>
      </c>
    </row>
    <row r="210" spans="1:36" x14ac:dyDescent="0.3">
      <c r="A210" s="64">
        <v>2011</v>
      </c>
      <c r="B210" s="30">
        <v>10.199999999999999</v>
      </c>
      <c r="C210" s="30" t="s">
        <v>23</v>
      </c>
      <c r="D210" s="64" t="s">
        <v>260</v>
      </c>
      <c r="E210" s="38" t="s">
        <v>727</v>
      </c>
      <c r="F210" s="126" t="s">
        <v>838</v>
      </c>
      <c r="G210" s="71" t="s">
        <v>842</v>
      </c>
      <c r="H210" s="71" t="s">
        <v>839</v>
      </c>
      <c r="I210" s="125" t="s">
        <v>2321</v>
      </c>
      <c r="J210" s="148" t="str">
        <f t="shared" si="42"/>
        <v>https://doi.org/10.1109/ISSCC.2011.5746273</v>
      </c>
      <c r="K210" s="69" t="s">
        <v>1050</v>
      </c>
      <c r="L210" s="60"/>
      <c r="M210" s="60"/>
      <c r="N210" s="60"/>
      <c r="O210" s="56" t="s">
        <v>1050</v>
      </c>
      <c r="P210" s="28">
        <v>2.35</v>
      </c>
      <c r="Q210" s="68"/>
      <c r="R210" s="63">
        <f t="shared" si="49"/>
        <v>500000000</v>
      </c>
      <c r="S210" s="60"/>
      <c r="T210" s="60">
        <v>59</v>
      </c>
      <c r="U210" s="60"/>
      <c r="V210" s="28"/>
      <c r="W210" s="60">
        <v>67</v>
      </c>
      <c r="X210" s="29">
        <f t="shared" si="43"/>
        <v>59</v>
      </c>
      <c r="Y210" s="63">
        <v>0.57499999999999996</v>
      </c>
      <c r="Z210" s="63">
        <v>1000000000</v>
      </c>
      <c r="AA210" s="30">
        <v>1</v>
      </c>
      <c r="AB210" s="63">
        <f t="shared" si="38"/>
        <v>1000000000</v>
      </c>
      <c r="AC210" s="63" t="s">
        <v>2096</v>
      </c>
      <c r="AD210" s="65">
        <f t="shared" si="39"/>
        <v>575</v>
      </c>
      <c r="AE210" s="29" t="str">
        <f t="shared" si="44"/>
        <v/>
      </c>
      <c r="AF210" s="29">
        <f t="shared" si="40"/>
        <v>789.5554519910321</v>
      </c>
      <c r="AG210" s="54" t="str">
        <f t="shared" si="45"/>
        <v/>
      </c>
      <c r="AH210" s="54">
        <f t="shared" si="41"/>
        <v>148.39302159646388</v>
      </c>
      <c r="AI210" s="66">
        <f t="shared" si="46"/>
        <v>7.8955545199103215E-7</v>
      </c>
      <c r="AJ210" s="67">
        <f t="shared" si="47"/>
        <v>238.39302159646388</v>
      </c>
    </row>
    <row r="211" spans="1:36" x14ac:dyDescent="0.3">
      <c r="A211" s="64">
        <v>2011</v>
      </c>
      <c r="B211" s="30">
        <v>10.3</v>
      </c>
      <c r="C211" s="30" t="s">
        <v>23</v>
      </c>
      <c r="D211" s="64" t="s">
        <v>260</v>
      </c>
      <c r="E211" s="39">
        <v>0.04</v>
      </c>
      <c r="F211" s="129" t="s">
        <v>840</v>
      </c>
      <c r="G211" s="71" t="s">
        <v>2048</v>
      </c>
      <c r="H211" s="71" t="s">
        <v>841</v>
      </c>
      <c r="I211" s="125" t="s">
        <v>2322</v>
      </c>
      <c r="J211" s="148" t="str">
        <f t="shared" si="42"/>
        <v>https://doi.org/10.1109/ISSCC.2011.5746274</v>
      </c>
      <c r="K211" s="69" t="s">
        <v>861</v>
      </c>
      <c r="L211" s="60"/>
      <c r="M211" s="60"/>
      <c r="N211" s="60"/>
      <c r="O211" s="56" t="s">
        <v>1050</v>
      </c>
      <c r="P211" s="28">
        <v>0.88</v>
      </c>
      <c r="Q211" s="68"/>
      <c r="R211" s="63">
        <f t="shared" si="49"/>
        <v>400000000</v>
      </c>
      <c r="S211" s="60">
        <v>59</v>
      </c>
      <c r="T211" s="60"/>
      <c r="U211" s="60"/>
      <c r="V211" s="28"/>
      <c r="W211" s="60">
        <v>70</v>
      </c>
      <c r="X211" s="29">
        <f t="shared" si="43"/>
        <v>59</v>
      </c>
      <c r="Y211" s="63">
        <v>0.105</v>
      </c>
      <c r="Z211" s="63">
        <v>800000000</v>
      </c>
      <c r="AA211" s="30">
        <v>1</v>
      </c>
      <c r="AB211" s="63">
        <f t="shared" si="38"/>
        <v>800000000</v>
      </c>
      <c r="AC211" s="63" t="s">
        <v>2096</v>
      </c>
      <c r="AD211" s="65">
        <f t="shared" si="39"/>
        <v>131.25</v>
      </c>
      <c r="AE211" s="29" t="str">
        <f t="shared" si="44"/>
        <v/>
      </c>
      <c r="AF211" s="29">
        <f t="shared" si="40"/>
        <v>180.22461404143124</v>
      </c>
      <c r="AG211" s="54" t="str">
        <f t="shared" si="45"/>
        <v/>
      </c>
      <c r="AH211" s="54">
        <f t="shared" si="41"/>
        <v>154.80870692258026</v>
      </c>
      <c r="AI211" s="66">
        <f t="shared" si="46"/>
        <v>2.2528076755178904E-7</v>
      </c>
      <c r="AJ211" s="67">
        <f t="shared" si="47"/>
        <v>243.83960679249969</v>
      </c>
    </row>
    <row r="212" spans="1:36" x14ac:dyDescent="0.3">
      <c r="A212" s="64">
        <v>2011</v>
      </c>
      <c r="B212" s="30">
        <v>10.4</v>
      </c>
      <c r="C212" s="30" t="s">
        <v>23</v>
      </c>
      <c r="D212" s="64" t="s">
        <v>26</v>
      </c>
      <c r="E212" s="39">
        <v>0.18</v>
      </c>
      <c r="F212" s="126" t="s">
        <v>843</v>
      </c>
      <c r="G212" s="71" t="s">
        <v>845</v>
      </c>
      <c r="H212" s="71" t="s">
        <v>844</v>
      </c>
      <c r="I212" s="125" t="s">
        <v>2323</v>
      </c>
      <c r="J212" s="148" t="str">
        <f t="shared" si="42"/>
        <v>https://doi.org/10.1109/ISSCC.2011.5746275</v>
      </c>
      <c r="K212" s="69" t="s">
        <v>1050</v>
      </c>
      <c r="L212" s="60"/>
      <c r="M212" s="60"/>
      <c r="N212" s="60"/>
      <c r="O212" s="56" t="s">
        <v>1050</v>
      </c>
      <c r="P212" s="28">
        <v>9.9</v>
      </c>
      <c r="Q212" s="68"/>
      <c r="R212" s="63">
        <f t="shared" si="49"/>
        <v>40000000</v>
      </c>
      <c r="S212" s="60">
        <v>75</v>
      </c>
      <c r="T212" s="60">
        <v>77</v>
      </c>
      <c r="U212" s="60"/>
      <c r="V212" s="28"/>
      <c r="W212" s="60">
        <v>89</v>
      </c>
      <c r="X212" s="29">
        <f t="shared" si="43"/>
        <v>75</v>
      </c>
      <c r="Y212" s="63">
        <v>0.1</v>
      </c>
      <c r="Z212" s="63">
        <v>80000000</v>
      </c>
      <c r="AA212" s="30">
        <v>1</v>
      </c>
      <c r="AB212" s="63">
        <f t="shared" si="38"/>
        <v>80000000</v>
      </c>
      <c r="AC212" s="63" t="s">
        <v>2096</v>
      </c>
      <c r="AD212" s="65">
        <f t="shared" si="39"/>
        <v>1250</v>
      </c>
      <c r="AE212" s="29" t="str">
        <f t="shared" si="44"/>
        <v/>
      </c>
      <c r="AF212" s="29">
        <f t="shared" si="40"/>
        <v>271.98508082711567</v>
      </c>
      <c r="AG212" s="54" t="str">
        <f t="shared" si="45"/>
        <v/>
      </c>
      <c r="AH212" s="54">
        <f t="shared" si="41"/>
        <v>161.02059991327963</v>
      </c>
      <c r="AI212" s="66">
        <f t="shared" si="46"/>
        <v>3.3998135103389459E-6</v>
      </c>
      <c r="AJ212" s="67">
        <f t="shared" si="47"/>
        <v>240.05149978319906</v>
      </c>
    </row>
    <row r="213" spans="1:36" x14ac:dyDescent="0.3">
      <c r="A213" s="64">
        <v>2011</v>
      </c>
      <c r="B213" s="30">
        <v>10.5</v>
      </c>
      <c r="C213" s="30" t="s">
        <v>23</v>
      </c>
      <c r="D213" s="64" t="s">
        <v>31</v>
      </c>
      <c r="E213" s="39">
        <v>6.5000000000000002E-2</v>
      </c>
      <c r="F213" s="126" t="s">
        <v>2049</v>
      </c>
      <c r="G213" s="71" t="s">
        <v>2050</v>
      </c>
      <c r="H213" s="71" t="s">
        <v>846</v>
      </c>
      <c r="I213" s="125" t="s">
        <v>2324</v>
      </c>
      <c r="J213" s="148" t="str">
        <f t="shared" si="42"/>
        <v>https://doi.org/10.1109/ISSCC.2011.5746276</v>
      </c>
      <c r="K213" s="69" t="s">
        <v>862</v>
      </c>
      <c r="L213" s="60">
        <v>1</v>
      </c>
      <c r="M213" s="60"/>
      <c r="N213" s="60"/>
      <c r="O213" s="56" t="s">
        <v>1050</v>
      </c>
      <c r="P213" s="28">
        <v>2.4E-2</v>
      </c>
      <c r="Q213" s="68"/>
      <c r="R213" s="63">
        <f t="shared" si="49"/>
        <v>200000000</v>
      </c>
      <c r="S213" s="60">
        <v>40.4</v>
      </c>
      <c r="T213" s="60"/>
      <c r="U213" s="60"/>
      <c r="V213" s="28"/>
      <c r="W213" s="60">
        <v>53</v>
      </c>
      <c r="X213" s="29">
        <f t="shared" si="43"/>
        <v>40.4</v>
      </c>
      <c r="Y213" s="63">
        <v>4.0000000000000001E-3</v>
      </c>
      <c r="Z213" s="63">
        <v>400000000</v>
      </c>
      <c r="AA213" s="30">
        <v>1</v>
      </c>
      <c r="AB213" s="63">
        <f t="shared" si="38"/>
        <v>400000000</v>
      </c>
      <c r="AC213" s="63" t="s">
        <v>2096</v>
      </c>
      <c r="AD213" s="65">
        <f t="shared" si="39"/>
        <v>10.000000000000002</v>
      </c>
      <c r="AE213" s="29" t="str">
        <f t="shared" si="44"/>
        <v/>
      </c>
      <c r="AF213" s="29">
        <f t="shared" si="40"/>
        <v>116.89810464736294</v>
      </c>
      <c r="AG213" s="54" t="str">
        <f t="shared" si="45"/>
        <v/>
      </c>
      <c r="AH213" s="54">
        <f t="shared" si="41"/>
        <v>147.38970004336019</v>
      </c>
      <c r="AI213" s="66">
        <f t="shared" si="46"/>
        <v>2.9224526161840737E-7</v>
      </c>
      <c r="AJ213" s="67">
        <f t="shared" si="47"/>
        <v>233.41029995663982</v>
      </c>
    </row>
    <row r="214" spans="1:36" x14ac:dyDescent="0.3">
      <c r="A214" s="64">
        <v>2011</v>
      </c>
      <c r="B214" s="30">
        <v>10.6</v>
      </c>
      <c r="C214" s="30" t="s">
        <v>23</v>
      </c>
      <c r="D214" s="64" t="s">
        <v>31</v>
      </c>
      <c r="E214" s="39">
        <v>6.5000000000000002E-2</v>
      </c>
      <c r="F214" s="126" t="s">
        <v>847</v>
      </c>
      <c r="G214" s="71" t="s">
        <v>849</v>
      </c>
      <c r="H214" s="71" t="s">
        <v>848</v>
      </c>
      <c r="I214" s="125" t="s">
        <v>2325</v>
      </c>
      <c r="J214" s="148" t="str">
        <f t="shared" si="42"/>
        <v>https://doi.org/10.1109/ISSCC.2011.5746277</v>
      </c>
      <c r="K214" s="69" t="s">
        <v>863</v>
      </c>
      <c r="L214" s="60"/>
      <c r="M214" s="60"/>
      <c r="N214" s="60"/>
      <c r="O214" s="56" t="s">
        <v>1050</v>
      </c>
      <c r="P214" s="28">
        <v>0.21199999999999999</v>
      </c>
      <c r="Q214" s="68"/>
      <c r="R214" s="63">
        <f t="shared" si="49"/>
        <v>10000</v>
      </c>
      <c r="S214" s="60">
        <v>55</v>
      </c>
      <c r="T214" s="60"/>
      <c r="U214" s="60"/>
      <c r="V214" s="28"/>
      <c r="W214" s="60">
        <v>68.8</v>
      </c>
      <c r="X214" s="29">
        <f t="shared" si="43"/>
        <v>55</v>
      </c>
      <c r="Y214" s="63">
        <v>2.0599999999999999E-7</v>
      </c>
      <c r="Z214" s="63">
        <v>20000</v>
      </c>
      <c r="AA214" s="30">
        <v>1</v>
      </c>
      <c r="AB214" s="63">
        <f t="shared" si="38"/>
        <v>20000</v>
      </c>
      <c r="AC214" s="63" t="s">
        <v>2096</v>
      </c>
      <c r="AD214" s="65">
        <f t="shared" si="39"/>
        <v>10.299999999999999</v>
      </c>
      <c r="AE214" s="29" t="str">
        <f t="shared" si="44"/>
        <v/>
      </c>
      <c r="AF214" s="29">
        <f t="shared" si="40"/>
        <v>22.416713817307024</v>
      </c>
      <c r="AG214" s="54" t="str">
        <f t="shared" si="45"/>
        <v/>
      </c>
      <c r="AH214" s="54">
        <f t="shared" si="41"/>
        <v>161.86132779630844</v>
      </c>
      <c r="AI214" s="66">
        <f t="shared" si="46"/>
        <v>1.1208356908653512E-3</v>
      </c>
      <c r="AJ214" s="67">
        <f t="shared" si="47"/>
        <v>204.87162775294826</v>
      </c>
    </row>
    <row r="215" spans="1:36" x14ac:dyDescent="0.3">
      <c r="A215" s="64">
        <v>2011</v>
      </c>
      <c r="B215" s="30">
        <v>27.1</v>
      </c>
      <c r="C215" s="30" t="s">
        <v>22</v>
      </c>
      <c r="D215" s="64" t="s">
        <v>30</v>
      </c>
      <c r="E215" s="39">
        <v>4.4999999999999998E-2</v>
      </c>
      <c r="F215" s="126" t="s">
        <v>2090</v>
      </c>
      <c r="G215" s="71" t="s">
        <v>2051</v>
      </c>
      <c r="H215" s="71" t="s">
        <v>850</v>
      </c>
      <c r="I215" s="125" t="s">
        <v>2797</v>
      </c>
      <c r="J215" s="148" t="str">
        <f t="shared" si="42"/>
        <v>https://doi.org/10.1109/ISSCC.2011.5746401</v>
      </c>
      <c r="K215" s="69" t="s">
        <v>1050</v>
      </c>
      <c r="L215" s="60"/>
      <c r="M215" s="60"/>
      <c r="N215" s="60"/>
      <c r="O215" s="56" t="s">
        <v>1050</v>
      </c>
      <c r="P215" s="28">
        <v>0.9</v>
      </c>
      <c r="Q215" s="68"/>
      <c r="R215" s="63">
        <f t="shared" si="49"/>
        <v>125000000</v>
      </c>
      <c r="S215" s="60">
        <v>65</v>
      </c>
      <c r="T215" s="60">
        <v>65.5</v>
      </c>
      <c r="U215" s="60">
        <v>70</v>
      </c>
      <c r="V215" s="28">
        <v>74</v>
      </c>
      <c r="W215" s="60"/>
      <c r="X215" s="29">
        <f t="shared" si="43"/>
        <v>65</v>
      </c>
      <c r="Y215" s="63">
        <v>0.25600000000000001</v>
      </c>
      <c r="Z215" s="63">
        <v>4000000000</v>
      </c>
      <c r="AA215" s="64">
        <f>Z215/AB215</f>
        <v>16</v>
      </c>
      <c r="AB215" s="63">
        <v>250000000</v>
      </c>
      <c r="AC215" s="63" t="s">
        <v>2096</v>
      </c>
      <c r="AD215" s="65">
        <f t="shared" si="39"/>
        <v>1024</v>
      </c>
      <c r="AE215" s="29" t="str">
        <f t="shared" si="44"/>
        <v/>
      </c>
      <c r="AF215" s="29">
        <f t="shared" si="40"/>
        <v>704.66849112858279</v>
      </c>
      <c r="AG215" s="54" t="str">
        <f t="shared" si="45"/>
        <v/>
      </c>
      <c r="AH215" s="54">
        <f t="shared" si="41"/>
        <v>151.88670047696206</v>
      </c>
      <c r="AI215" s="66">
        <f t="shared" si="46"/>
        <v>2.8186739645143313E-6</v>
      </c>
      <c r="AJ215" s="67">
        <f t="shared" si="47"/>
        <v>235.86610056368244</v>
      </c>
    </row>
    <row r="216" spans="1:36" x14ac:dyDescent="0.3">
      <c r="A216" s="64">
        <v>2011</v>
      </c>
      <c r="B216" s="30">
        <v>27.2</v>
      </c>
      <c r="C216" s="30" t="s">
        <v>22</v>
      </c>
      <c r="D216" s="64" t="s">
        <v>30</v>
      </c>
      <c r="E216" s="39">
        <v>0.09</v>
      </c>
      <c r="F216" s="126" t="s">
        <v>2091</v>
      </c>
      <c r="G216" s="71" t="s">
        <v>2052</v>
      </c>
      <c r="H216" s="71" t="s">
        <v>851</v>
      </c>
      <c r="I216" s="125" t="s">
        <v>2326</v>
      </c>
      <c r="J216" s="148" t="str">
        <f t="shared" si="42"/>
        <v>https://doi.org/10.1109/ISSCC.2011.5746402</v>
      </c>
      <c r="K216" s="69" t="s">
        <v>1050</v>
      </c>
      <c r="L216" s="60"/>
      <c r="M216" s="60"/>
      <c r="N216" s="60"/>
      <c r="O216" s="56" t="s">
        <v>1050</v>
      </c>
      <c r="P216" s="28">
        <v>0.15</v>
      </c>
      <c r="Q216" s="68"/>
      <c r="R216" s="63">
        <f t="shared" si="49"/>
        <v>25000000</v>
      </c>
      <c r="S216" s="60">
        <v>63.5</v>
      </c>
      <c r="T216" s="60"/>
      <c r="U216" s="60">
        <v>70</v>
      </c>
      <c r="V216" s="28"/>
      <c r="W216" s="60">
        <v>81</v>
      </c>
      <c r="X216" s="29">
        <f t="shared" si="43"/>
        <v>63.5</v>
      </c>
      <c r="Y216" s="63">
        <v>8.0000000000000002E-3</v>
      </c>
      <c r="Z216" s="63">
        <f>AA216*AB216</f>
        <v>500000000</v>
      </c>
      <c r="AA216" s="30">
        <v>10</v>
      </c>
      <c r="AB216" s="63">
        <v>50000000</v>
      </c>
      <c r="AC216" s="63" t="s">
        <v>2096</v>
      </c>
      <c r="AD216" s="65">
        <f t="shared" si="39"/>
        <v>160.00000000000003</v>
      </c>
      <c r="AE216" s="29" t="str">
        <f t="shared" si="44"/>
        <v/>
      </c>
      <c r="AF216" s="29">
        <f t="shared" si="40"/>
        <v>130.86163818987396</v>
      </c>
      <c r="AG216" s="54" t="str">
        <f t="shared" si="45"/>
        <v/>
      </c>
      <c r="AH216" s="54">
        <f t="shared" si="41"/>
        <v>158.44850021680094</v>
      </c>
      <c r="AI216" s="66">
        <f t="shared" si="46"/>
        <v>2.617232763797479E-6</v>
      </c>
      <c r="AJ216" s="67">
        <f t="shared" si="47"/>
        <v>235.43820026016112</v>
      </c>
    </row>
    <row r="217" spans="1:36" x14ac:dyDescent="0.3">
      <c r="A217" s="64">
        <v>2011</v>
      </c>
      <c r="B217" s="30">
        <v>27.3</v>
      </c>
      <c r="C217" s="30" t="s">
        <v>22</v>
      </c>
      <c r="D217" s="64" t="s">
        <v>25</v>
      </c>
      <c r="E217" s="39">
        <v>0.18</v>
      </c>
      <c r="F217" s="126" t="s">
        <v>2092</v>
      </c>
      <c r="G217" s="71" t="s">
        <v>853</v>
      </c>
      <c r="H217" s="71" t="s">
        <v>852</v>
      </c>
      <c r="I217" s="125" t="s">
        <v>2327</v>
      </c>
      <c r="J217" s="148" t="str">
        <f t="shared" si="42"/>
        <v>https://doi.org/10.1109/ISSCC.2011.5746403</v>
      </c>
      <c r="K217" s="69" t="s">
        <v>1050</v>
      </c>
      <c r="L217" s="60"/>
      <c r="M217" s="60"/>
      <c r="N217" s="60"/>
      <c r="O217" s="56" t="s">
        <v>1050</v>
      </c>
      <c r="P217" s="28">
        <v>0.44</v>
      </c>
      <c r="Q217" s="68"/>
      <c r="R217" s="63">
        <f t="shared" si="49"/>
        <v>1041666.6666666666</v>
      </c>
      <c r="S217" s="60">
        <v>78.2</v>
      </c>
      <c r="T217" s="60">
        <v>79.3</v>
      </c>
      <c r="U217" s="60"/>
      <c r="V217" s="28"/>
      <c r="W217" s="60">
        <v>86.3</v>
      </c>
      <c r="X217" s="29">
        <f t="shared" si="43"/>
        <v>78.2</v>
      </c>
      <c r="Y217" s="63">
        <f>0.0029</f>
        <v>2.8999999999999998E-3</v>
      </c>
      <c r="Z217" s="63">
        <v>50000000</v>
      </c>
      <c r="AA217" s="30">
        <v>24</v>
      </c>
      <c r="AB217" s="63">
        <f>Z217/AA217</f>
        <v>2083333.3333333333</v>
      </c>
      <c r="AC217" s="63" t="s">
        <v>2096</v>
      </c>
      <c r="AD217" s="65">
        <f t="shared" si="39"/>
        <v>1392</v>
      </c>
      <c r="AE217" s="29" t="str">
        <f t="shared" si="44"/>
        <v/>
      </c>
      <c r="AF217" s="29">
        <f t="shared" si="40"/>
        <v>209.53586058399671</v>
      </c>
      <c r="AG217" s="54" t="str">
        <f t="shared" si="45"/>
        <v/>
      </c>
      <c r="AH217" s="54">
        <f t="shared" si="41"/>
        <v>163.75330769061475</v>
      </c>
      <c r="AI217" s="66">
        <f t="shared" si="46"/>
        <v>1.0057721308031843E-4</v>
      </c>
      <c r="AJ217" s="67">
        <f t="shared" si="47"/>
        <v>226.94089531685887</v>
      </c>
    </row>
    <row r="218" spans="1:36" x14ac:dyDescent="0.3">
      <c r="A218" s="64">
        <v>2011</v>
      </c>
      <c r="B218" s="30">
        <v>27.4</v>
      </c>
      <c r="C218" s="30" t="s">
        <v>22</v>
      </c>
      <c r="D218" s="64" t="s">
        <v>25</v>
      </c>
      <c r="E218" s="39">
        <v>0.13</v>
      </c>
      <c r="F218" s="126" t="s">
        <v>854</v>
      </c>
      <c r="G218" s="71" t="s">
        <v>855</v>
      </c>
      <c r="H218" s="71" t="s">
        <v>856</v>
      </c>
      <c r="I218" s="125" t="s">
        <v>2328</v>
      </c>
      <c r="J218" s="148" t="str">
        <f t="shared" si="42"/>
        <v>https://doi.org/10.1109/ISSCC.2011.5746404</v>
      </c>
      <c r="K218" s="69" t="s">
        <v>1050</v>
      </c>
      <c r="L218" s="60">
        <v>0.25</v>
      </c>
      <c r="M218" s="60"/>
      <c r="N218" s="60"/>
      <c r="O218" s="56" t="s">
        <v>1050</v>
      </c>
      <c r="P218" s="28">
        <v>0.33750000000000002</v>
      </c>
      <c r="Q218" s="68"/>
      <c r="R218" s="63">
        <f t="shared" si="49"/>
        <v>10000</v>
      </c>
      <c r="S218" s="60">
        <v>61</v>
      </c>
      <c r="T218" s="60">
        <v>64</v>
      </c>
      <c r="U218" s="60"/>
      <c r="V218" s="28"/>
      <c r="W218" s="60"/>
      <c r="X218" s="29">
        <f t="shared" si="43"/>
        <v>61</v>
      </c>
      <c r="Y218" s="63">
        <v>7.5000000000000002E-6</v>
      </c>
      <c r="Z218" s="63">
        <v>1400000</v>
      </c>
      <c r="AA218" s="30">
        <v>70</v>
      </c>
      <c r="AB218" s="63">
        <f>Z218/AA218</f>
        <v>20000</v>
      </c>
      <c r="AC218" s="63" t="s">
        <v>2096</v>
      </c>
      <c r="AD218" s="65">
        <f t="shared" si="39"/>
        <v>375</v>
      </c>
      <c r="AE218" s="29" t="str">
        <f t="shared" si="44"/>
        <v/>
      </c>
      <c r="AF218" s="29">
        <f t="shared" si="40"/>
        <v>409.01204190264815</v>
      </c>
      <c r="AG218" s="54" t="str">
        <f t="shared" si="45"/>
        <v/>
      </c>
      <c r="AH218" s="54">
        <f t="shared" si="41"/>
        <v>152.249387366083</v>
      </c>
      <c r="AI218" s="66">
        <f t="shared" si="46"/>
        <v>2.0450602095132407E-2</v>
      </c>
      <c r="AJ218" s="67">
        <f t="shared" si="47"/>
        <v>195.25968732272281</v>
      </c>
    </row>
    <row r="219" spans="1:36" x14ac:dyDescent="0.3">
      <c r="A219" s="64">
        <v>2011</v>
      </c>
      <c r="B219" s="30">
        <v>27.5</v>
      </c>
      <c r="C219" s="30" t="s">
        <v>22</v>
      </c>
      <c r="D219" s="64" t="s">
        <v>25</v>
      </c>
      <c r="E219" s="39">
        <v>0.18</v>
      </c>
      <c r="F219" s="126" t="s">
        <v>857</v>
      </c>
      <c r="G219" s="71" t="s">
        <v>859</v>
      </c>
      <c r="H219" s="71" t="s">
        <v>858</v>
      </c>
      <c r="I219" s="125" t="s">
        <v>2329</v>
      </c>
      <c r="J219" s="148" t="str">
        <f t="shared" si="42"/>
        <v>https://doi.org/10.1109/ISSCC.2011.5746405</v>
      </c>
      <c r="K219" s="69" t="s">
        <v>860</v>
      </c>
      <c r="L219" s="60"/>
      <c r="M219" s="60"/>
      <c r="N219" s="60"/>
      <c r="O219" s="56" t="s">
        <v>1050</v>
      </c>
      <c r="P219" s="28">
        <v>0.49199999999999999</v>
      </c>
      <c r="Q219" s="68"/>
      <c r="R219" s="63">
        <f>AB219/2</f>
        <v>50000</v>
      </c>
      <c r="S219" s="60">
        <v>84</v>
      </c>
      <c r="T219" s="60"/>
      <c r="U219" s="60">
        <v>88</v>
      </c>
      <c r="V219" s="28"/>
      <c r="W219" s="60"/>
      <c r="X219" s="29">
        <f t="shared" si="43"/>
        <v>84</v>
      </c>
      <c r="Y219" s="63">
        <v>1.3999999999999999E-4</v>
      </c>
      <c r="Z219" s="63">
        <f>AA219*AB219</f>
        <v>1600000</v>
      </c>
      <c r="AA219" s="30">
        <v>16</v>
      </c>
      <c r="AB219" s="63">
        <v>100000</v>
      </c>
      <c r="AC219" s="63" t="s">
        <v>2096</v>
      </c>
      <c r="AD219" s="65">
        <f t="shared" si="39"/>
        <v>1400</v>
      </c>
      <c r="AE219" s="29" t="str">
        <f t="shared" si="44"/>
        <v/>
      </c>
      <c r="AF219" s="29">
        <f t="shared" si="40"/>
        <v>108.07326223657691</v>
      </c>
      <c r="AG219" s="54" t="str">
        <f t="shared" si="45"/>
        <v/>
      </c>
      <c r="AH219" s="54">
        <f t="shared" si="41"/>
        <v>169.52841968657782</v>
      </c>
      <c r="AI219" s="66">
        <f t="shared" si="46"/>
        <v>1.080732622365769E-3</v>
      </c>
      <c r="AJ219" s="67">
        <f t="shared" si="47"/>
        <v>219.52841968657782</v>
      </c>
    </row>
    <row r="220" spans="1:36" x14ac:dyDescent="0.3">
      <c r="A220" s="59">
        <v>2012</v>
      </c>
      <c r="B220" s="30">
        <v>8.1</v>
      </c>
      <c r="C220" s="61" t="s">
        <v>22</v>
      </c>
      <c r="D220" s="61" t="s">
        <v>1955</v>
      </c>
      <c r="E220" s="39">
        <v>0.04</v>
      </c>
      <c r="F220" s="81" t="s">
        <v>2053</v>
      </c>
      <c r="G220" s="81" t="s">
        <v>2054</v>
      </c>
      <c r="H220" s="28" t="s">
        <v>941</v>
      </c>
      <c r="I220" s="125" t="s">
        <v>2330</v>
      </c>
      <c r="J220" s="148" t="str">
        <f t="shared" si="42"/>
        <v>https://doi.org/10.1109/ISSCC.2012.6176901</v>
      </c>
      <c r="K220" s="28" t="s">
        <v>935</v>
      </c>
      <c r="L220" s="60"/>
      <c r="M220" s="60"/>
      <c r="N220" s="60"/>
      <c r="O220" s="56" t="s">
        <v>1050</v>
      </c>
      <c r="P220" s="28">
        <v>0.4</v>
      </c>
      <c r="Q220" s="68"/>
      <c r="R220" s="63">
        <f t="shared" si="49"/>
        <v>20000000</v>
      </c>
      <c r="S220" s="60">
        <v>70</v>
      </c>
      <c r="T220" s="60"/>
      <c r="U220" s="60"/>
      <c r="V220" s="60"/>
      <c r="W220" s="60"/>
      <c r="X220" s="29">
        <f t="shared" si="43"/>
        <v>70</v>
      </c>
      <c r="Y220" s="63">
        <v>0.02</v>
      </c>
      <c r="Z220" s="63">
        <v>3200000000</v>
      </c>
      <c r="AA220" s="64">
        <v>80</v>
      </c>
      <c r="AB220" s="63">
        <f t="shared" ref="AB220:AB265" si="50">Z220/AA220</f>
        <v>40000000</v>
      </c>
      <c r="AC220" s="63">
        <v>750000000</v>
      </c>
      <c r="AD220" s="65">
        <f t="shared" si="39"/>
        <v>500.00000000000006</v>
      </c>
      <c r="AE220" s="29" t="str">
        <f t="shared" si="44"/>
        <v/>
      </c>
      <c r="AF220" s="29">
        <f t="shared" si="40"/>
        <v>193.47728615270947</v>
      </c>
      <c r="AG220" s="54" t="str">
        <f t="shared" si="45"/>
        <v/>
      </c>
      <c r="AH220" s="54">
        <f t="shared" si="41"/>
        <v>160</v>
      </c>
      <c r="AI220" s="66">
        <f t="shared" si="46"/>
        <v>4.8369321538177369E-6</v>
      </c>
      <c r="AJ220" s="67">
        <f t="shared" si="47"/>
        <v>236.02059991327963</v>
      </c>
    </row>
    <row r="221" spans="1:36" x14ac:dyDescent="0.3">
      <c r="A221" s="64">
        <v>2012</v>
      </c>
      <c r="B221" s="30">
        <v>8.1999999999999993</v>
      </c>
      <c r="C221" s="61" t="s">
        <v>22</v>
      </c>
      <c r="D221" s="61" t="s">
        <v>1955</v>
      </c>
      <c r="E221" s="39">
        <v>6.5000000000000002E-2</v>
      </c>
      <c r="F221" s="81" t="s">
        <v>2055</v>
      </c>
      <c r="G221" s="81" t="s">
        <v>2056</v>
      </c>
      <c r="H221" s="28" t="s">
        <v>942</v>
      </c>
      <c r="I221" s="125" t="s">
        <v>2331</v>
      </c>
      <c r="J221" s="148" t="str">
        <f t="shared" si="42"/>
        <v>https://doi.org/10.1109/ISSCC.2012.6176940</v>
      </c>
      <c r="K221" s="28" t="s">
        <v>936</v>
      </c>
      <c r="L221" s="60"/>
      <c r="M221" s="60"/>
      <c r="N221" s="60"/>
      <c r="O221" s="56" t="s">
        <v>1050</v>
      </c>
      <c r="P221" s="28">
        <v>0.2</v>
      </c>
      <c r="Q221" s="68"/>
      <c r="R221" s="63">
        <f t="shared" si="49"/>
        <v>24000960.038401537</v>
      </c>
      <c r="S221" s="60">
        <v>58</v>
      </c>
      <c r="T221" s="60"/>
      <c r="U221" s="60">
        <v>60</v>
      </c>
      <c r="V221" s="60"/>
      <c r="W221" s="60"/>
      <c r="X221" s="29">
        <f t="shared" si="43"/>
        <v>58</v>
      </c>
      <c r="Y221" s="63">
        <v>1.2E-2</v>
      </c>
      <c r="Z221" s="63">
        <v>800000000</v>
      </c>
      <c r="AA221" s="64">
        <v>16.666</v>
      </c>
      <c r="AB221" s="63">
        <f t="shared" si="50"/>
        <v>48001920.076803073</v>
      </c>
      <c r="AC221" s="63">
        <v>200000000</v>
      </c>
      <c r="AD221" s="65">
        <f t="shared" si="39"/>
        <v>249.98999999999998</v>
      </c>
      <c r="AE221" s="29" t="str">
        <f t="shared" si="44"/>
        <v/>
      </c>
      <c r="AF221" s="29">
        <f t="shared" si="40"/>
        <v>385.16109371620723</v>
      </c>
      <c r="AG221" s="54" t="str">
        <f t="shared" si="45"/>
        <v/>
      </c>
      <c r="AH221" s="54">
        <f t="shared" si="41"/>
        <v>151.01047367790702</v>
      </c>
      <c r="AI221" s="66">
        <f t="shared" si="46"/>
        <v>8.0238684848428875E-6</v>
      </c>
      <c r="AJ221" s="67">
        <f t="shared" si="47"/>
        <v>227.82305977293009</v>
      </c>
    </row>
    <row r="222" spans="1:36" x14ac:dyDescent="0.3">
      <c r="A222" s="64">
        <v>2012</v>
      </c>
      <c r="B222" s="30">
        <v>8.3000000000000007</v>
      </c>
      <c r="C222" s="61" t="s">
        <v>22</v>
      </c>
      <c r="D222" s="61" t="s">
        <v>1955</v>
      </c>
      <c r="E222" s="39">
        <v>6.5000000000000002E-2</v>
      </c>
      <c r="F222" s="81" t="s">
        <v>2057</v>
      </c>
      <c r="G222" s="81" t="s">
        <v>2058</v>
      </c>
      <c r="H222" s="28" t="s">
        <v>943</v>
      </c>
      <c r="I222" s="125" t="s">
        <v>2796</v>
      </c>
      <c r="J222" s="148" t="str">
        <f t="shared" si="42"/>
        <v>https://doi.org/10.1109/ISSCC.2012.6176954</v>
      </c>
      <c r="K222" s="28" t="s">
        <v>937</v>
      </c>
      <c r="L222" s="60"/>
      <c r="M222" s="60"/>
      <c r="N222" s="60"/>
      <c r="O222" s="56" t="s">
        <v>1050</v>
      </c>
      <c r="P222" s="28">
        <v>5.5</v>
      </c>
      <c r="Q222" s="68"/>
      <c r="R222" s="63">
        <f t="shared" si="49"/>
        <v>150000037.50000939</v>
      </c>
      <c r="S222" s="60"/>
      <c r="T222" s="60"/>
      <c r="U222" s="60">
        <v>74</v>
      </c>
      <c r="V222" s="60"/>
      <c r="W222" s="60"/>
      <c r="X222" s="29">
        <f t="shared" si="43"/>
        <v>74</v>
      </c>
      <c r="Y222" s="63">
        <v>0.55000000000000004</v>
      </c>
      <c r="Z222" s="63">
        <v>4000000000</v>
      </c>
      <c r="AA222" s="64">
        <v>13.33333</v>
      </c>
      <c r="AB222" s="63">
        <f t="shared" si="50"/>
        <v>300000075.00001878</v>
      </c>
      <c r="AC222" s="63">
        <v>450000000</v>
      </c>
      <c r="AD222" s="65">
        <f t="shared" si="39"/>
        <v>1833.3328750000001</v>
      </c>
      <c r="AE222" s="29" t="str">
        <f t="shared" si="44"/>
        <v/>
      </c>
      <c r="AF222" s="29">
        <f t="shared" si="40"/>
        <v>447.59103393554688</v>
      </c>
      <c r="AG222" s="54" t="str">
        <f t="shared" si="45"/>
        <v/>
      </c>
      <c r="AH222" s="54">
        <f t="shared" si="41"/>
        <v>158.35728678135069</v>
      </c>
      <c r="AI222" s="66">
        <f t="shared" si="46"/>
        <v>1.4919697401259612E-6</v>
      </c>
      <c r="AJ222" s="67">
        <f t="shared" si="47"/>
        <v>243.12850041428365</v>
      </c>
    </row>
    <row r="223" spans="1:36" x14ac:dyDescent="0.3">
      <c r="A223" s="64">
        <v>2012</v>
      </c>
      <c r="B223" s="30">
        <v>8.4</v>
      </c>
      <c r="C223" s="61" t="s">
        <v>22</v>
      </c>
      <c r="D223" s="61" t="s">
        <v>30</v>
      </c>
      <c r="E223" s="39">
        <v>0.09</v>
      </c>
      <c r="F223" s="81" t="s">
        <v>931</v>
      </c>
      <c r="G223" s="81" t="s">
        <v>2059</v>
      </c>
      <c r="H223" s="28" t="s">
        <v>944</v>
      </c>
      <c r="I223" s="125" t="s">
        <v>2332</v>
      </c>
      <c r="J223" s="148" t="str">
        <f t="shared" si="42"/>
        <v>https://doi.org/10.1109/ISSCC.2012.6176955</v>
      </c>
      <c r="K223" s="28" t="s">
        <v>932</v>
      </c>
      <c r="L223" s="60"/>
      <c r="M223" s="60"/>
      <c r="N223" s="60"/>
      <c r="O223" s="56" t="s">
        <v>1050</v>
      </c>
      <c r="P223" s="28">
        <v>0.36</v>
      </c>
      <c r="Q223" s="68"/>
      <c r="R223" s="63">
        <v>4000000</v>
      </c>
      <c r="S223" s="60">
        <v>78</v>
      </c>
      <c r="T223" s="60">
        <v>79.099999999999994</v>
      </c>
      <c r="U223" s="60"/>
      <c r="V223" s="60"/>
      <c r="W223" s="60">
        <v>88.5</v>
      </c>
      <c r="X223" s="29">
        <f t="shared" si="43"/>
        <v>78</v>
      </c>
      <c r="Y223" s="63">
        <v>1.6E-2</v>
      </c>
      <c r="Z223" s="63">
        <v>600000000</v>
      </c>
      <c r="AA223" s="64">
        <v>30</v>
      </c>
      <c r="AB223" s="63">
        <f t="shared" si="50"/>
        <v>20000000</v>
      </c>
      <c r="AC223" s="63" t="s">
        <v>2096</v>
      </c>
      <c r="AD223" s="65">
        <f t="shared" si="39"/>
        <v>800</v>
      </c>
      <c r="AE223" s="29" t="str">
        <f t="shared" si="44"/>
        <v/>
      </c>
      <c r="AF223" s="29">
        <f t="shared" si="40"/>
        <v>123.2282010165171</v>
      </c>
      <c r="AG223" s="54" t="str">
        <f t="shared" si="45"/>
        <v/>
      </c>
      <c r="AH223" s="54">
        <f t="shared" si="41"/>
        <v>165.95880017344075</v>
      </c>
      <c r="AI223" s="66">
        <f t="shared" si="46"/>
        <v>6.1614100508258552E-6</v>
      </c>
      <c r="AJ223" s="67">
        <f t="shared" si="47"/>
        <v>238.96910013008056</v>
      </c>
    </row>
    <row r="224" spans="1:36" x14ac:dyDescent="0.3">
      <c r="A224" s="64">
        <v>2012</v>
      </c>
      <c r="B224" s="30">
        <v>8.5</v>
      </c>
      <c r="C224" s="61" t="s">
        <v>22</v>
      </c>
      <c r="D224" s="61" t="s">
        <v>30</v>
      </c>
      <c r="E224" s="39">
        <v>0.09</v>
      </c>
      <c r="F224" s="81" t="s">
        <v>2060</v>
      </c>
      <c r="G224" s="81" t="s">
        <v>2061</v>
      </c>
      <c r="H224" s="28" t="s">
        <v>945</v>
      </c>
      <c r="I224" s="125" t="s">
        <v>2333</v>
      </c>
      <c r="J224" s="148" t="str">
        <f t="shared" si="42"/>
        <v>https://doi.org/10.1109/ISSCC.2012.6176956</v>
      </c>
      <c r="K224" s="28" t="s">
        <v>1050</v>
      </c>
      <c r="L224" s="60"/>
      <c r="M224" s="60"/>
      <c r="N224" s="60"/>
      <c r="O224" s="56" t="s">
        <v>1050</v>
      </c>
      <c r="P224" s="28">
        <v>0.23</v>
      </c>
      <c r="Q224" s="68"/>
      <c r="R224" s="63">
        <f>AB224/2</f>
        <v>25000000</v>
      </c>
      <c r="S224" s="60">
        <v>67.5</v>
      </c>
      <c r="T224" s="60">
        <v>69.099999999999994</v>
      </c>
      <c r="U224" s="60">
        <v>72</v>
      </c>
      <c r="V224" s="60"/>
      <c r="W224" s="60">
        <v>79</v>
      </c>
      <c r="X224" s="29">
        <f t="shared" si="43"/>
        <v>67.5</v>
      </c>
      <c r="Y224" s="63">
        <v>8.5000000000000006E-3</v>
      </c>
      <c r="Z224" s="63">
        <v>500000000</v>
      </c>
      <c r="AA224" s="64">
        <v>10</v>
      </c>
      <c r="AB224" s="63">
        <f t="shared" si="50"/>
        <v>50000000</v>
      </c>
      <c r="AC224" s="63" t="s">
        <v>2096</v>
      </c>
      <c r="AD224" s="65">
        <f t="shared" si="39"/>
        <v>170</v>
      </c>
      <c r="AE224" s="29" t="str">
        <f t="shared" si="44"/>
        <v/>
      </c>
      <c r="AF224" s="29">
        <f t="shared" si="40"/>
        <v>87.724592753796031</v>
      </c>
      <c r="AG224" s="54" t="str">
        <f t="shared" si="45"/>
        <v/>
      </c>
      <c r="AH224" s="54">
        <f t="shared" si="41"/>
        <v>162.18521082957744</v>
      </c>
      <c r="AI224" s="66">
        <f t="shared" si="46"/>
        <v>1.7544918550759207E-6</v>
      </c>
      <c r="AJ224" s="67">
        <f t="shared" si="47"/>
        <v>239.17491087293763</v>
      </c>
    </row>
    <row r="225" spans="1:36" x14ac:dyDescent="0.3">
      <c r="A225" s="64">
        <v>2012</v>
      </c>
      <c r="B225" s="30">
        <v>8.6</v>
      </c>
      <c r="C225" s="61" t="s">
        <v>22</v>
      </c>
      <c r="D225" s="61" t="s">
        <v>30</v>
      </c>
      <c r="E225" s="39">
        <v>0.09</v>
      </c>
      <c r="F225" s="81" t="s">
        <v>2062</v>
      </c>
      <c r="G225" s="81" t="s">
        <v>2063</v>
      </c>
      <c r="H225" s="28" t="s">
        <v>947</v>
      </c>
      <c r="I225" s="125" t="s">
        <v>2334</v>
      </c>
      <c r="J225" s="148" t="str">
        <f t="shared" si="42"/>
        <v>https://doi.org/10.1109/ISSCC.2012.6176957</v>
      </c>
      <c r="K225" s="28" t="s">
        <v>1050</v>
      </c>
      <c r="L225" s="60"/>
      <c r="M225" s="60"/>
      <c r="N225" s="60"/>
      <c r="O225" s="56" t="s">
        <v>1050</v>
      </c>
      <c r="P225" s="28">
        <v>0.12</v>
      </c>
      <c r="Q225" s="68"/>
      <c r="R225" s="63">
        <f>AB225/2</f>
        <v>36000000</v>
      </c>
      <c r="S225" s="60">
        <v>70.900000000000006</v>
      </c>
      <c r="T225" s="60">
        <v>76.400000000000006</v>
      </c>
      <c r="U225" s="60">
        <v>83</v>
      </c>
      <c r="V225" s="60"/>
      <c r="W225" s="60"/>
      <c r="X225" s="29">
        <f t="shared" si="43"/>
        <v>70.900000000000006</v>
      </c>
      <c r="Y225" s="63">
        <v>1.4999999999999999E-2</v>
      </c>
      <c r="Z225" s="63">
        <v>3600000000</v>
      </c>
      <c r="AA225" s="64">
        <v>50</v>
      </c>
      <c r="AB225" s="63">
        <f t="shared" si="50"/>
        <v>72000000</v>
      </c>
      <c r="AC225" s="63" t="s">
        <v>2096</v>
      </c>
      <c r="AD225" s="65">
        <f t="shared" si="39"/>
        <v>208.33333333333334</v>
      </c>
      <c r="AE225" s="29" t="str">
        <f t="shared" si="44"/>
        <v/>
      </c>
      <c r="AF225" s="29">
        <f t="shared" si="40"/>
        <v>72.679889931542476</v>
      </c>
      <c r="AG225" s="54" t="str">
        <f t="shared" si="45"/>
        <v/>
      </c>
      <c r="AH225" s="54">
        <f t="shared" si="41"/>
        <v>164.70211241711607</v>
      </c>
      <c r="AI225" s="66">
        <f t="shared" si="46"/>
        <v>1.0094429157158677E-6</v>
      </c>
      <c r="AJ225" s="67">
        <f t="shared" si="47"/>
        <v>243.27543738142873</v>
      </c>
    </row>
    <row r="226" spans="1:36" x14ac:dyDescent="0.3">
      <c r="A226" s="64">
        <v>2012</v>
      </c>
      <c r="B226" s="30">
        <v>8.6999999999999993</v>
      </c>
      <c r="C226" s="61" t="s">
        <v>22</v>
      </c>
      <c r="D226" s="61" t="s">
        <v>30</v>
      </c>
      <c r="E226" s="39">
        <v>4.4999999999999998E-2</v>
      </c>
      <c r="F226" s="81" t="s">
        <v>933</v>
      </c>
      <c r="G226" s="81" t="s">
        <v>934</v>
      </c>
      <c r="H226" s="28" t="s">
        <v>946</v>
      </c>
      <c r="I226" s="125" t="s">
        <v>2335</v>
      </c>
      <c r="J226" s="148" t="str">
        <f t="shared" si="42"/>
        <v>https://doi.org/10.1109/ISSCC.2012.6176958</v>
      </c>
      <c r="K226" s="28" t="s">
        <v>1050</v>
      </c>
      <c r="L226" s="60"/>
      <c r="M226" s="60"/>
      <c r="N226" s="60"/>
      <c r="O226" s="56" t="s">
        <v>1050</v>
      </c>
      <c r="P226" s="28">
        <v>0.49</v>
      </c>
      <c r="Q226" s="68"/>
      <c r="R226" s="63">
        <f>AB226/2</f>
        <v>60000000</v>
      </c>
      <c r="S226" s="60">
        <v>60.6</v>
      </c>
      <c r="T226" s="60">
        <v>61.5</v>
      </c>
      <c r="U226" s="60"/>
      <c r="V226" s="60"/>
      <c r="W226" s="60"/>
      <c r="X226" s="29">
        <f t="shared" si="43"/>
        <v>60.6</v>
      </c>
      <c r="Y226" s="63">
        <v>0.02</v>
      </c>
      <c r="Z226" s="63">
        <v>6000000000</v>
      </c>
      <c r="AA226" s="64">
        <v>50</v>
      </c>
      <c r="AB226" s="63">
        <f t="shared" si="50"/>
        <v>120000000</v>
      </c>
      <c r="AC226" s="63" t="s">
        <v>2096</v>
      </c>
      <c r="AD226" s="65">
        <f t="shared" si="39"/>
        <v>166.66666666666666</v>
      </c>
      <c r="AE226" s="29" t="str">
        <f t="shared" si="44"/>
        <v/>
      </c>
      <c r="AF226" s="29">
        <f t="shared" si="40"/>
        <v>190.35117825804409</v>
      </c>
      <c r="AG226" s="54" t="str">
        <f t="shared" si="45"/>
        <v/>
      </c>
      <c r="AH226" s="54">
        <f t="shared" si="41"/>
        <v>155.37121254719662</v>
      </c>
      <c r="AI226" s="66">
        <f t="shared" si="46"/>
        <v>1.5862598188170341E-6</v>
      </c>
      <c r="AJ226" s="67">
        <f t="shared" si="47"/>
        <v>236.16302500767287</v>
      </c>
    </row>
    <row r="227" spans="1:36" ht="13.5" x14ac:dyDescent="0.3">
      <c r="A227" s="64">
        <v>2012</v>
      </c>
      <c r="B227" s="30">
        <v>19.3</v>
      </c>
      <c r="C227" s="30" t="s">
        <v>23</v>
      </c>
      <c r="D227" s="64" t="s">
        <v>557</v>
      </c>
      <c r="E227" s="38">
        <v>0.04</v>
      </c>
      <c r="F227" s="126" t="s">
        <v>939</v>
      </c>
      <c r="G227" s="130" t="s">
        <v>1413</v>
      </c>
      <c r="H227" s="63" t="s">
        <v>940</v>
      </c>
      <c r="I227" s="125" t="s">
        <v>2336</v>
      </c>
      <c r="J227" s="148" t="str">
        <f t="shared" si="42"/>
        <v>https://doi.org/10.1109/ISSCC.2012.6177033</v>
      </c>
      <c r="K227" s="69" t="s">
        <v>1050</v>
      </c>
      <c r="L227" s="60"/>
      <c r="M227" s="60"/>
      <c r="N227" s="60"/>
      <c r="O227" s="56" t="s">
        <v>1050</v>
      </c>
      <c r="P227" s="80"/>
      <c r="Q227" s="68">
        <f>5.4*6.02+1.76</f>
        <v>34.268000000000001</v>
      </c>
      <c r="R227" s="63">
        <v>10000000000</v>
      </c>
      <c r="S227" s="60">
        <f>4*6.02+1.76</f>
        <v>25.84</v>
      </c>
      <c r="T227" s="60"/>
      <c r="U227" s="60"/>
      <c r="V227" s="28"/>
      <c r="W227" s="29"/>
      <c r="X227" s="29">
        <f t="shared" si="43"/>
        <v>25.84</v>
      </c>
      <c r="Y227" s="63">
        <v>0.5</v>
      </c>
      <c r="Z227" s="63">
        <v>25000000000</v>
      </c>
      <c r="AA227" s="30">
        <v>1</v>
      </c>
      <c r="AB227" s="63">
        <f t="shared" si="50"/>
        <v>25000000000</v>
      </c>
      <c r="AC227" s="63" t="s">
        <v>2096</v>
      </c>
      <c r="AD227" s="65">
        <f t="shared" si="39"/>
        <v>20</v>
      </c>
      <c r="AE227" s="29">
        <f t="shared" si="44"/>
        <v>473.66142703449896</v>
      </c>
      <c r="AF227" s="29">
        <f t="shared" si="40"/>
        <v>1250</v>
      </c>
      <c r="AG227" s="54">
        <f t="shared" si="45"/>
        <v>138.24740008672038</v>
      </c>
      <c r="AH227" s="54">
        <f t="shared" si="41"/>
        <v>129.81940008672038</v>
      </c>
      <c r="AI227" s="66">
        <f t="shared" si="46"/>
        <v>4.9999999999999998E-8</v>
      </c>
      <c r="AJ227" s="67">
        <f t="shared" si="47"/>
        <v>233.79880017344075</v>
      </c>
    </row>
    <row r="228" spans="1:36" x14ac:dyDescent="0.3">
      <c r="A228" s="64">
        <v>2012</v>
      </c>
      <c r="B228" s="30">
        <v>27.1</v>
      </c>
      <c r="C228" s="61" t="s">
        <v>23</v>
      </c>
      <c r="D228" s="61" t="s">
        <v>26</v>
      </c>
      <c r="E228" s="39">
        <v>0.18</v>
      </c>
      <c r="F228" s="81" t="s">
        <v>918</v>
      </c>
      <c r="G228" s="81" t="s">
        <v>919</v>
      </c>
      <c r="H228" s="28" t="s">
        <v>948</v>
      </c>
      <c r="I228" s="125" t="s">
        <v>2337</v>
      </c>
      <c r="J228" s="148" t="str">
        <f t="shared" si="42"/>
        <v>https://doi.org/10.1109/ISSCC.2012.6177090</v>
      </c>
      <c r="K228" s="28" t="s">
        <v>1050</v>
      </c>
      <c r="L228" s="60"/>
      <c r="M228" s="60"/>
      <c r="N228" s="60"/>
      <c r="O228" s="56" t="s">
        <v>1050</v>
      </c>
      <c r="P228" s="28">
        <v>1.98</v>
      </c>
      <c r="Q228" s="68"/>
      <c r="R228" s="63">
        <f t="shared" ref="R228:R245" si="51">AB228/2</f>
        <v>10000000</v>
      </c>
      <c r="S228" s="60">
        <v>76.8</v>
      </c>
      <c r="T228" s="60">
        <v>77.2</v>
      </c>
      <c r="U228" s="60"/>
      <c r="V228" s="60"/>
      <c r="W228" s="60">
        <v>95.4</v>
      </c>
      <c r="X228" s="29">
        <f t="shared" si="43"/>
        <v>76.8</v>
      </c>
      <c r="Y228" s="63">
        <v>5.1000000000000004E-3</v>
      </c>
      <c r="Z228" s="63">
        <v>20000000</v>
      </c>
      <c r="AA228" s="64">
        <v>1</v>
      </c>
      <c r="AB228" s="63">
        <f t="shared" si="50"/>
        <v>20000000</v>
      </c>
      <c r="AC228" s="63" t="s">
        <v>2096</v>
      </c>
      <c r="AD228" s="65">
        <f t="shared" si="39"/>
        <v>255</v>
      </c>
      <c r="AE228" s="29" t="str">
        <f t="shared" si="44"/>
        <v/>
      </c>
      <c r="AF228" s="29">
        <f t="shared" si="40"/>
        <v>45.098934454859958</v>
      </c>
      <c r="AG228" s="54" t="str">
        <f t="shared" si="45"/>
        <v/>
      </c>
      <c r="AH228" s="54">
        <f t="shared" si="41"/>
        <v>169.72429823902064</v>
      </c>
      <c r="AI228" s="66">
        <f t="shared" si="46"/>
        <v>2.2549467227429979E-6</v>
      </c>
      <c r="AJ228" s="67">
        <f t="shared" si="47"/>
        <v>242.73459819566045</v>
      </c>
    </row>
    <row r="229" spans="1:36" x14ac:dyDescent="0.3">
      <c r="A229" s="64">
        <v>2012</v>
      </c>
      <c r="B229" s="30">
        <v>27.3</v>
      </c>
      <c r="C229" s="61" t="s">
        <v>23</v>
      </c>
      <c r="D229" s="61" t="s">
        <v>26</v>
      </c>
      <c r="E229" s="39">
        <v>6.5000000000000002E-2</v>
      </c>
      <c r="F229" s="81" t="s">
        <v>922</v>
      </c>
      <c r="G229" s="81" t="s">
        <v>923</v>
      </c>
      <c r="H229" s="28" t="s">
        <v>949</v>
      </c>
      <c r="I229" s="125" t="s">
        <v>2338</v>
      </c>
      <c r="J229" s="148" t="str">
        <f t="shared" si="42"/>
        <v>https://doi.org/10.1109/ISSCC.2012.6177091</v>
      </c>
      <c r="K229" s="28" t="s">
        <v>1050</v>
      </c>
      <c r="L229" s="60">
        <v>1</v>
      </c>
      <c r="M229" s="60"/>
      <c r="N229" s="60"/>
      <c r="O229" s="56" t="s">
        <v>1050</v>
      </c>
      <c r="P229" s="28">
        <v>0.19</v>
      </c>
      <c r="Q229" s="68"/>
      <c r="R229" s="63">
        <f t="shared" si="51"/>
        <v>100000000</v>
      </c>
      <c r="S229" s="60">
        <v>57</v>
      </c>
      <c r="T229" s="60"/>
      <c r="U229" s="60"/>
      <c r="V229" s="60"/>
      <c r="W229" s="60">
        <v>64</v>
      </c>
      <c r="X229" s="29">
        <f t="shared" si="43"/>
        <v>57</v>
      </c>
      <c r="Y229" s="63">
        <v>5.3699999999999998E-3</v>
      </c>
      <c r="Z229" s="63">
        <v>200000000</v>
      </c>
      <c r="AA229" s="64">
        <v>1</v>
      </c>
      <c r="AB229" s="63">
        <f t="shared" si="50"/>
        <v>200000000</v>
      </c>
      <c r="AC229" s="63" t="s">
        <v>2096</v>
      </c>
      <c r="AD229" s="65">
        <f t="shared" si="39"/>
        <v>26.85</v>
      </c>
      <c r="AE229" s="29" t="str">
        <f t="shared" si="44"/>
        <v/>
      </c>
      <c r="AF229" s="29">
        <f t="shared" si="40"/>
        <v>46.416142784683593</v>
      </c>
      <c r="AG229" s="54" t="str">
        <f t="shared" si="45"/>
        <v/>
      </c>
      <c r="AH229" s="54">
        <f t="shared" si="41"/>
        <v>159.70025714300445</v>
      </c>
      <c r="AI229" s="66">
        <f t="shared" si="46"/>
        <v>2.3208071392341797E-7</v>
      </c>
      <c r="AJ229" s="67">
        <f t="shared" si="47"/>
        <v>242.71055709964426</v>
      </c>
    </row>
    <row r="230" spans="1:36" x14ac:dyDescent="0.3">
      <c r="A230" s="64">
        <v>2012</v>
      </c>
      <c r="B230" s="30">
        <v>27.5</v>
      </c>
      <c r="C230" s="61" t="s">
        <v>23</v>
      </c>
      <c r="D230" s="61" t="s">
        <v>26</v>
      </c>
      <c r="E230" s="39">
        <v>0.04</v>
      </c>
      <c r="F230" s="81" t="s">
        <v>920</v>
      </c>
      <c r="G230" s="81" t="s">
        <v>921</v>
      </c>
      <c r="H230" s="28" t="s">
        <v>950</v>
      </c>
      <c r="I230" s="125" t="s">
        <v>2339</v>
      </c>
      <c r="J230" s="148" t="str">
        <f t="shared" si="42"/>
        <v>https://doi.org/10.1109/ISSCC.2012.6177093</v>
      </c>
      <c r="K230" s="28" t="s">
        <v>1050</v>
      </c>
      <c r="L230" s="60"/>
      <c r="M230" s="60"/>
      <c r="N230" s="60"/>
      <c r="O230" s="56" t="s">
        <v>1050</v>
      </c>
      <c r="P230" s="28">
        <v>6.6000000000000003E-2</v>
      </c>
      <c r="Q230" s="68"/>
      <c r="R230" s="63">
        <f t="shared" si="51"/>
        <v>125000000</v>
      </c>
      <c r="S230" s="60">
        <v>56</v>
      </c>
      <c r="T230" s="60"/>
      <c r="U230" s="60"/>
      <c r="V230" s="60"/>
      <c r="W230" s="60"/>
      <c r="X230" s="29">
        <f t="shared" si="43"/>
        <v>56</v>
      </c>
      <c r="Y230" s="63">
        <v>1.6999999999999999E-3</v>
      </c>
      <c r="Z230" s="63">
        <v>250000000</v>
      </c>
      <c r="AA230" s="64">
        <v>1</v>
      </c>
      <c r="AB230" s="63">
        <f t="shared" si="50"/>
        <v>250000000</v>
      </c>
      <c r="AC230" s="63" t="s">
        <v>2096</v>
      </c>
      <c r="AD230" s="65">
        <f t="shared" si="39"/>
        <v>6.7999999999999989</v>
      </c>
      <c r="AE230" s="29" t="str">
        <f t="shared" si="44"/>
        <v/>
      </c>
      <c r="AF230" s="29">
        <f t="shared" si="40"/>
        <v>13.189813438469317</v>
      </c>
      <c r="AG230" s="54" t="str">
        <f t="shared" si="45"/>
        <v/>
      </c>
      <c r="AH230" s="54">
        <f t="shared" si="41"/>
        <v>164.66461091629782</v>
      </c>
      <c r="AI230" s="66">
        <f t="shared" si="46"/>
        <v>5.275925375387727E-8</v>
      </c>
      <c r="AJ230" s="67">
        <f t="shared" si="47"/>
        <v>248.64401100301819</v>
      </c>
    </row>
    <row r="231" spans="1:36" x14ac:dyDescent="0.3">
      <c r="A231" s="64">
        <v>2012</v>
      </c>
      <c r="B231" s="30">
        <v>27.6</v>
      </c>
      <c r="C231" s="61" t="s">
        <v>22</v>
      </c>
      <c r="D231" s="61" t="s">
        <v>31</v>
      </c>
      <c r="E231" s="39">
        <v>6.5000000000000002E-2</v>
      </c>
      <c r="F231" s="81" t="s">
        <v>929</v>
      </c>
      <c r="G231" s="81" t="s">
        <v>930</v>
      </c>
      <c r="H231" s="28" t="s">
        <v>951</v>
      </c>
      <c r="I231" s="125" t="s">
        <v>2340</v>
      </c>
      <c r="J231" s="148" t="str">
        <f t="shared" si="42"/>
        <v>https://doi.org/10.1109/ISSCC.2012.6177094</v>
      </c>
      <c r="K231" s="28" t="s">
        <v>1050</v>
      </c>
      <c r="L231" s="60"/>
      <c r="M231" s="60"/>
      <c r="N231" s="60"/>
      <c r="O231" s="56" t="s">
        <v>1050</v>
      </c>
      <c r="P231" s="28">
        <f>0.231*0.2</f>
        <v>4.6200000000000005E-2</v>
      </c>
      <c r="Q231" s="68"/>
      <c r="R231" s="63">
        <f t="shared" si="51"/>
        <v>11000000</v>
      </c>
      <c r="S231" s="60">
        <f>10*6.02+1.76</f>
        <v>61.959999999999994</v>
      </c>
      <c r="T231" s="60"/>
      <c r="U231" s="60"/>
      <c r="V231" s="60"/>
      <c r="W231" s="60"/>
      <c r="X231" s="29">
        <f t="shared" si="43"/>
        <v>61.959999999999994</v>
      </c>
      <c r="Y231" s="63">
        <v>8.0599999999999997E-4</v>
      </c>
      <c r="Z231" s="63">
        <v>88000000</v>
      </c>
      <c r="AA231" s="64">
        <v>4</v>
      </c>
      <c r="AB231" s="63">
        <f t="shared" si="50"/>
        <v>22000000</v>
      </c>
      <c r="AC231" s="63" t="s">
        <v>2096</v>
      </c>
      <c r="AD231" s="65">
        <f t="shared" si="39"/>
        <v>36.636363636363633</v>
      </c>
      <c r="AE231" s="29" t="str">
        <f t="shared" si="44"/>
        <v/>
      </c>
      <c r="AF231" s="29">
        <f t="shared" si="40"/>
        <v>35.77769886363636</v>
      </c>
      <c r="AG231" s="54" t="str">
        <f t="shared" si="45"/>
        <v/>
      </c>
      <c r="AH231" s="54">
        <f t="shared" si="41"/>
        <v>163.31057643353134</v>
      </c>
      <c r="AI231" s="66">
        <f t="shared" si="46"/>
        <v>1.6262590392561982E-6</v>
      </c>
      <c r="AJ231" s="67">
        <f t="shared" si="47"/>
        <v>236.73480324175341</v>
      </c>
    </row>
    <row r="232" spans="1:36" x14ac:dyDescent="0.3">
      <c r="A232" s="64">
        <v>2012</v>
      </c>
      <c r="B232" s="30">
        <v>27.7</v>
      </c>
      <c r="C232" s="61" t="s">
        <v>23</v>
      </c>
      <c r="D232" s="61" t="s">
        <v>31</v>
      </c>
      <c r="E232" s="30">
        <v>0.04</v>
      </c>
      <c r="F232" s="81" t="s">
        <v>926</v>
      </c>
      <c r="G232" s="81" t="s">
        <v>927</v>
      </c>
      <c r="H232" s="28" t="s">
        <v>952</v>
      </c>
      <c r="I232" s="125" t="s">
        <v>2341</v>
      </c>
      <c r="J232" s="148" t="str">
        <f t="shared" si="42"/>
        <v>https://doi.org/10.1109/ISSCC.2012.6177095</v>
      </c>
      <c r="K232" s="28" t="s">
        <v>928</v>
      </c>
      <c r="L232" s="60">
        <v>1.1000000000000001</v>
      </c>
      <c r="M232" s="60"/>
      <c r="N232" s="60"/>
      <c r="O232" s="56" t="s">
        <v>1050</v>
      </c>
      <c r="P232" s="70">
        <f>0.175*0.455</f>
        <v>7.9625000000000001E-2</v>
      </c>
      <c r="Q232" s="68"/>
      <c r="R232" s="63">
        <f t="shared" si="51"/>
        <v>40000000</v>
      </c>
      <c r="S232" s="60">
        <v>54.2</v>
      </c>
      <c r="T232" s="60"/>
      <c r="U232" s="60">
        <v>70</v>
      </c>
      <c r="V232" s="60"/>
      <c r="W232" s="60"/>
      <c r="X232" s="29">
        <f t="shared" si="43"/>
        <v>54.2</v>
      </c>
      <c r="Y232" s="63">
        <f>0.00545*1.1</f>
        <v>5.9950000000000003E-3</v>
      </c>
      <c r="Z232" s="63">
        <v>80000000</v>
      </c>
      <c r="AA232" s="64">
        <v>1</v>
      </c>
      <c r="AB232" s="63">
        <f t="shared" si="50"/>
        <v>80000000</v>
      </c>
      <c r="AC232" s="63" t="s">
        <v>2096</v>
      </c>
      <c r="AD232" s="65">
        <f t="shared" si="39"/>
        <v>74.9375</v>
      </c>
      <c r="AE232" s="29" t="str">
        <f t="shared" si="44"/>
        <v/>
      </c>
      <c r="AF232" s="29">
        <f t="shared" si="40"/>
        <v>178.82898406470704</v>
      </c>
      <c r="AG232" s="54" t="str">
        <f t="shared" si="45"/>
        <v/>
      </c>
      <c r="AH232" s="54">
        <f t="shared" si="41"/>
        <v>152.44270803893096</v>
      </c>
      <c r="AI232" s="66">
        <f t="shared" si="46"/>
        <v>2.235362300808838E-6</v>
      </c>
      <c r="AJ232" s="67">
        <f t="shared" si="47"/>
        <v>231.4736079088504</v>
      </c>
    </row>
    <row r="233" spans="1:36" x14ac:dyDescent="0.3">
      <c r="A233" s="64">
        <v>2012</v>
      </c>
      <c r="B233" s="30">
        <v>27.8</v>
      </c>
      <c r="C233" s="61" t="s">
        <v>23</v>
      </c>
      <c r="D233" s="61" t="s">
        <v>31</v>
      </c>
      <c r="E233" s="30">
        <v>0.09</v>
      </c>
      <c r="F233" s="81" t="s">
        <v>924</v>
      </c>
      <c r="G233" s="81" t="s">
        <v>925</v>
      </c>
      <c r="H233" s="28" t="s">
        <v>953</v>
      </c>
      <c r="I233" s="125" t="s">
        <v>2342</v>
      </c>
      <c r="J233" s="148" t="str">
        <f t="shared" si="42"/>
        <v>https://doi.org/10.1109/ISSCC.2012.6177096</v>
      </c>
      <c r="K233" s="28" t="s">
        <v>863</v>
      </c>
      <c r="L233" s="60">
        <v>1.1000000000000001</v>
      </c>
      <c r="M233" s="60"/>
      <c r="N233" s="60"/>
      <c r="O233" s="56" t="s">
        <v>1050</v>
      </c>
      <c r="P233" s="28">
        <v>4.7E-2</v>
      </c>
      <c r="Q233" s="68"/>
      <c r="R233" s="63">
        <f t="shared" si="51"/>
        <v>2000000</v>
      </c>
      <c r="S233" s="60">
        <f>9.4*6.02+1.76</f>
        <v>58.347999999999999</v>
      </c>
      <c r="T233" s="60"/>
      <c r="U233" s="60"/>
      <c r="V233" s="60"/>
      <c r="W233" s="60"/>
      <c r="X233" s="29">
        <f t="shared" si="43"/>
        <v>58.347999999999999</v>
      </c>
      <c r="Y233" s="63">
        <v>1.7439999999999999E-5</v>
      </c>
      <c r="Z233" s="63">
        <v>4000000</v>
      </c>
      <c r="AA233" s="64">
        <v>1</v>
      </c>
      <c r="AB233" s="63">
        <f t="shared" si="50"/>
        <v>4000000</v>
      </c>
      <c r="AC233" s="63" t="s">
        <v>2096</v>
      </c>
      <c r="AD233" s="65">
        <f t="shared" si="39"/>
        <v>4.3600000000000003</v>
      </c>
      <c r="AE233" s="29" t="str">
        <f t="shared" si="44"/>
        <v/>
      </c>
      <c r="AF233" s="29">
        <f t="shared" si="40"/>
        <v>6.4536369433450549</v>
      </c>
      <c r="AG233" s="54" t="str">
        <f t="shared" si="45"/>
        <v/>
      </c>
      <c r="AH233" s="54">
        <f t="shared" si="41"/>
        <v>168.94283515067434</v>
      </c>
      <c r="AI233" s="66">
        <f t="shared" si="46"/>
        <v>1.6134092358362638E-6</v>
      </c>
      <c r="AJ233" s="67">
        <f t="shared" si="47"/>
        <v>234.96343506395397</v>
      </c>
    </row>
    <row r="234" spans="1:36" x14ac:dyDescent="0.3">
      <c r="A234" s="64">
        <v>2012</v>
      </c>
      <c r="B234" s="30">
        <v>27.9</v>
      </c>
      <c r="C234" s="61" t="s">
        <v>23</v>
      </c>
      <c r="D234" s="61" t="s">
        <v>26</v>
      </c>
      <c r="E234" s="39">
        <v>0.13</v>
      </c>
      <c r="F234" s="81" t="s">
        <v>2798</v>
      </c>
      <c r="G234" s="81" t="s">
        <v>1035</v>
      </c>
      <c r="H234" s="81" t="s">
        <v>1036</v>
      </c>
      <c r="I234" s="145" t="s">
        <v>2799</v>
      </c>
      <c r="J234" s="148" t="str">
        <f t="shared" si="42"/>
        <v>https://doi.org/10.1109/ISSCC.2012.6177097</v>
      </c>
      <c r="K234" s="28" t="s">
        <v>1050</v>
      </c>
      <c r="L234" s="60"/>
      <c r="M234" s="60"/>
      <c r="N234" s="60"/>
      <c r="O234" s="56" t="s">
        <v>1050</v>
      </c>
      <c r="P234" s="28">
        <v>0.24</v>
      </c>
      <c r="Q234" s="68"/>
      <c r="R234" s="63">
        <f t="shared" si="51"/>
        <v>15000000</v>
      </c>
      <c r="S234" s="60">
        <v>70.400000000000006</v>
      </c>
      <c r="T234" s="60"/>
      <c r="U234" s="60"/>
      <c r="V234" s="60"/>
      <c r="W234" s="60">
        <v>79.599999999999994</v>
      </c>
      <c r="X234" s="29">
        <f t="shared" si="43"/>
        <v>70.400000000000006</v>
      </c>
      <c r="Y234" s="63">
        <v>2.5400000000000002E-3</v>
      </c>
      <c r="Z234" s="63">
        <v>30000000</v>
      </c>
      <c r="AA234" s="64">
        <v>1</v>
      </c>
      <c r="AB234" s="63">
        <f t="shared" si="50"/>
        <v>30000000</v>
      </c>
      <c r="AC234" s="63" t="s">
        <v>2096</v>
      </c>
      <c r="AD234" s="65">
        <f t="shared" si="39"/>
        <v>84.666666666666671</v>
      </c>
      <c r="AE234" s="29" t="str">
        <f t="shared" si="44"/>
        <v/>
      </c>
      <c r="AF234" s="29">
        <f t="shared" si="40"/>
        <v>31.287470385121292</v>
      </c>
      <c r="AG234" s="54" t="str">
        <f t="shared" si="45"/>
        <v/>
      </c>
      <c r="AH234" s="54">
        <f t="shared" si="41"/>
        <v>168.11257542435743</v>
      </c>
      <c r="AI234" s="66">
        <f t="shared" si="46"/>
        <v>1.0429156795040431E-6</v>
      </c>
      <c r="AJ234" s="67">
        <f t="shared" si="47"/>
        <v>242.88378797155406</v>
      </c>
    </row>
    <row r="235" spans="1:36" x14ac:dyDescent="0.3">
      <c r="A235" s="82">
        <v>2013</v>
      </c>
      <c r="B235" s="58">
        <v>2.4</v>
      </c>
      <c r="C235" s="56" t="s">
        <v>23</v>
      </c>
      <c r="D235" s="115" t="s">
        <v>557</v>
      </c>
      <c r="E235" s="84">
        <v>0.04</v>
      </c>
      <c r="F235" s="114" t="s">
        <v>1037</v>
      </c>
      <c r="G235" s="131" t="s">
        <v>1038</v>
      </c>
      <c r="H235" s="66" t="s">
        <v>1039</v>
      </c>
      <c r="I235" s="142" t="s">
        <v>2343</v>
      </c>
      <c r="J235" s="148" t="str">
        <f t="shared" si="42"/>
        <v>https://doi.org/10.1109/ISSCC.2013.6487625</v>
      </c>
      <c r="K235" s="32" t="s">
        <v>1050</v>
      </c>
      <c r="L235" s="87"/>
      <c r="M235" s="87"/>
      <c r="N235" s="87"/>
      <c r="O235" s="56" t="s">
        <v>1050</v>
      </c>
      <c r="P235" s="86"/>
      <c r="Q235" s="68"/>
      <c r="R235" s="63">
        <f t="shared" si="51"/>
        <v>5000000000</v>
      </c>
      <c r="S235" s="87">
        <v>29.2</v>
      </c>
      <c r="T235" s="87"/>
      <c r="W235" s="54"/>
      <c r="X235" s="29">
        <f t="shared" si="43"/>
        <v>29.2</v>
      </c>
      <c r="Y235" s="89">
        <v>0.13900000000000001</v>
      </c>
      <c r="Z235" s="89">
        <v>10000000000</v>
      </c>
      <c r="AA235" s="56">
        <v>1</v>
      </c>
      <c r="AB235" s="63">
        <f t="shared" si="50"/>
        <v>10000000000</v>
      </c>
      <c r="AC235" s="63" t="s">
        <v>2096</v>
      </c>
      <c r="AD235" s="65">
        <f t="shared" si="39"/>
        <v>13.900000000000002</v>
      </c>
      <c r="AE235" s="29" t="str">
        <f t="shared" si="44"/>
        <v/>
      </c>
      <c r="AF235" s="29">
        <f t="shared" si="40"/>
        <v>590.03540992172532</v>
      </c>
      <c r="AG235" s="54" t="str">
        <f t="shared" si="45"/>
        <v/>
      </c>
      <c r="AH235" s="54">
        <f t="shared" si="41"/>
        <v>134.75955204081924</v>
      </c>
      <c r="AI235" s="66">
        <f t="shared" si="46"/>
        <v>5.9003540992172535E-8</v>
      </c>
      <c r="AJ235" s="67">
        <f t="shared" si="47"/>
        <v>234.75955204081924</v>
      </c>
    </row>
    <row r="236" spans="1:36" x14ac:dyDescent="0.3">
      <c r="A236" s="83">
        <v>2013</v>
      </c>
      <c r="B236" s="90">
        <v>15.1</v>
      </c>
      <c r="C236" s="91" t="s">
        <v>22</v>
      </c>
      <c r="D236" s="8" t="s">
        <v>30</v>
      </c>
      <c r="E236" s="92">
        <v>2.8000000000000001E-2</v>
      </c>
      <c r="F236" s="131" t="s">
        <v>2064</v>
      </c>
      <c r="G236" s="131" t="s">
        <v>2065</v>
      </c>
      <c r="H236" s="85" t="s">
        <v>1020</v>
      </c>
      <c r="I236" s="146" t="s">
        <v>2800</v>
      </c>
      <c r="J236" s="148" t="str">
        <f t="shared" si="42"/>
        <v>https://doi.org/10.1109/ISSCC.2013.6487729</v>
      </c>
      <c r="K236" s="28" t="s">
        <v>1050</v>
      </c>
      <c r="L236" s="68"/>
      <c r="M236" s="68"/>
      <c r="N236" s="68"/>
      <c r="O236" s="56" t="s">
        <v>1050</v>
      </c>
      <c r="P236" s="57">
        <v>0.08</v>
      </c>
      <c r="Q236" s="68"/>
      <c r="R236" s="63">
        <f t="shared" si="51"/>
        <v>18000000</v>
      </c>
      <c r="S236" s="68">
        <v>73.599999999999994</v>
      </c>
      <c r="T236" s="68"/>
      <c r="U236" s="68">
        <v>78.099999999999994</v>
      </c>
      <c r="V236" s="68"/>
      <c r="W236" s="68"/>
      <c r="X236" s="29">
        <f t="shared" si="43"/>
        <v>73.599999999999994</v>
      </c>
      <c r="Y236" s="66">
        <v>3.8999999999999998E-3</v>
      </c>
      <c r="Z236" s="66">
        <v>640000000</v>
      </c>
      <c r="AA236" s="83">
        <f>Z236/2/18000000</f>
        <v>17.777777777777779</v>
      </c>
      <c r="AB236" s="63">
        <f t="shared" si="50"/>
        <v>36000000</v>
      </c>
      <c r="AC236" s="63" t="s">
        <v>2096</v>
      </c>
      <c r="AD236" s="65">
        <f t="shared" si="39"/>
        <v>108.33333333333333</v>
      </c>
      <c r="AE236" s="29" t="str">
        <f t="shared" si="44"/>
        <v/>
      </c>
      <c r="AF236" s="29">
        <f t="shared" si="40"/>
        <v>27.695177401069611</v>
      </c>
      <c r="AG236" s="54" t="str">
        <f t="shared" si="45"/>
        <v/>
      </c>
      <c r="AH236" s="54">
        <f t="shared" si="41"/>
        <v>170.24207898076807</v>
      </c>
      <c r="AI236" s="66">
        <f t="shared" si="46"/>
        <v>7.6931048336304478E-7</v>
      </c>
      <c r="AJ236" s="67">
        <f t="shared" si="47"/>
        <v>245.80510398844092</v>
      </c>
    </row>
    <row r="237" spans="1:36" x14ac:dyDescent="0.3">
      <c r="A237" s="83">
        <v>2013</v>
      </c>
      <c r="B237" s="90">
        <v>15.2</v>
      </c>
      <c r="C237" s="91" t="s">
        <v>23</v>
      </c>
      <c r="D237" s="8" t="s">
        <v>31</v>
      </c>
      <c r="E237" s="92">
        <v>6.5000000000000002E-2</v>
      </c>
      <c r="F237" s="131" t="s">
        <v>1012</v>
      </c>
      <c r="G237" s="131" t="s">
        <v>2716</v>
      </c>
      <c r="H237" s="85" t="s">
        <v>953</v>
      </c>
      <c r="I237" s="146" t="s">
        <v>2344</v>
      </c>
      <c r="J237" s="148" t="str">
        <f t="shared" si="42"/>
        <v>https://doi.org/10.1109/ISSCC.2013.6487730</v>
      </c>
      <c r="K237" s="57" t="s">
        <v>1013</v>
      </c>
      <c r="L237" s="68">
        <v>0.6</v>
      </c>
      <c r="M237" s="68"/>
      <c r="N237" s="68"/>
      <c r="O237" s="56" t="s">
        <v>1050</v>
      </c>
      <c r="P237" s="57">
        <v>7.5999999999999998E-2</v>
      </c>
      <c r="Q237" s="68"/>
      <c r="R237" s="63">
        <f t="shared" si="51"/>
        <v>20000</v>
      </c>
      <c r="S237" s="68">
        <f>10.1*6.02+1.76</f>
        <v>62.561999999999991</v>
      </c>
      <c r="T237" s="68"/>
      <c r="U237" s="68"/>
      <c r="V237" s="68"/>
      <c r="W237" s="68"/>
      <c r="X237" s="29">
        <f t="shared" si="43"/>
        <v>62.561999999999991</v>
      </c>
      <c r="Y237" s="66">
        <v>9.6999999999999995E-8</v>
      </c>
      <c r="Z237" s="66">
        <v>40000</v>
      </c>
      <c r="AA237" s="83">
        <v>1</v>
      </c>
      <c r="AB237" s="63">
        <f t="shared" si="50"/>
        <v>40000</v>
      </c>
      <c r="AC237" s="63" t="s">
        <v>2096</v>
      </c>
      <c r="AD237" s="65">
        <f t="shared" si="39"/>
        <v>2.4249999999999998</v>
      </c>
      <c r="AE237" s="29" t="str">
        <f t="shared" si="44"/>
        <v/>
      </c>
      <c r="AF237" s="29">
        <f t="shared" si="40"/>
        <v>2.2095751996843358</v>
      </c>
      <c r="AG237" s="54" t="str">
        <f t="shared" si="45"/>
        <v/>
      </c>
      <c r="AH237" s="54">
        <f t="shared" si="41"/>
        <v>175.70458261397735</v>
      </c>
      <c r="AI237" s="66">
        <f t="shared" si="46"/>
        <v>5.5239379992108394E-5</v>
      </c>
      <c r="AJ237" s="67">
        <f t="shared" si="47"/>
        <v>221.72518252725698</v>
      </c>
    </row>
    <row r="238" spans="1:36" x14ac:dyDescent="0.3">
      <c r="A238" s="83">
        <v>2013</v>
      </c>
      <c r="B238" s="90">
        <v>15.3</v>
      </c>
      <c r="C238" s="91" t="s">
        <v>23</v>
      </c>
      <c r="D238" s="8" t="s">
        <v>31</v>
      </c>
      <c r="E238" s="92">
        <v>0.09</v>
      </c>
      <c r="F238" s="131" t="s">
        <v>1017</v>
      </c>
      <c r="G238" s="131" t="s">
        <v>1018</v>
      </c>
      <c r="H238" s="85" t="s">
        <v>1021</v>
      </c>
      <c r="I238" s="146" t="s">
        <v>2345</v>
      </c>
      <c r="J238" s="148" t="str">
        <f t="shared" si="42"/>
        <v>https://doi.org/10.1109/ISSCC.2013.6487731</v>
      </c>
      <c r="K238" s="17" t="s">
        <v>1050</v>
      </c>
      <c r="L238" s="68"/>
      <c r="M238" s="68"/>
      <c r="N238" s="68"/>
      <c r="O238" s="56" t="s">
        <v>1050</v>
      </c>
      <c r="P238" s="57">
        <v>9.7000000000000003E-2</v>
      </c>
      <c r="Q238" s="68"/>
      <c r="R238" s="63">
        <f t="shared" si="51"/>
        <v>25000000</v>
      </c>
      <c r="S238" s="68">
        <v>69.099999999999994</v>
      </c>
      <c r="T238" s="68"/>
      <c r="U238" s="68"/>
      <c r="V238" s="68"/>
      <c r="W238" s="68">
        <v>84</v>
      </c>
      <c r="X238" s="29">
        <f t="shared" si="43"/>
        <v>69.099999999999994</v>
      </c>
      <c r="Y238" s="66">
        <v>4.1999999999999997E-3</v>
      </c>
      <c r="Z238" s="66">
        <v>50000000</v>
      </c>
      <c r="AA238" s="83">
        <v>1</v>
      </c>
      <c r="AB238" s="63">
        <f t="shared" si="50"/>
        <v>50000000</v>
      </c>
      <c r="AC238" s="63" t="s">
        <v>2096</v>
      </c>
      <c r="AD238" s="65">
        <f t="shared" si="39"/>
        <v>84</v>
      </c>
      <c r="AE238" s="29" t="str">
        <f t="shared" si="44"/>
        <v/>
      </c>
      <c r="AF238" s="29">
        <f t="shared" si="40"/>
        <v>36.053194638287593</v>
      </c>
      <c r="AG238" s="54" t="str">
        <f t="shared" si="45"/>
        <v/>
      </c>
      <c r="AH238" s="54">
        <f t="shared" si="41"/>
        <v>166.84690718274135</v>
      </c>
      <c r="AI238" s="66">
        <f t="shared" si="46"/>
        <v>7.2106389276575183E-7</v>
      </c>
      <c r="AJ238" s="67">
        <f t="shared" si="47"/>
        <v>243.83660722610153</v>
      </c>
    </row>
    <row r="239" spans="1:36" x14ac:dyDescent="0.3">
      <c r="A239" s="83">
        <v>2013</v>
      </c>
      <c r="B239" s="93">
        <v>15.4</v>
      </c>
      <c r="C239" s="91" t="s">
        <v>22</v>
      </c>
      <c r="D239" s="8" t="s">
        <v>1527</v>
      </c>
      <c r="E239" s="92">
        <v>0.16</v>
      </c>
      <c r="F239" s="131" t="s">
        <v>2066</v>
      </c>
      <c r="G239" s="131" t="s">
        <v>2067</v>
      </c>
      <c r="H239" s="85" t="s">
        <v>1022</v>
      </c>
      <c r="I239" s="146" t="s">
        <v>2801</v>
      </c>
      <c r="J239" s="148" t="str">
        <f t="shared" si="42"/>
        <v>https://doi.org/10.1109/ISSCC.2013.6487732</v>
      </c>
      <c r="K239" s="17" t="s">
        <v>1050</v>
      </c>
      <c r="L239" s="68">
        <v>1</v>
      </c>
      <c r="M239" s="68"/>
      <c r="N239" s="68"/>
      <c r="O239" s="56" t="s">
        <v>1050</v>
      </c>
      <c r="P239" s="57">
        <v>0.45</v>
      </c>
      <c r="Q239" s="68"/>
      <c r="R239" s="63">
        <f t="shared" si="51"/>
        <v>666.66666666666663</v>
      </c>
      <c r="S239" s="68"/>
      <c r="T239" s="68">
        <f>20*LOG10(0.7/(2*SQRT(2)*0.0000199))</f>
        <v>81.893999402171573</v>
      </c>
      <c r="U239" s="68"/>
      <c r="V239" s="68"/>
      <c r="W239" s="68"/>
      <c r="X239" s="29">
        <f t="shared" si="43"/>
        <v>81.893999402171573</v>
      </c>
      <c r="Y239" s="66">
        <v>2.0000000000000002E-5</v>
      </c>
      <c r="Z239" s="66">
        <f>1/0.00075</f>
        <v>1333.3333333333333</v>
      </c>
      <c r="AA239" s="83">
        <v>1</v>
      </c>
      <c r="AB239" s="63">
        <f t="shared" si="50"/>
        <v>1333.3333333333333</v>
      </c>
      <c r="AC239" s="63" t="s">
        <v>2096</v>
      </c>
      <c r="AD239" s="65">
        <f t="shared" si="39"/>
        <v>15000.000000000002</v>
      </c>
      <c r="AE239" s="29" t="str">
        <f t="shared" si="44"/>
        <v/>
      </c>
      <c r="AF239" s="29">
        <f t="shared" si="40"/>
        <v>1475.6793765028942</v>
      </c>
      <c r="AG239" s="54" t="str">
        <f t="shared" si="45"/>
        <v/>
      </c>
      <c r="AH239" s="54">
        <f t="shared" si="41"/>
        <v>157.12278685497495</v>
      </c>
      <c r="AI239" s="66">
        <f t="shared" si="46"/>
        <v>1.1067595323771708</v>
      </c>
      <c r="AJ239" s="67">
        <f t="shared" si="47"/>
        <v>188.37217422105795</v>
      </c>
    </row>
    <row r="240" spans="1:36" x14ac:dyDescent="0.3">
      <c r="A240" s="83">
        <v>2013</v>
      </c>
      <c r="B240" s="93">
        <v>15.5</v>
      </c>
      <c r="C240" s="91" t="s">
        <v>22</v>
      </c>
      <c r="D240" s="8" t="s">
        <v>1527</v>
      </c>
      <c r="E240" s="92">
        <v>0.16</v>
      </c>
      <c r="F240" s="131" t="s">
        <v>2802</v>
      </c>
      <c r="G240" s="131" t="s">
        <v>2804</v>
      </c>
      <c r="H240" s="85" t="s">
        <v>1023</v>
      </c>
      <c r="I240" s="150" t="s">
        <v>2803</v>
      </c>
      <c r="J240" s="148" t="str">
        <f t="shared" si="42"/>
        <v>https://doi.org/10.1109/ISSCC.2013.6487733</v>
      </c>
      <c r="K240" s="17" t="s">
        <v>1050</v>
      </c>
      <c r="L240" s="68"/>
      <c r="M240" s="68"/>
      <c r="N240" s="68"/>
      <c r="O240" s="56" t="s">
        <v>1050</v>
      </c>
      <c r="P240" s="57">
        <v>0.375</v>
      </c>
      <c r="Q240" s="68"/>
      <c r="R240" s="63">
        <f t="shared" si="51"/>
        <v>12.5</v>
      </c>
      <c r="S240" s="68"/>
      <c r="T240" s="68">
        <f>20*LOG10(1.8/(2*SQRT(2)*0.00000065))</f>
        <v>119.81628309928958</v>
      </c>
      <c r="U240" s="68"/>
      <c r="V240" s="68"/>
      <c r="W240" s="68"/>
      <c r="X240" s="29">
        <f t="shared" si="43"/>
        <v>119.81628309928958</v>
      </c>
      <c r="Y240" s="66">
        <f>0.0000035*1.8</f>
        <v>6.2999999999999998E-6</v>
      </c>
      <c r="Z240" s="66">
        <f>1/0.04*2000</f>
        <v>50000</v>
      </c>
      <c r="AA240" s="83">
        <v>2000</v>
      </c>
      <c r="AB240" s="63">
        <f t="shared" si="50"/>
        <v>25</v>
      </c>
      <c r="AC240" s="63" t="s">
        <v>2096</v>
      </c>
      <c r="AD240" s="65">
        <f t="shared" si="39"/>
        <v>251999.99999999997</v>
      </c>
      <c r="AE240" s="29" t="str">
        <f t="shared" si="44"/>
        <v/>
      </c>
      <c r="AF240" s="29">
        <f t="shared" si="40"/>
        <v>314.7734909042959</v>
      </c>
      <c r="AG240" s="54" t="str">
        <f t="shared" si="45"/>
        <v/>
      </c>
      <c r="AH240" s="54">
        <f t="shared" si="41"/>
        <v>182.79197773483432</v>
      </c>
      <c r="AI240" s="66">
        <f t="shared" si="46"/>
        <v>12.590939636171836</v>
      </c>
      <c r="AJ240" s="67">
        <f t="shared" si="47"/>
        <v>196.77137782155469</v>
      </c>
    </row>
    <row r="241" spans="1:36" x14ac:dyDescent="0.3">
      <c r="A241" s="83">
        <v>2013</v>
      </c>
      <c r="B241" s="90">
        <v>15.7</v>
      </c>
      <c r="C241" s="91" t="s">
        <v>23</v>
      </c>
      <c r="D241" s="8" t="s">
        <v>31</v>
      </c>
      <c r="E241" s="92">
        <v>0.09</v>
      </c>
      <c r="F241" s="131" t="s">
        <v>1009</v>
      </c>
      <c r="G241" s="131" t="s">
        <v>1010</v>
      </c>
      <c r="H241" s="85" t="s">
        <v>1024</v>
      </c>
      <c r="I241" s="146" t="s">
        <v>2795</v>
      </c>
      <c r="J241" s="148" t="str">
        <f t="shared" si="42"/>
        <v>https://doi.org/10.1109/ISSCC.2013.6487735</v>
      </c>
      <c r="K241" s="57" t="s">
        <v>1011</v>
      </c>
      <c r="L241" s="68">
        <v>0.4</v>
      </c>
      <c r="M241" s="68"/>
      <c r="N241" s="68"/>
      <c r="O241" s="56" t="s">
        <v>1050</v>
      </c>
      <c r="P241" s="57">
        <v>4.2000000000000003E-2</v>
      </c>
      <c r="Q241" s="68"/>
      <c r="R241" s="63">
        <f t="shared" si="51"/>
        <v>250000</v>
      </c>
      <c r="S241" s="68">
        <v>54.3</v>
      </c>
      <c r="T241" s="68"/>
      <c r="U241" s="68"/>
      <c r="V241" s="68"/>
      <c r="W241" s="68"/>
      <c r="X241" s="29">
        <f t="shared" si="43"/>
        <v>54.3</v>
      </c>
      <c r="Y241" s="66">
        <v>4.9999999999999998E-7</v>
      </c>
      <c r="Z241" s="66">
        <v>500000</v>
      </c>
      <c r="AA241" s="83">
        <v>1</v>
      </c>
      <c r="AB241" s="63">
        <f t="shared" si="50"/>
        <v>500000</v>
      </c>
      <c r="AC241" s="63" t="s">
        <v>2096</v>
      </c>
      <c r="AD241" s="65">
        <f t="shared" si="39"/>
        <v>1</v>
      </c>
      <c r="AE241" s="29" t="str">
        <f t="shared" si="44"/>
        <v/>
      </c>
      <c r="AF241" s="29">
        <f t="shared" si="40"/>
        <v>2.3590557836783144</v>
      </c>
      <c r="AG241" s="54" t="str">
        <f t="shared" si="45"/>
        <v/>
      </c>
      <c r="AH241" s="54">
        <f t="shared" si="41"/>
        <v>171.2897000433602</v>
      </c>
      <c r="AI241" s="66">
        <f t="shared" si="46"/>
        <v>4.7181115673566287E-6</v>
      </c>
      <c r="AJ241" s="67">
        <f t="shared" si="47"/>
        <v>228.27940008672039</v>
      </c>
    </row>
    <row r="242" spans="1:36" x14ac:dyDescent="0.3">
      <c r="A242" s="83">
        <v>2013</v>
      </c>
      <c r="B242" s="90">
        <v>15.8</v>
      </c>
      <c r="C242" s="91" t="s">
        <v>23</v>
      </c>
      <c r="D242" s="8" t="s">
        <v>26</v>
      </c>
      <c r="E242" s="92">
        <v>0.18</v>
      </c>
      <c r="F242" s="131" t="s">
        <v>1002</v>
      </c>
      <c r="G242" s="131" t="s">
        <v>1041</v>
      </c>
      <c r="H242" s="85" t="s">
        <v>1025</v>
      </c>
      <c r="I242" s="146" t="s">
        <v>2346</v>
      </c>
      <c r="J242" s="148" t="str">
        <f t="shared" si="42"/>
        <v>https://doi.org/10.1109/ISSCC.2013.6487736</v>
      </c>
      <c r="K242" s="57" t="s">
        <v>1050</v>
      </c>
      <c r="L242" s="68"/>
      <c r="M242" s="68"/>
      <c r="N242" s="68"/>
      <c r="O242" s="56" t="s">
        <v>1050</v>
      </c>
      <c r="P242" s="57">
        <f>2.2*0.65</f>
        <v>1.4300000000000002</v>
      </c>
      <c r="Q242" s="68"/>
      <c r="R242" s="63">
        <f t="shared" si="51"/>
        <v>30000000</v>
      </c>
      <c r="S242" s="68">
        <v>73.3</v>
      </c>
      <c r="T242" s="68">
        <v>75.5</v>
      </c>
      <c r="U242" s="68"/>
      <c r="V242" s="68"/>
      <c r="W242" s="68">
        <v>84</v>
      </c>
      <c r="X242" s="29">
        <f t="shared" si="43"/>
        <v>73.3</v>
      </c>
      <c r="Y242" s="66">
        <v>6.8000000000000005E-2</v>
      </c>
      <c r="Z242" s="66">
        <v>60000000</v>
      </c>
      <c r="AA242" s="83">
        <v>1</v>
      </c>
      <c r="AB242" s="63">
        <f t="shared" si="50"/>
        <v>60000000</v>
      </c>
      <c r="AC242" s="63" t="s">
        <v>2096</v>
      </c>
      <c r="AD242" s="65">
        <f t="shared" si="39"/>
        <v>1133.3333333333333</v>
      </c>
      <c r="AE242" s="29" t="str">
        <f t="shared" si="44"/>
        <v/>
      </c>
      <c r="AF242" s="29">
        <f t="shared" si="40"/>
        <v>299.91708213411749</v>
      </c>
      <c r="AG242" s="54" t="str">
        <f t="shared" si="45"/>
        <v/>
      </c>
      <c r="AH242" s="54">
        <f t="shared" si="41"/>
        <v>159.74612342013427</v>
      </c>
      <c r="AI242" s="66">
        <f t="shared" si="46"/>
        <v>4.9986180355686253E-6</v>
      </c>
      <c r="AJ242" s="67">
        <f t="shared" si="47"/>
        <v>237.52763592397071</v>
      </c>
    </row>
    <row r="243" spans="1:36" x14ac:dyDescent="0.3">
      <c r="A243" s="83">
        <v>2013</v>
      </c>
      <c r="B243" s="58">
        <v>16.3</v>
      </c>
      <c r="C243" s="58" t="s">
        <v>23</v>
      </c>
      <c r="D243" s="115" t="s">
        <v>31</v>
      </c>
      <c r="E243" s="84">
        <v>0.18</v>
      </c>
      <c r="F243" s="114" t="s">
        <v>2793</v>
      </c>
      <c r="G243" s="131" t="s">
        <v>1026</v>
      </c>
      <c r="H243" s="96" t="s">
        <v>1027</v>
      </c>
      <c r="I243" s="140" t="s">
        <v>2794</v>
      </c>
      <c r="J243" s="148" t="str">
        <f t="shared" si="42"/>
        <v>https://doi.org/10.1109/ISSCC.2013.6487739</v>
      </c>
      <c r="K243" s="32" t="s">
        <v>1050</v>
      </c>
      <c r="L243" s="87"/>
      <c r="M243" s="87"/>
      <c r="N243" s="87"/>
      <c r="O243" s="56" t="s">
        <v>1050</v>
      </c>
      <c r="P243" s="86"/>
      <c r="Q243" s="68"/>
      <c r="R243" s="63">
        <f t="shared" si="51"/>
        <v>100000</v>
      </c>
      <c r="S243" s="87">
        <f>6.02*8.27+1.76</f>
        <v>51.545399999999994</v>
      </c>
      <c r="T243" s="87"/>
      <c r="W243" s="54"/>
      <c r="X243" s="29">
        <f t="shared" si="43"/>
        <v>51.545399999999994</v>
      </c>
      <c r="Y243" s="89">
        <f>0.00000135*1.8</f>
        <v>2.43E-6</v>
      </c>
      <c r="Z243" s="66">
        <v>200000</v>
      </c>
      <c r="AA243" s="56">
        <v>1</v>
      </c>
      <c r="AB243" s="63">
        <f t="shared" si="50"/>
        <v>200000</v>
      </c>
      <c r="AC243" s="63" t="s">
        <v>2096</v>
      </c>
      <c r="AD243" s="65">
        <f t="shared" si="39"/>
        <v>12.15</v>
      </c>
      <c r="AE243" s="29" t="str">
        <f t="shared" si="44"/>
        <v/>
      </c>
      <c r="AF243" s="29">
        <f t="shared" si="40"/>
        <v>39.360283131427607</v>
      </c>
      <c r="AG243" s="54" t="str">
        <f t="shared" si="45"/>
        <v/>
      </c>
      <c r="AH243" s="54">
        <f t="shared" si="41"/>
        <v>157.68933726401687</v>
      </c>
      <c r="AI243" s="66">
        <f t="shared" si="46"/>
        <v>1.9680141565713802E-4</v>
      </c>
      <c r="AJ243" s="67">
        <f t="shared" si="47"/>
        <v>210.69963722065668</v>
      </c>
    </row>
    <row r="244" spans="1:36" x14ac:dyDescent="0.3">
      <c r="A244" s="83">
        <v>2013</v>
      </c>
      <c r="B244" s="93">
        <v>26.1</v>
      </c>
      <c r="C244" s="91" t="s">
        <v>23</v>
      </c>
      <c r="D244" s="8" t="s">
        <v>557</v>
      </c>
      <c r="E244" s="92">
        <v>0.04</v>
      </c>
      <c r="F244" s="131" t="s">
        <v>1001</v>
      </c>
      <c r="G244" s="131" t="s">
        <v>2068</v>
      </c>
      <c r="H244" s="85" t="s">
        <v>1028</v>
      </c>
      <c r="I244" s="146" t="s">
        <v>2347</v>
      </c>
      <c r="J244" s="148" t="str">
        <f t="shared" si="42"/>
        <v>https://doi.org/10.1109/ISSCC.2013.6487815</v>
      </c>
      <c r="K244" s="17" t="s">
        <v>1050</v>
      </c>
      <c r="L244" s="68"/>
      <c r="M244" s="68"/>
      <c r="N244" s="68"/>
      <c r="O244" s="56" t="s">
        <v>1050</v>
      </c>
      <c r="P244" s="57">
        <v>0.27</v>
      </c>
      <c r="Q244" s="68"/>
      <c r="R244" s="63">
        <f t="shared" si="51"/>
        <v>5000000000</v>
      </c>
      <c r="S244" s="68">
        <f>5.1*6.02+1.76</f>
        <v>32.461999999999996</v>
      </c>
      <c r="T244" s="68"/>
      <c r="U244" s="68"/>
      <c r="V244" s="68"/>
      <c r="W244" s="68"/>
      <c r="X244" s="29">
        <f t="shared" si="43"/>
        <v>32.461999999999996</v>
      </c>
      <c r="Y244" s="66">
        <v>0.24</v>
      </c>
      <c r="Z244" s="66">
        <v>10000000000</v>
      </c>
      <c r="AA244" s="83">
        <v>1</v>
      </c>
      <c r="AB244" s="63">
        <f t="shared" si="50"/>
        <v>10000000000</v>
      </c>
      <c r="AC244" s="63" t="s">
        <v>2096</v>
      </c>
      <c r="AD244" s="65">
        <f t="shared" si="39"/>
        <v>23.999999999999996</v>
      </c>
      <c r="AE244" s="29" t="str">
        <f t="shared" si="44"/>
        <v/>
      </c>
      <c r="AF244" s="29">
        <f t="shared" si="40"/>
        <v>699.77474365260582</v>
      </c>
      <c r="AG244" s="54" t="str">
        <f t="shared" si="45"/>
        <v/>
      </c>
      <c r="AH244" s="54">
        <f t="shared" si="41"/>
        <v>135.64958762624411</v>
      </c>
      <c r="AI244" s="66">
        <f t="shared" si="46"/>
        <v>6.9977474365260582E-8</v>
      </c>
      <c r="AJ244" s="67">
        <f t="shared" si="47"/>
        <v>235.64958762624411</v>
      </c>
    </row>
    <row r="245" spans="1:36" x14ac:dyDescent="0.3">
      <c r="A245" s="83">
        <v>2013</v>
      </c>
      <c r="B245" s="90">
        <v>26.2</v>
      </c>
      <c r="C245" s="91" t="s">
        <v>23</v>
      </c>
      <c r="D245" s="8" t="s">
        <v>592</v>
      </c>
      <c r="E245" s="92">
        <v>6.5000000000000002E-2</v>
      </c>
      <c r="F245" s="131" t="s">
        <v>1014</v>
      </c>
      <c r="G245" s="131" t="s">
        <v>2069</v>
      </c>
      <c r="H245" s="85" t="s">
        <v>1029</v>
      </c>
      <c r="I245" s="146" t="s">
        <v>2348</v>
      </c>
      <c r="J245" s="148" t="str">
        <f t="shared" si="42"/>
        <v>https://doi.org/10.1109/ISSCC.2013.6487816</v>
      </c>
      <c r="K245" s="17" t="s">
        <v>1050</v>
      </c>
      <c r="L245" s="68">
        <v>2.5</v>
      </c>
      <c r="M245" s="68">
        <v>1.2</v>
      </c>
      <c r="N245" s="68"/>
      <c r="O245" s="56" t="s">
        <v>1050</v>
      </c>
      <c r="P245" s="57">
        <v>7.4</v>
      </c>
      <c r="Q245" s="68">
        <v>54</v>
      </c>
      <c r="R245" s="63">
        <f t="shared" si="51"/>
        <v>1800000000</v>
      </c>
      <c r="S245" s="68">
        <v>50</v>
      </c>
      <c r="T245" s="68"/>
      <c r="U245" s="68"/>
      <c r="V245" s="68"/>
      <c r="W245" s="68"/>
      <c r="X245" s="29">
        <f t="shared" si="43"/>
        <v>50</v>
      </c>
      <c r="Y245" s="66">
        <v>0.79500000000000004</v>
      </c>
      <c r="Z245" s="66">
        <v>3600000000</v>
      </c>
      <c r="AA245" s="83">
        <v>1</v>
      </c>
      <c r="AB245" s="63">
        <f t="shared" si="50"/>
        <v>3600000000</v>
      </c>
      <c r="AC245" s="63" t="s">
        <v>2096</v>
      </c>
      <c r="AD245" s="65">
        <f t="shared" si="39"/>
        <v>220.83333333333334</v>
      </c>
      <c r="AE245" s="29">
        <f t="shared" si="44"/>
        <v>539.26760655245687</v>
      </c>
      <c r="AF245" s="29">
        <f t="shared" si="40"/>
        <v>854.72078254765142</v>
      </c>
      <c r="AG245" s="54">
        <f t="shared" si="45"/>
        <v>147.54905376446834</v>
      </c>
      <c r="AH245" s="54">
        <f t="shared" si="41"/>
        <v>143.54905376446834</v>
      </c>
      <c r="AI245" s="66">
        <f t="shared" si="46"/>
        <v>2.3742243959656983E-7</v>
      </c>
      <c r="AJ245" s="67">
        <f t="shared" si="47"/>
        <v>239.11207877214122</v>
      </c>
    </row>
    <row r="246" spans="1:36" x14ac:dyDescent="0.3">
      <c r="A246" s="83">
        <v>2013</v>
      </c>
      <c r="B246" s="93">
        <v>26.3</v>
      </c>
      <c r="C246" s="91" t="s">
        <v>23</v>
      </c>
      <c r="D246" s="8" t="s">
        <v>260</v>
      </c>
      <c r="E246" s="92" t="s">
        <v>1003</v>
      </c>
      <c r="F246" s="131" t="s">
        <v>1004</v>
      </c>
      <c r="G246" s="131" t="s">
        <v>1005</v>
      </c>
      <c r="H246" s="85" t="s">
        <v>1030</v>
      </c>
      <c r="I246" s="146" t="s">
        <v>2349</v>
      </c>
      <c r="J246" s="148" t="str">
        <f t="shared" si="42"/>
        <v>https://doi.org/10.1109/ISSCC.2013.6487817</v>
      </c>
      <c r="K246" s="57" t="s">
        <v>1050</v>
      </c>
      <c r="L246" s="68"/>
      <c r="M246" s="68"/>
      <c r="N246" s="68"/>
      <c r="O246" s="56" t="s">
        <v>1050</v>
      </c>
      <c r="P246" s="57">
        <f>7.4*14</f>
        <v>103.60000000000001</v>
      </c>
      <c r="Q246" s="68"/>
      <c r="R246" s="63">
        <v>1000000000</v>
      </c>
      <c r="S246" s="68"/>
      <c r="T246" s="68">
        <v>61</v>
      </c>
      <c r="U246" s="68"/>
      <c r="V246" s="68"/>
      <c r="W246" s="68">
        <v>78</v>
      </c>
      <c r="X246" s="29">
        <f t="shared" si="43"/>
        <v>61</v>
      </c>
      <c r="Y246" s="66">
        <v>23.9</v>
      </c>
      <c r="Z246" s="66">
        <v>2500000000</v>
      </c>
      <c r="AA246" s="83">
        <v>1</v>
      </c>
      <c r="AB246" s="63">
        <f t="shared" si="50"/>
        <v>2500000000</v>
      </c>
      <c r="AC246" s="63" t="s">
        <v>2096</v>
      </c>
      <c r="AD246" s="65">
        <f t="shared" si="39"/>
        <v>9560</v>
      </c>
      <c r="AE246" s="29" t="str">
        <f t="shared" si="44"/>
        <v/>
      </c>
      <c r="AF246" s="29">
        <f t="shared" si="40"/>
        <v>10427.08032157151</v>
      </c>
      <c r="AG246" s="54" t="str">
        <f t="shared" si="45"/>
        <v/>
      </c>
      <c r="AH246" s="54">
        <f t="shared" si="41"/>
        <v>138.18512112059921</v>
      </c>
      <c r="AI246" s="66">
        <f t="shared" si="46"/>
        <v>4.1708321286286039E-6</v>
      </c>
      <c r="AJ246" s="67">
        <f t="shared" si="47"/>
        <v>232.16452120731958</v>
      </c>
    </row>
    <row r="247" spans="1:36" x14ac:dyDescent="0.3">
      <c r="A247" s="83">
        <v>2013</v>
      </c>
      <c r="B247" s="93">
        <v>26.4</v>
      </c>
      <c r="C247" s="91" t="s">
        <v>23</v>
      </c>
      <c r="D247" s="8" t="s">
        <v>31</v>
      </c>
      <c r="E247" s="92">
        <v>3.2000000000000001E-2</v>
      </c>
      <c r="F247" s="131" t="s">
        <v>1006</v>
      </c>
      <c r="G247" s="131" t="s">
        <v>2070</v>
      </c>
      <c r="H247" s="85" t="s">
        <v>1031</v>
      </c>
      <c r="I247" s="146" t="s">
        <v>2350</v>
      </c>
      <c r="J247" s="148" t="str">
        <f t="shared" si="42"/>
        <v>https://doi.org/10.1109/ISSCC.2013.6487818</v>
      </c>
      <c r="K247" s="57" t="s">
        <v>1032</v>
      </c>
      <c r="L247" s="68">
        <v>1</v>
      </c>
      <c r="M247" s="68"/>
      <c r="N247" s="68"/>
      <c r="O247" s="56" t="s">
        <v>1050</v>
      </c>
      <c r="P247" s="97">
        <v>1.5E-3</v>
      </c>
      <c r="Q247" s="68"/>
      <c r="R247" s="63">
        <f>AB247/2</f>
        <v>600000000</v>
      </c>
      <c r="S247" s="68">
        <v>39.299999999999997</v>
      </c>
      <c r="T247" s="68"/>
      <c r="U247" s="68"/>
      <c r="V247" s="68"/>
      <c r="W247" s="68">
        <v>50</v>
      </c>
      <c r="X247" s="29">
        <f t="shared" si="43"/>
        <v>39.299999999999997</v>
      </c>
      <c r="Y247" s="66">
        <v>3.0599999999999998E-3</v>
      </c>
      <c r="Z247" s="66">
        <v>1200000000</v>
      </c>
      <c r="AA247" s="83">
        <v>1</v>
      </c>
      <c r="AB247" s="63">
        <f t="shared" si="50"/>
        <v>1200000000</v>
      </c>
      <c r="AC247" s="63" t="s">
        <v>2096</v>
      </c>
      <c r="AD247" s="65">
        <f t="shared" si="39"/>
        <v>2.5499999999999998</v>
      </c>
      <c r="AE247" s="29" t="str">
        <f t="shared" si="44"/>
        <v/>
      </c>
      <c r="AF247" s="29">
        <f t="shared" si="40"/>
        <v>33.83398333511726</v>
      </c>
      <c r="AG247" s="54" t="str">
        <f t="shared" si="45"/>
        <v/>
      </c>
      <c r="AH247" s="54">
        <f t="shared" si="41"/>
        <v>152.22429823902064</v>
      </c>
      <c r="AI247" s="66">
        <f t="shared" si="46"/>
        <v>2.8194986112597715E-8</v>
      </c>
      <c r="AJ247" s="67">
        <f t="shared" si="47"/>
        <v>243.01611069949689</v>
      </c>
    </row>
    <row r="248" spans="1:36" x14ac:dyDescent="0.3">
      <c r="A248" s="83">
        <v>2013</v>
      </c>
      <c r="B248" s="90">
        <v>26.5</v>
      </c>
      <c r="C248" s="91" t="s">
        <v>23</v>
      </c>
      <c r="D248" s="8" t="s">
        <v>592</v>
      </c>
      <c r="E248" s="92">
        <v>4.4999999999999998E-2</v>
      </c>
      <c r="F248" s="131" t="s">
        <v>1015</v>
      </c>
      <c r="G248" s="131" t="s">
        <v>1016</v>
      </c>
      <c r="H248" s="85" t="s">
        <v>1033</v>
      </c>
      <c r="I248" s="146" t="s">
        <v>2792</v>
      </c>
      <c r="J248" s="148" t="str">
        <f t="shared" si="42"/>
        <v>https://doi.org/10.1109/ISSCC.2013.6487819</v>
      </c>
      <c r="K248" s="57" t="s">
        <v>1050</v>
      </c>
      <c r="L248" s="68"/>
      <c r="M248" s="68"/>
      <c r="N248" s="68"/>
      <c r="O248" s="56" t="s">
        <v>1050</v>
      </c>
      <c r="P248" s="57">
        <v>3.7999999999999999E-2</v>
      </c>
      <c r="Q248" s="68"/>
      <c r="R248" s="63">
        <f>AB248/2</f>
        <v>450000000</v>
      </c>
      <c r="S248" s="68">
        <v>51.2</v>
      </c>
      <c r="T248" s="68"/>
      <c r="U248" s="68"/>
      <c r="V248" s="68"/>
      <c r="W248" s="68">
        <v>61.6</v>
      </c>
      <c r="X248" s="29">
        <f t="shared" si="43"/>
        <v>51.2</v>
      </c>
      <c r="Y248" s="66">
        <v>1.0800000000000001E-2</v>
      </c>
      <c r="Z248" s="66">
        <v>900000000</v>
      </c>
      <c r="AA248" s="83">
        <v>1</v>
      </c>
      <c r="AB248" s="63">
        <f t="shared" si="50"/>
        <v>900000000</v>
      </c>
      <c r="AC248" s="63" t="s">
        <v>2096</v>
      </c>
      <c r="AD248" s="65">
        <f t="shared" si="39"/>
        <v>12</v>
      </c>
      <c r="AE248" s="29" t="str">
        <f t="shared" si="44"/>
        <v/>
      </c>
      <c r="AF248" s="29">
        <f t="shared" si="40"/>
        <v>40.451525372830694</v>
      </c>
      <c r="AG248" s="54" t="str">
        <f t="shared" si="45"/>
        <v/>
      </c>
      <c r="AH248" s="54">
        <f t="shared" si="41"/>
        <v>157.39788758288393</v>
      </c>
      <c r="AI248" s="66">
        <f t="shared" si="46"/>
        <v>4.4946139303145216E-8</v>
      </c>
      <c r="AJ248" s="67">
        <f t="shared" si="47"/>
        <v>246.94031267727718</v>
      </c>
    </row>
    <row r="249" spans="1:36" x14ac:dyDescent="0.3">
      <c r="A249" s="83">
        <v>2013</v>
      </c>
      <c r="B249" s="93">
        <v>26.6</v>
      </c>
      <c r="C249" s="91" t="s">
        <v>23</v>
      </c>
      <c r="D249" s="8" t="s">
        <v>592</v>
      </c>
      <c r="E249" s="92">
        <v>6.5000000000000002E-2</v>
      </c>
      <c r="F249" s="131" t="s">
        <v>1007</v>
      </c>
      <c r="G249" s="131" t="s">
        <v>1008</v>
      </c>
      <c r="H249" s="85" t="s">
        <v>1034</v>
      </c>
      <c r="I249" s="146" t="s">
        <v>2351</v>
      </c>
      <c r="J249" s="148" t="str">
        <f t="shared" si="42"/>
        <v>https://doi.org/10.1109/ISSCC.2013.6487820</v>
      </c>
      <c r="K249" s="57" t="s">
        <v>1050</v>
      </c>
      <c r="L249" s="68">
        <v>1.2</v>
      </c>
      <c r="M249" s="68"/>
      <c r="N249" s="68"/>
      <c r="O249" s="56">
        <v>4</v>
      </c>
      <c r="P249" s="57">
        <v>0.55000000000000004</v>
      </c>
      <c r="Q249" s="68">
        <v>73.599999999999994</v>
      </c>
      <c r="R249" s="63">
        <f>AB249/2</f>
        <v>40000000</v>
      </c>
      <c r="S249" s="68">
        <v>71.3</v>
      </c>
      <c r="T249" s="68"/>
      <c r="U249" s="68"/>
      <c r="V249" s="68"/>
      <c r="W249" s="68">
        <v>80.3</v>
      </c>
      <c r="X249" s="29">
        <f t="shared" si="43"/>
        <v>71.3</v>
      </c>
      <c r="Y249" s="66">
        <v>3.1099999999999999E-2</v>
      </c>
      <c r="Z249" s="66">
        <v>80000000</v>
      </c>
      <c r="AA249" s="83">
        <v>1</v>
      </c>
      <c r="AB249" s="63">
        <f t="shared" si="50"/>
        <v>80000000</v>
      </c>
      <c r="AC249" s="63" t="s">
        <v>2096</v>
      </c>
      <c r="AD249" s="65">
        <f t="shared" si="39"/>
        <v>388.75</v>
      </c>
      <c r="AE249" s="29">
        <f t="shared" si="44"/>
        <v>99.383078904607487</v>
      </c>
      <c r="AF249" s="29">
        <f t="shared" si="40"/>
        <v>129.51614438814306</v>
      </c>
      <c r="AG249" s="54">
        <f t="shared" si="45"/>
        <v>164.69299602301123</v>
      </c>
      <c r="AH249" s="54">
        <f t="shared" si="41"/>
        <v>162.39299602301122</v>
      </c>
      <c r="AI249" s="66">
        <f t="shared" si="46"/>
        <v>1.6189518048517884E-6</v>
      </c>
      <c r="AJ249" s="67">
        <f t="shared" si="47"/>
        <v>241.42389589293066</v>
      </c>
    </row>
    <row r="250" spans="1:36" x14ac:dyDescent="0.3">
      <c r="A250" s="82">
        <v>2014</v>
      </c>
      <c r="B250" s="58">
        <v>11.1</v>
      </c>
      <c r="C250" s="61" t="s">
        <v>1137</v>
      </c>
      <c r="D250" s="8" t="s">
        <v>31</v>
      </c>
      <c r="E250" s="30">
        <v>6.5000000000000002E-2</v>
      </c>
      <c r="F250" s="131" t="s">
        <v>1138</v>
      </c>
      <c r="G250" s="131" t="s">
        <v>1139</v>
      </c>
      <c r="H250" s="98" t="s">
        <v>1151</v>
      </c>
      <c r="I250" s="147" t="s">
        <v>2352</v>
      </c>
      <c r="J250" s="148" t="str">
        <f t="shared" si="42"/>
        <v>https://doi.org/10.1109/ISSCC.2014.6757396</v>
      </c>
      <c r="K250" s="57" t="s">
        <v>1140</v>
      </c>
      <c r="L250" s="68">
        <v>0.8</v>
      </c>
      <c r="M250" s="68"/>
      <c r="N250" s="68"/>
      <c r="O250" s="56">
        <v>9</v>
      </c>
      <c r="P250" s="28">
        <v>0.18</v>
      </c>
      <c r="Q250" s="68"/>
      <c r="R250" s="63">
        <v>16000</v>
      </c>
      <c r="S250" s="60">
        <v>69.7</v>
      </c>
      <c r="T250" s="60"/>
      <c r="U250" s="60"/>
      <c r="V250" s="60"/>
      <c r="W250" s="60">
        <v>78.5</v>
      </c>
      <c r="X250" s="29">
        <f t="shared" ref="X250:X264" si="52">+IF(ISNUMBER($S250),$S250,MIN($V250,$T250,$U250,$W250))</f>
        <v>69.7</v>
      </c>
      <c r="Y250" s="63">
        <v>3.5199999999999998E-7</v>
      </c>
      <c r="Z250" s="63">
        <v>32000</v>
      </c>
      <c r="AA250" s="64">
        <v>1</v>
      </c>
      <c r="AB250" s="63">
        <f t="shared" si="50"/>
        <v>32000</v>
      </c>
      <c r="AC250" s="63" t="s">
        <v>2096</v>
      </c>
      <c r="AD250" s="65">
        <f t="shared" ref="AD250:AD281" si="53">IF(AB250&gt;0, Y250/AB250*1000000000000, 0)</f>
        <v>11</v>
      </c>
      <c r="AE250" s="29" t="str">
        <f t="shared" si="44"/>
        <v/>
      </c>
      <c r="AF250" s="29">
        <f t="shared" si="40"/>
        <v>4.4060981035566495</v>
      </c>
      <c r="AG250" s="54" t="str">
        <f t="shared" si="45"/>
        <v/>
      </c>
      <c r="AH250" s="54">
        <f t="shared" ref="AH250:AH281" si="54">IF($Y250&gt;0, $X250+10*LOG10($AB250/2/$Y250), 0)</f>
        <v>176.27577319177794</v>
      </c>
      <c r="AI250" s="66">
        <f t="shared" si="46"/>
        <v>1.3769056573614529E-4</v>
      </c>
      <c r="AJ250" s="67">
        <f t="shared" si="47"/>
        <v>221.32727297497701</v>
      </c>
    </row>
    <row r="251" spans="1:36" x14ac:dyDescent="0.3">
      <c r="A251" s="83">
        <v>2014</v>
      </c>
      <c r="B251" s="58">
        <v>11.2</v>
      </c>
      <c r="C251" s="61" t="s">
        <v>23</v>
      </c>
      <c r="D251" s="8" t="s">
        <v>31</v>
      </c>
      <c r="E251" s="30">
        <v>0.04</v>
      </c>
      <c r="F251" s="131" t="s">
        <v>1166</v>
      </c>
      <c r="G251" s="131" t="s">
        <v>1167</v>
      </c>
      <c r="H251" s="98" t="s">
        <v>1152</v>
      </c>
      <c r="I251" s="147" t="s">
        <v>2353</v>
      </c>
      <c r="J251" s="148" t="str">
        <f t="shared" si="42"/>
        <v>https://doi.org/10.1109/ISSCC.2014.6757397</v>
      </c>
      <c r="K251" s="57" t="s">
        <v>1050</v>
      </c>
      <c r="L251" s="68"/>
      <c r="M251" s="68"/>
      <c r="N251" s="68"/>
      <c r="O251" s="56">
        <f>(33+528)*0.0015</f>
        <v>0.84150000000000003</v>
      </c>
      <c r="P251" s="28">
        <v>6.5000000000000002E-2</v>
      </c>
      <c r="Q251" s="68"/>
      <c r="R251" s="63">
        <v>100000</v>
      </c>
      <c r="S251" s="60">
        <v>55.63</v>
      </c>
      <c r="T251" s="60">
        <v>55.75</v>
      </c>
      <c r="U251" s="60"/>
      <c r="V251" s="60">
        <v>71.3</v>
      </c>
      <c r="W251" s="60">
        <v>76.25</v>
      </c>
      <c r="X251" s="29">
        <f t="shared" si="52"/>
        <v>55.63</v>
      </c>
      <c r="Y251" s="63">
        <v>8.3999999999999998E-8</v>
      </c>
      <c r="Z251" s="63">
        <v>200000</v>
      </c>
      <c r="AA251" s="64">
        <f t="shared" ref="AA251:AA261" si="55">IF(EXACT(C251,"NQ"), 1, 0.0001)</f>
        <v>1</v>
      </c>
      <c r="AB251" s="63">
        <f t="shared" si="50"/>
        <v>200000</v>
      </c>
      <c r="AC251" s="63" t="s">
        <v>2096</v>
      </c>
      <c r="AD251" s="65">
        <f t="shared" si="53"/>
        <v>0.42</v>
      </c>
      <c r="AE251" s="29" t="str">
        <f t="shared" si="44"/>
        <v/>
      </c>
      <c r="AF251" s="29">
        <f t="shared" si="40"/>
        <v>0.85012125376347691</v>
      </c>
      <c r="AG251" s="54" t="str">
        <f t="shared" si="45"/>
        <v/>
      </c>
      <c r="AH251" s="54">
        <f t="shared" si="54"/>
        <v>176.38720713938119</v>
      </c>
      <c r="AI251" s="66">
        <f t="shared" si="46"/>
        <v>4.250606268817385E-6</v>
      </c>
      <c r="AJ251" s="67">
        <f t="shared" si="47"/>
        <v>229.397507096021</v>
      </c>
    </row>
    <row r="252" spans="1:36" x14ac:dyDescent="0.3">
      <c r="A252" s="83">
        <v>2014</v>
      </c>
      <c r="B252" s="58">
        <v>11.3</v>
      </c>
      <c r="C252" s="61" t="s">
        <v>23</v>
      </c>
      <c r="D252" s="8" t="s">
        <v>31</v>
      </c>
      <c r="E252" s="30">
        <v>0.18</v>
      </c>
      <c r="F252" s="131" t="s">
        <v>1136</v>
      </c>
      <c r="G252" s="131" t="s">
        <v>2071</v>
      </c>
      <c r="H252" s="98" t="s">
        <v>1165</v>
      </c>
      <c r="I252" s="147" t="s">
        <v>2354</v>
      </c>
      <c r="J252" s="148" t="str">
        <f t="shared" si="42"/>
        <v>https://doi.org/10.1109/ISSCC.2014.6757398</v>
      </c>
      <c r="K252" s="17" t="s">
        <v>2238</v>
      </c>
      <c r="L252" s="68">
        <v>0.5</v>
      </c>
      <c r="M252" s="68"/>
      <c r="N252" s="68"/>
      <c r="O252" s="56">
        <f>0.072*32</f>
        <v>2.3039999999999998</v>
      </c>
      <c r="P252" s="28">
        <v>0.12</v>
      </c>
      <c r="Q252" s="68"/>
      <c r="R252" s="63">
        <v>2000</v>
      </c>
      <c r="S252" s="60">
        <f>9.55*6.02+1.76</f>
        <v>59.250999999999998</v>
      </c>
      <c r="T252" s="60"/>
      <c r="U252" s="60"/>
      <c r="V252" s="60"/>
      <c r="W252" s="60"/>
      <c r="X252" s="29">
        <f t="shared" si="52"/>
        <v>59.250999999999998</v>
      </c>
      <c r="Y252" s="63">
        <v>3.1E-8</v>
      </c>
      <c r="Z252" s="63">
        <v>4000</v>
      </c>
      <c r="AA252" s="64">
        <f t="shared" si="55"/>
        <v>1</v>
      </c>
      <c r="AB252" s="63">
        <f t="shared" si="50"/>
        <v>4000</v>
      </c>
      <c r="AC252" s="63" t="s">
        <v>2096</v>
      </c>
      <c r="AD252" s="65">
        <f t="shared" si="53"/>
        <v>7.7500000000000009</v>
      </c>
      <c r="AE252" s="29" t="str">
        <f t="shared" si="44"/>
        <v/>
      </c>
      <c r="AF252" s="29">
        <f t="shared" si="40"/>
        <v>10.338683583834532</v>
      </c>
      <c r="AG252" s="54" t="str">
        <f t="shared" si="45"/>
        <v/>
      </c>
      <c r="AH252" s="54">
        <f t="shared" si="54"/>
        <v>167.34768301829709</v>
      </c>
      <c r="AI252" s="66">
        <f t="shared" si="46"/>
        <v>2.5846708959586331E-3</v>
      </c>
      <c r="AJ252" s="67">
        <f t="shared" si="47"/>
        <v>203.36828293157672</v>
      </c>
    </row>
    <row r="253" spans="1:36" x14ac:dyDescent="0.3">
      <c r="A253" s="83">
        <v>2014</v>
      </c>
      <c r="B253" s="58">
        <v>11.4</v>
      </c>
      <c r="C253" s="61" t="s">
        <v>23</v>
      </c>
      <c r="D253" s="8" t="s">
        <v>1148</v>
      </c>
      <c r="E253" s="30">
        <v>2.8000000000000001E-2</v>
      </c>
      <c r="F253" s="131" t="s">
        <v>1134</v>
      </c>
      <c r="G253" s="131" t="s">
        <v>1135</v>
      </c>
      <c r="H253" s="98" t="s">
        <v>1164</v>
      </c>
      <c r="I253" s="147" t="s">
        <v>2355</v>
      </c>
      <c r="J253" s="148" t="str">
        <f t="shared" si="42"/>
        <v>https://doi.org/10.1109/ISSCC.2014.6757399</v>
      </c>
      <c r="K253" s="57" t="s">
        <v>1190</v>
      </c>
      <c r="L253" s="68"/>
      <c r="M253" s="68"/>
      <c r="N253" s="68"/>
      <c r="O253" s="56">
        <v>1.4</v>
      </c>
      <c r="P253" s="28">
        <f>0.37*0.37</f>
        <v>0.13689999999999999</v>
      </c>
      <c r="Q253" s="68"/>
      <c r="R253" s="63">
        <v>40000000</v>
      </c>
      <c r="S253" s="60">
        <v>66</v>
      </c>
      <c r="T253" s="60"/>
      <c r="U253" s="60"/>
      <c r="V253" s="60"/>
      <c r="W253" s="60"/>
      <c r="X253" s="29">
        <f t="shared" si="52"/>
        <v>66</v>
      </c>
      <c r="Y253" s="63">
        <v>1.5E-3</v>
      </c>
      <c r="Z253" s="63">
        <v>80000000</v>
      </c>
      <c r="AA253" s="64">
        <f t="shared" si="55"/>
        <v>1</v>
      </c>
      <c r="AB253" s="63">
        <f t="shared" si="50"/>
        <v>80000000</v>
      </c>
      <c r="AC253" s="63" t="s">
        <v>2096</v>
      </c>
      <c r="AD253" s="65">
        <f t="shared" si="53"/>
        <v>18.75</v>
      </c>
      <c r="AE253" s="29" t="str">
        <f t="shared" si="44"/>
        <v/>
      </c>
      <c r="AF253" s="29">
        <f t="shared" si="40"/>
        <v>11.499558990955745</v>
      </c>
      <c r="AG253" s="54" t="str">
        <f t="shared" si="45"/>
        <v/>
      </c>
      <c r="AH253" s="54">
        <f t="shared" si="54"/>
        <v>170.25968732272281</v>
      </c>
      <c r="AI253" s="66">
        <f t="shared" si="46"/>
        <v>1.4374448738694682E-7</v>
      </c>
      <c r="AJ253" s="67">
        <f t="shared" si="47"/>
        <v>249.29058719264225</v>
      </c>
    </row>
    <row r="254" spans="1:36" x14ac:dyDescent="0.3">
      <c r="A254" s="83">
        <v>2014</v>
      </c>
      <c r="B254" s="58">
        <v>11.5</v>
      </c>
      <c r="C254" s="61" t="s">
        <v>23</v>
      </c>
      <c r="D254" s="8" t="s">
        <v>26</v>
      </c>
      <c r="E254" s="30">
        <v>6.5000000000000002E-2</v>
      </c>
      <c r="F254" s="131" t="s">
        <v>1128</v>
      </c>
      <c r="G254" s="131" t="s">
        <v>1150</v>
      </c>
      <c r="H254" s="85" t="s">
        <v>1153</v>
      </c>
      <c r="I254" s="146" t="s">
        <v>2356</v>
      </c>
      <c r="J254" s="148" t="str">
        <f t="shared" si="42"/>
        <v>https://doi.org/10.1109/ISSCC.2014.6757400</v>
      </c>
      <c r="K254" s="57" t="s">
        <v>1050</v>
      </c>
      <c r="L254" s="68"/>
      <c r="M254" s="68"/>
      <c r="N254" s="68"/>
      <c r="O254" s="56">
        <v>0.4</v>
      </c>
      <c r="P254" s="28">
        <v>0.1</v>
      </c>
      <c r="Q254" s="68"/>
      <c r="R254" s="63">
        <v>50000000</v>
      </c>
      <c r="S254" s="60">
        <v>56.3</v>
      </c>
      <c r="T254" s="60">
        <v>56.7</v>
      </c>
      <c r="U254" s="60"/>
      <c r="V254" s="60"/>
      <c r="W254" s="60">
        <v>67.599999999999994</v>
      </c>
      <c r="X254" s="29">
        <f t="shared" si="52"/>
        <v>56.3</v>
      </c>
      <c r="Y254" s="63">
        <v>2.4599999999999999E-3</v>
      </c>
      <c r="Z254" s="63">
        <v>100000000</v>
      </c>
      <c r="AA254" s="64">
        <f t="shared" si="55"/>
        <v>1</v>
      </c>
      <c r="AB254" s="63">
        <f t="shared" si="50"/>
        <v>100000000</v>
      </c>
      <c r="AC254" s="63" t="s">
        <v>2096</v>
      </c>
      <c r="AD254" s="65">
        <f t="shared" si="53"/>
        <v>24.6</v>
      </c>
      <c r="AE254" s="29" t="str">
        <f t="shared" si="44"/>
        <v/>
      </c>
      <c r="AF254" s="29">
        <f t="shared" si="40"/>
        <v>46.096011827238421</v>
      </c>
      <c r="AG254" s="54" t="str">
        <f t="shared" si="45"/>
        <v/>
      </c>
      <c r="AH254" s="54">
        <f t="shared" si="54"/>
        <v>159.38034897232637</v>
      </c>
      <c r="AI254" s="66">
        <f t="shared" si="46"/>
        <v>4.6096011827238422E-7</v>
      </c>
      <c r="AJ254" s="67">
        <f t="shared" si="47"/>
        <v>239.38034897232637</v>
      </c>
    </row>
    <row r="255" spans="1:36" ht="14.25" customHeight="1" x14ac:dyDescent="0.3">
      <c r="A255" s="83">
        <v>2014</v>
      </c>
      <c r="B255" s="58">
        <v>11.6</v>
      </c>
      <c r="C255" s="61" t="s">
        <v>23</v>
      </c>
      <c r="D255" s="8" t="s">
        <v>26</v>
      </c>
      <c r="E255" s="30">
        <v>0.13</v>
      </c>
      <c r="F255" s="131" t="s">
        <v>1131</v>
      </c>
      <c r="G255" s="131" t="s">
        <v>1132</v>
      </c>
      <c r="H255" s="98" t="s">
        <v>1159</v>
      </c>
      <c r="I255" s="147" t="s">
        <v>2357</v>
      </c>
      <c r="J255" s="148" t="str">
        <f t="shared" si="42"/>
        <v>https://doi.org/10.1109/ISSCC.2014.6757401</v>
      </c>
      <c r="K255" s="57" t="s">
        <v>1133</v>
      </c>
      <c r="L255" s="68"/>
      <c r="M255" s="68"/>
      <c r="N255" s="68"/>
      <c r="O255" s="56">
        <v>2</v>
      </c>
      <c r="P255" s="28">
        <f>1.1*0.875</f>
        <v>0.96250000000000013</v>
      </c>
      <c r="Q255" s="68">
        <v>74.5</v>
      </c>
      <c r="R255" s="63">
        <v>25000000</v>
      </c>
      <c r="S255" s="60">
        <v>73.099999999999994</v>
      </c>
      <c r="T255" s="60"/>
      <c r="U255" s="60"/>
      <c r="V255" s="60"/>
      <c r="W255" s="60">
        <v>84.2</v>
      </c>
      <c r="X255" s="29">
        <f t="shared" si="52"/>
        <v>73.099999999999994</v>
      </c>
      <c r="Y255" s="63">
        <v>2.1600000000000001E-2</v>
      </c>
      <c r="Z255" s="63">
        <v>48000000</v>
      </c>
      <c r="AA255" s="64">
        <f t="shared" si="55"/>
        <v>1</v>
      </c>
      <c r="AB255" s="63">
        <f t="shared" si="50"/>
        <v>48000000</v>
      </c>
      <c r="AC255" s="63" t="s">
        <v>2096</v>
      </c>
      <c r="AD255" s="65">
        <f t="shared" si="53"/>
        <v>450.00000000000006</v>
      </c>
      <c r="AE255" s="29">
        <f t="shared" si="44"/>
        <v>103.71703059313253</v>
      </c>
      <c r="AF255" s="29">
        <f t="shared" si="40"/>
        <v>121.85884295792953</v>
      </c>
      <c r="AG255" s="54">
        <f t="shared" si="45"/>
        <v>164.95757490560675</v>
      </c>
      <c r="AH255" s="54">
        <f t="shared" si="54"/>
        <v>163.55757490560674</v>
      </c>
      <c r="AI255" s="66">
        <f t="shared" si="46"/>
        <v>2.5387258949568652E-6</v>
      </c>
      <c r="AJ255" s="67">
        <f t="shared" si="47"/>
        <v>240.36998727936262</v>
      </c>
    </row>
    <row r="256" spans="1:36" x14ac:dyDescent="0.3">
      <c r="A256" s="83">
        <v>2014</v>
      </c>
      <c r="B256" s="58">
        <v>22.1</v>
      </c>
      <c r="C256" s="61" t="s">
        <v>23</v>
      </c>
      <c r="D256" s="8" t="s">
        <v>592</v>
      </c>
      <c r="E256" s="30">
        <v>3.2000000000000001E-2</v>
      </c>
      <c r="F256" s="131" t="s">
        <v>1143</v>
      </c>
      <c r="G256" s="131" t="s">
        <v>1144</v>
      </c>
      <c r="H256" s="98" t="s">
        <v>1161</v>
      </c>
      <c r="I256" s="147" t="s">
        <v>2358</v>
      </c>
      <c r="J256" s="148" t="str">
        <f t="shared" si="42"/>
        <v>https://doi.org/10.1109/ISSCC.2014.6757477</v>
      </c>
      <c r="K256" s="99" t="s">
        <v>1050</v>
      </c>
      <c r="L256" s="138"/>
      <c r="M256" s="138"/>
      <c r="N256" s="138"/>
      <c r="O256" s="56"/>
      <c r="P256" s="28">
        <v>0.45</v>
      </c>
      <c r="Q256" s="68">
        <v>36</v>
      </c>
      <c r="R256" s="63">
        <v>19900000000</v>
      </c>
      <c r="S256" s="60">
        <v>33</v>
      </c>
      <c r="T256" s="60"/>
      <c r="U256" s="60"/>
      <c r="V256" s="60"/>
      <c r="W256" s="60"/>
      <c r="X256" s="29">
        <f t="shared" si="52"/>
        <v>33</v>
      </c>
      <c r="Y256" s="63">
        <v>0.66700000000000004</v>
      </c>
      <c r="Z256" s="63">
        <v>90000000000</v>
      </c>
      <c r="AA256" s="64">
        <f t="shared" si="55"/>
        <v>1</v>
      </c>
      <c r="AB256" s="63">
        <f t="shared" si="50"/>
        <v>90000000000</v>
      </c>
      <c r="AC256" s="63" t="s">
        <v>2096</v>
      </c>
      <c r="AD256" s="65">
        <f t="shared" si="53"/>
        <v>7.4111111111111114</v>
      </c>
      <c r="AE256" s="29">
        <f t="shared" si="44"/>
        <v>143.78471400054804</v>
      </c>
      <c r="AF256" s="29">
        <f t="shared" si="40"/>
        <v>203.10829754381137</v>
      </c>
      <c r="AG256" s="54">
        <f t="shared" si="45"/>
        <v>144.29086679858796</v>
      </c>
      <c r="AH256" s="54">
        <f t="shared" si="54"/>
        <v>141.29086679858796</v>
      </c>
      <c r="AI256" s="66">
        <f t="shared" si="46"/>
        <v>2.2567588615979043E-9</v>
      </c>
      <c r="AJ256" s="67">
        <f t="shared" si="47"/>
        <v>250.83329189298121</v>
      </c>
    </row>
    <row r="257" spans="1:36" x14ac:dyDescent="0.3">
      <c r="A257" s="83">
        <v>2014</v>
      </c>
      <c r="B257" s="58">
        <v>22.2</v>
      </c>
      <c r="C257" s="61" t="s">
        <v>23</v>
      </c>
      <c r="D257" s="8" t="s">
        <v>557</v>
      </c>
      <c r="E257" s="30">
        <v>3.2000000000000001E-2</v>
      </c>
      <c r="F257" s="131" t="s">
        <v>1124</v>
      </c>
      <c r="G257" s="131" t="s">
        <v>1125</v>
      </c>
      <c r="H257" s="98" t="s">
        <v>1154</v>
      </c>
      <c r="I257" s="147" t="s">
        <v>2359</v>
      </c>
      <c r="J257" s="148" t="str">
        <f t="shared" si="42"/>
        <v>https://doi.org/10.1109/ISSCC.2014.6757478</v>
      </c>
      <c r="K257" s="57" t="s">
        <v>1050</v>
      </c>
      <c r="L257" s="68"/>
      <c r="M257" s="68"/>
      <c r="N257" s="68"/>
      <c r="O257" s="56">
        <v>1</v>
      </c>
      <c r="P257" s="28">
        <v>0.25</v>
      </c>
      <c r="Q257" s="68">
        <v>35</v>
      </c>
      <c r="R257" s="63">
        <v>10000000000</v>
      </c>
      <c r="S257" s="60">
        <v>30.7</v>
      </c>
      <c r="T257" s="60"/>
      <c r="U257" s="60"/>
      <c r="V257" s="60"/>
      <c r="W257" s="60">
        <v>39</v>
      </c>
      <c r="X257" s="29">
        <f t="shared" si="52"/>
        <v>30.7</v>
      </c>
      <c r="Y257" s="63">
        <v>6.9500000000000006E-2</v>
      </c>
      <c r="Z257" s="63">
        <v>20000000000</v>
      </c>
      <c r="AA257" s="64">
        <f t="shared" si="55"/>
        <v>1</v>
      </c>
      <c r="AB257" s="63">
        <f t="shared" si="50"/>
        <v>20000000000</v>
      </c>
      <c r="AC257" s="63" t="s">
        <v>2096</v>
      </c>
      <c r="AD257" s="65">
        <f t="shared" si="53"/>
        <v>3.4750000000000005</v>
      </c>
      <c r="AE257" s="29">
        <f t="shared" si="44"/>
        <v>75.646560279361111</v>
      </c>
      <c r="AF257" s="29">
        <f t="shared" si="40"/>
        <v>124.11109591504591</v>
      </c>
      <c r="AG257" s="54">
        <f t="shared" si="45"/>
        <v>146.58015195409888</v>
      </c>
      <c r="AH257" s="54">
        <f t="shared" si="54"/>
        <v>142.28015195409887</v>
      </c>
      <c r="AI257" s="66">
        <f t="shared" si="46"/>
        <v>6.205554795752295E-9</v>
      </c>
      <c r="AJ257" s="67">
        <f t="shared" si="47"/>
        <v>245.29045191073868</v>
      </c>
    </row>
    <row r="258" spans="1:36" x14ac:dyDescent="0.3">
      <c r="A258" s="83">
        <v>2014</v>
      </c>
      <c r="B258" s="58">
        <v>22.3</v>
      </c>
      <c r="C258" s="61" t="s">
        <v>23</v>
      </c>
      <c r="D258" s="8" t="s">
        <v>592</v>
      </c>
      <c r="E258" s="30">
        <v>2.8000000000000001E-2</v>
      </c>
      <c r="F258" s="131" t="s">
        <v>1412</v>
      </c>
      <c r="G258" s="131" t="s">
        <v>2072</v>
      </c>
      <c r="H258" s="98" t="s">
        <v>1163</v>
      </c>
      <c r="I258" s="147" t="s">
        <v>2360</v>
      </c>
      <c r="J258" s="148" t="str">
        <f t="shared" si="42"/>
        <v>https://doi.org/10.1109/ISSCC.2014.6757479</v>
      </c>
      <c r="K258" s="99" t="s">
        <v>1050</v>
      </c>
      <c r="L258" s="138"/>
      <c r="M258" s="138"/>
      <c r="N258" s="138"/>
      <c r="O258" s="56"/>
      <c r="P258" s="28">
        <v>8.9999999999999993E-3</v>
      </c>
      <c r="Q258" s="68"/>
      <c r="R258" s="63">
        <v>4800000000</v>
      </c>
      <c r="S258" s="60">
        <v>33.75</v>
      </c>
      <c r="T258" s="60">
        <v>34.270000000000003</v>
      </c>
      <c r="U258" s="60"/>
      <c r="V258" s="60">
        <v>40.9</v>
      </c>
      <c r="W258" s="60">
        <v>41.1</v>
      </c>
      <c r="X258" s="29">
        <f t="shared" si="52"/>
        <v>33.75</v>
      </c>
      <c r="Y258" s="63">
        <v>3.2000000000000001E-2</v>
      </c>
      <c r="Z258" s="63">
        <v>10000000000</v>
      </c>
      <c r="AA258" s="64">
        <f t="shared" si="55"/>
        <v>1</v>
      </c>
      <c r="AB258" s="63">
        <f t="shared" si="50"/>
        <v>10000000000</v>
      </c>
      <c r="AC258" s="63" t="s">
        <v>2096</v>
      </c>
      <c r="AD258" s="65">
        <f t="shared" si="53"/>
        <v>3.2</v>
      </c>
      <c r="AE258" s="29" t="str">
        <f t="shared" si="44"/>
        <v/>
      </c>
      <c r="AF258" s="29">
        <f t="shared" ref="AF258:AF321" si="56">$AD258*1000/2^(($X258-1.76)/6.02)</f>
        <v>80.443430500621076</v>
      </c>
      <c r="AG258" s="54" t="str">
        <f t="shared" si="45"/>
        <v/>
      </c>
      <c r="AH258" s="54">
        <f t="shared" si="54"/>
        <v>145.68820026016112</v>
      </c>
      <c r="AI258" s="66">
        <f t="shared" si="46"/>
        <v>8.0443430500621081E-9</v>
      </c>
      <c r="AJ258" s="67">
        <f t="shared" si="47"/>
        <v>245.68820026016112</v>
      </c>
    </row>
    <row r="259" spans="1:36" x14ac:dyDescent="0.3">
      <c r="A259" s="83">
        <v>2014</v>
      </c>
      <c r="B259" s="58">
        <v>22.4</v>
      </c>
      <c r="C259" s="61" t="s">
        <v>23</v>
      </c>
      <c r="D259" s="8" t="s">
        <v>592</v>
      </c>
      <c r="E259" s="30">
        <v>6.5000000000000002E-2</v>
      </c>
      <c r="F259" s="131" t="s">
        <v>1141</v>
      </c>
      <c r="G259" s="131" t="s">
        <v>1142</v>
      </c>
      <c r="H259" s="98" t="s">
        <v>1155</v>
      </c>
      <c r="I259" s="147" t="s">
        <v>2361</v>
      </c>
      <c r="J259" s="148" t="str">
        <f t="shared" ref="J259:J322" si="57">IF(I259&lt;&gt;"?", HYPERLINK(CONCATENATE("https://doi.org/",I259)), "")</f>
        <v>https://doi.org/10.1109/ISSCC.2014.6757480</v>
      </c>
      <c r="K259" s="99" t="s">
        <v>1050</v>
      </c>
      <c r="L259" s="138"/>
      <c r="M259" s="138"/>
      <c r="N259" s="138"/>
      <c r="O259" s="56">
        <v>1.024</v>
      </c>
      <c r="P259" s="28">
        <v>0.78</v>
      </c>
      <c r="Q259" s="68">
        <v>53</v>
      </c>
      <c r="R259" s="63">
        <v>500000000</v>
      </c>
      <c r="S259" s="60">
        <v>51.4</v>
      </c>
      <c r="T259" s="60"/>
      <c r="U259" s="60"/>
      <c r="V259" s="60"/>
      <c r="W259" s="60">
        <v>60</v>
      </c>
      <c r="X259" s="29">
        <f t="shared" si="52"/>
        <v>51.4</v>
      </c>
      <c r="Y259" s="63">
        <v>1.89E-2</v>
      </c>
      <c r="Z259" s="63">
        <v>1000000000</v>
      </c>
      <c r="AA259" s="64">
        <f t="shared" si="55"/>
        <v>1</v>
      </c>
      <c r="AB259" s="63">
        <f t="shared" si="50"/>
        <v>1000000000</v>
      </c>
      <c r="AC259" s="63" t="s">
        <v>2096</v>
      </c>
      <c r="AD259" s="65">
        <f t="shared" si="53"/>
        <v>18.900000000000002</v>
      </c>
      <c r="AE259" s="29">
        <f t="shared" ref="AE259:AE322" si="58">IF(ISNUMBER($Q259), $AD259*1000/2^(($Q259-1.76)/6.02), "")</f>
        <v>51.785299489606082</v>
      </c>
      <c r="AF259" s="29">
        <f t="shared" si="56"/>
        <v>62.260766712116371</v>
      </c>
      <c r="AG259" s="54">
        <f t="shared" ref="AG259:AG322" si="59">IF(ISNUMBER($Q259), $Q259+10*LOG10($AB259/2/$Y259), "")</f>
        <v>157.22508200162775</v>
      </c>
      <c r="AH259" s="54">
        <f t="shared" si="54"/>
        <v>155.62508200162773</v>
      </c>
      <c r="AI259" s="66">
        <f t="shared" ref="AI259:AI264" si="60">AF259/AB259</f>
        <v>6.2260766712116377E-8</v>
      </c>
      <c r="AJ259" s="67">
        <f t="shared" ref="AJ259:AJ264" si="61">AH259+10*LOG10(AB259)</f>
        <v>245.62508200162773</v>
      </c>
    </row>
    <row r="260" spans="1:36" x14ac:dyDescent="0.3">
      <c r="A260" s="83">
        <v>2014</v>
      </c>
      <c r="B260" s="58">
        <v>22.5</v>
      </c>
      <c r="C260" s="61" t="s">
        <v>23</v>
      </c>
      <c r="D260" s="8" t="s">
        <v>592</v>
      </c>
      <c r="E260" s="30">
        <v>0.04</v>
      </c>
      <c r="F260" s="131" t="s">
        <v>1145</v>
      </c>
      <c r="G260" s="131" t="s">
        <v>1146</v>
      </c>
      <c r="H260" s="98" t="s">
        <v>1162</v>
      </c>
      <c r="I260" s="147" t="s">
        <v>2362</v>
      </c>
      <c r="J260" s="148" t="str">
        <f t="shared" si="57"/>
        <v>https://doi.org/10.1109/ISSCC.2014.6757481</v>
      </c>
      <c r="K260" s="99" t="s">
        <v>1050</v>
      </c>
      <c r="L260" s="138"/>
      <c r="M260" s="138"/>
      <c r="N260" s="138"/>
      <c r="O260" s="56"/>
      <c r="P260" s="28">
        <v>0.83</v>
      </c>
      <c r="Q260" s="68">
        <v>50</v>
      </c>
      <c r="R260" s="63">
        <v>750000000</v>
      </c>
      <c r="S260" s="60">
        <v>48</v>
      </c>
      <c r="T260" s="60"/>
      <c r="U260" s="60"/>
      <c r="V260" s="60">
        <v>58</v>
      </c>
      <c r="W260" s="60">
        <v>61</v>
      </c>
      <c r="X260" s="29">
        <f t="shared" si="52"/>
        <v>48</v>
      </c>
      <c r="Y260" s="63">
        <v>9.2999999999999999E-2</v>
      </c>
      <c r="Z260" s="63">
        <v>1620000000</v>
      </c>
      <c r="AA260" s="64">
        <f t="shared" si="55"/>
        <v>1</v>
      </c>
      <c r="AB260" s="63">
        <f t="shared" si="50"/>
        <v>1620000000</v>
      </c>
      <c r="AC260" s="63" t="s">
        <v>2096</v>
      </c>
      <c r="AD260" s="65">
        <f t="shared" si="53"/>
        <v>57.407407407407412</v>
      </c>
      <c r="AE260" s="29">
        <f t="shared" si="58"/>
        <v>222.19156611301631</v>
      </c>
      <c r="AF260" s="29">
        <f t="shared" si="56"/>
        <v>279.72902746474853</v>
      </c>
      <c r="AG260" s="54">
        <f t="shared" si="59"/>
        <v>149.40002070324715</v>
      </c>
      <c r="AH260" s="54">
        <f t="shared" si="54"/>
        <v>147.40002070324715</v>
      </c>
      <c r="AI260" s="66">
        <f t="shared" si="60"/>
        <v>1.7267223917577068E-7</v>
      </c>
      <c r="AJ260" s="67">
        <f t="shared" si="61"/>
        <v>239.49517084867347</v>
      </c>
    </row>
    <row r="261" spans="1:36" x14ac:dyDescent="0.3">
      <c r="A261" s="83">
        <v>2014</v>
      </c>
      <c r="B261" s="58">
        <v>22.6</v>
      </c>
      <c r="C261" s="61" t="s">
        <v>23</v>
      </c>
      <c r="D261" s="8" t="s">
        <v>1147</v>
      </c>
      <c r="E261" s="30">
        <v>0.04</v>
      </c>
      <c r="F261" s="131" t="s">
        <v>1126</v>
      </c>
      <c r="G261" s="131" t="s">
        <v>1127</v>
      </c>
      <c r="H261" s="98" t="s">
        <v>1156</v>
      </c>
      <c r="I261" s="147" t="s">
        <v>2363</v>
      </c>
      <c r="J261" s="148" t="str">
        <f t="shared" si="57"/>
        <v>https://doi.org/10.1109/ISSCC.2014.6757482</v>
      </c>
      <c r="K261" s="57" t="s">
        <v>1050</v>
      </c>
      <c r="L261" s="68"/>
      <c r="M261" s="68"/>
      <c r="N261" s="68"/>
      <c r="O261" s="56">
        <v>0.3</v>
      </c>
      <c r="P261" s="28">
        <v>5.1999999999999998E-2</v>
      </c>
      <c r="Q261" s="68">
        <v>37.4</v>
      </c>
      <c r="R261" s="63">
        <f>1100000000</f>
        <v>1100000000</v>
      </c>
      <c r="S261" s="60">
        <v>37.4</v>
      </c>
      <c r="T261" s="60">
        <v>36</v>
      </c>
      <c r="U261" s="60"/>
      <c r="V261" s="60"/>
      <c r="W261" s="60">
        <v>44</v>
      </c>
      <c r="X261" s="29">
        <f t="shared" si="52"/>
        <v>37.4</v>
      </c>
      <c r="Y261" s="63">
        <v>2.7400000000000001E-2</v>
      </c>
      <c r="Z261" s="63">
        <v>2200000000</v>
      </c>
      <c r="AA261" s="64">
        <f t="shared" si="55"/>
        <v>1</v>
      </c>
      <c r="AB261" s="63">
        <f t="shared" si="50"/>
        <v>2200000000</v>
      </c>
      <c r="AC261" s="63" t="s">
        <v>2096</v>
      </c>
      <c r="AD261" s="65">
        <f t="shared" si="53"/>
        <v>12.454545454545455</v>
      </c>
      <c r="AE261" s="29">
        <f t="shared" si="58"/>
        <v>205.66022172868537</v>
      </c>
      <c r="AF261" s="29">
        <f t="shared" si="56"/>
        <v>205.66022172868537</v>
      </c>
      <c r="AG261" s="54">
        <f t="shared" si="59"/>
        <v>143.43642122337837</v>
      </c>
      <c r="AH261" s="54">
        <f t="shared" si="54"/>
        <v>143.43642122337837</v>
      </c>
      <c r="AI261" s="66">
        <f t="shared" si="60"/>
        <v>9.3481918967584261E-8</v>
      </c>
      <c r="AJ261" s="67">
        <f t="shared" si="61"/>
        <v>236.86064803160045</v>
      </c>
    </row>
    <row r="262" spans="1:36" x14ac:dyDescent="0.3">
      <c r="A262" s="83">
        <v>2014</v>
      </c>
      <c r="B262" s="58">
        <v>29.1</v>
      </c>
      <c r="C262" s="61" t="s">
        <v>22</v>
      </c>
      <c r="D262" s="8" t="s">
        <v>30</v>
      </c>
      <c r="E262" s="30">
        <v>0.13</v>
      </c>
      <c r="F262" s="131" t="s">
        <v>2073</v>
      </c>
      <c r="G262" s="131" t="s">
        <v>1122</v>
      </c>
      <c r="H262" s="98" t="s">
        <v>1157</v>
      </c>
      <c r="I262" s="147" t="s">
        <v>2791</v>
      </c>
      <c r="J262" s="148" t="str">
        <f t="shared" si="57"/>
        <v>https://doi.org/10.1109/ISSCC.2014.6757520</v>
      </c>
      <c r="K262" s="57" t="s">
        <v>1123</v>
      </c>
      <c r="L262" s="68"/>
      <c r="M262" s="68"/>
      <c r="N262" s="68"/>
      <c r="O262" s="56" t="s">
        <v>1050</v>
      </c>
      <c r="P262" s="28">
        <v>0.33</v>
      </c>
      <c r="Q262" s="68"/>
      <c r="R262" s="63">
        <v>2000000</v>
      </c>
      <c r="S262" s="60">
        <v>74.400000000000006</v>
      </c>
      <c r="T262" s="60">
        <v>80.5</v>
      </c>
      <c r="U262" s="60">
        <v>82</v>
      </c>
      <c r="V262" s="60"/>
      <c r="W262" s="60"/>
      <c r="X262" s="29">
        <f t="shared" si="52"/>
        <v>74.400000000000006</v>
      </c>
      <c r="Y262" s="63">
        <v>5.0000000000000001E-3</v>
      </c>
      <c r="Z262" s="63">
        <v>256000000</v>
      </c>
      <c r="AA262" s="64">
        <v>64</v>
      </c>
      <c r="AB262" s="63">
        <f t="shared" si="50"/>
        <v>4000000</v>
      </c>
      <c r="AC262" s="63" t="s">
        <v>2096</v>
      </c>
      <c r="AD262" s="65">
        <f t="shared" si="53"/>
        <v>1250</v>
      </c>
      <c r="AE262" s="29" t="str">
        <f t="shared" si="58"/>
        <v/>
      </c>
      <c r="AF262" s="29">
        <f t="shared" si="56"/>
        <v>291.43927104877224</v>
      </c>
      <c r="AG262" s="54" t="str">
        <f t="shared" si="59"/>
        <v/>
      </c>
      <c r="AH262" s="54">
        <f t="shared" si="54"/>
        <v>160.42059991327963</v>
      </c>
      <c r="AI262" s="66">
        <f t="shared" si="60"/>
        <v>7.285981776219306E-5</v>
      </c>
      <c r="AJ262" s="67">
        <f t="shared" si="61"/>
        <v>226.44119982655926</v>
      </c>
    </row>
    <row r="263" spans="1:36" x14ac:dyDescent="0.3">
      <c r="A263" s="83">
        <v>2014</v>
      </c>
      <c r="B263" s="58">
        <v>29.2</v>
      </c>
      <c r="C263" s="61" t="s">
        <v>22</v>
      </c>
      <c r="D263" s="8" t="s">
        <v>30</v>
      </c>
      <c r="E263" s="30">
        <v>2.8000000000000001E-2</v>
      </c>
      <c r="F263" s="131" t="s">
        <v>1119</v>
      </c>
      <c r="G263" s="131" t="s">
        <v>1120</v>
      </c>
      <c r="H263" s="85" t="s">
        <v>1160</v>
      </c>
      <c r="I263" s="146" t="s">
        <v>2364</v>
      </c>
      <c r="J263" s="148" t="str">
        <f t="shared" si="57"/>
        <v>https://doi.org/10.1109/ISSCC.2014.6757521</v>
      </c>
      <c r="K263" s="57" t="s">
        <v>1121</v>
      </c>
      <c r="L263" s="68"/>
      <c r="M263" s="68"/>
      <c r="N263" s="68"/>
      <c r="O263" s="56" t="s">
        <v>1050</v>
      </c>
      <c r="P263" s="28">
        <v>0.9</v>
      </c>
      <c r="Q263" s="68"/>
      <c r="R263" s="63">
        <v>45700000</v>
      </c>
      <c r="S263" s="60">
        <v>72.599999999999994</v>
      </c>
      <c r="T263" s="60">
        <v>84.6</v>
      </c>
      <c r="U263" s="60">
        <v>90</v>
      </c>
      <c r="V263" s="60"/>
      <c r="W263" s="60"/>
      <c r="X263" s="29">
        <f t="shared" si="52"/>
        <v>72.599999999999994</v>
      </c>
      <c r="Y263" s="63">
        <v>0.23499999999999999</v>
      </c>
      <c r="Z263" s="63">
        <v>3200000000</v>
      </c>
      <c r="AA263" s="64">
        <v>35</v>
      </c>
      <c r="AB263" s="63">
        <f t="shared" si="50"/>
        <v>91428571.428571433</v>
      </c>
      <c r="AC263" s="63" t="s">
        <v>2096</v>
      </c>
      <c r="AD263" s="65">
        <f t="shared" si="53"/>
        <v>2570.3124999999995</v>
      </c>
      <c r="AE263" s="29" t="str">
        <f t="shared" si="58"/>
        <v/>
      </c>
      <c r="AF263" s="29">
        <f t="shared" si="56"/>
        <v>737.28085391681896</v>
      </c>
      <c r="AG263" s="54" t="str">
        <f t="shared" si="59"/>
        <v/>
      </c>
      <c r="AH263" s="54">
        <f t="shared" si="54"/>
        <v>155.48984076033912</v>
      </c>
      <c r="AI263" s="66">
        <f t="shared" si="60"/>
        <v>8.064009339715207E-6</v>
      </c>
      <c r="AJ263" s="67">
        <f t="shared" si="61"/>
        <v>235.10066010003544</v>
      </c>
    </row>
    <row r="264" spans="1:36" x14ac:dyDescent="0.3">
      <c r="A264" s="83">
        <v>2014</v>
      </c>
      <c r="B264" s="58">
        <v>29.3</v>
      </c>
      <c r="C264" s="61" t="s">
        <v>23</v>
      </c>
      <c r="D264" s="8" t="s">
        <v>26</v>
      </c>
      <c r="E264" s="30">
        <v>6.5000000000000002E-2</v>
      </c>
      <c r="F264" s="131" t="s">
        <v>1129</v>
      </c>
      <c r="G264" s="131" t="s">
        <v>1130</v>
      </c>
      <c r="H264" s="100" t="s">
        <v>1158</v>
      </c>
      <c r="I264" s="141" t="s">
        <v>2365</v>
      </c>
      <c r="J264" s="148" t="str">
        <f t="shared" si="57"/>
        <v>https://doi.org/10.1109/ISSCC.2014.6757522</v>
      </c>
      <c r="K264" s="57" t="s">
        <v>1149</v>
      </c>
      <c r="L264" s="68"/>
      <c r="M264" s="68"/>
      <c r="N264" s="68"/>
      <c r="O264" s="56">
        <v>1.5</v>
      </c>
      <c r="P264" s="28">
        <v>18</v>
      </c>
      <c r="Q264" s="68">
        <v>69</v>
      </c>
      <c r="R264" s="63">
        <v>500000000</v>
      </c>
      <c r="S264" s="60">
        <v>68</v>
      </c>
      <c r="T264" s="60"/>
      <c r="U264" s="60"/>
      <c r="V264" s="60"/>
      <c r="W264" s="60">
        <v>82</v>
      </c>
      <c r="X264" s="29">
        <f t="shared" si="52"/>
        <v>68</v>
      </c>
      <c r="Y264" s="63">
        <v>1.2</v>
      </c>
      <c r="Z264" s="63">
        <v>1000000000</v>
      </c>
      <c r="AA264" s="64">
        <f>IF(EXACT(C264,"NQ"), 1, 0.0001)</f>
        <v>1</v>
      </c>
      <c r="AB264" s="63">
        <f t="shared" si="50"/>
        <v>1000000000</v>
      </c>
      <c r="AC264" s="63" t="s">
        <v>2096</v>
      </c>
      <c r="AD264" s="65">
        <f t="shared" si="53"/>
        <v>1200</v>
      </c>
      <c r="AE264" s="29">
        <f t="shared" si="58"/>
        <v>521.0101828487924</v>
      </c>
      <c r="AF264" s="29">
        <f t="shared" si="56"/>
        <v>584.58974700583769</v>
      </c>
      <c r="AG264" s="54">
        <f t="shared" si="59"/>
        <v>155.19788758288394</v>
      </c>
      <c r="AH264" s="54">
        <f t="shared" si="54"/>
        <v>154.19788758288394</v>
      </c>
      <c r="AI264" s="66">
        <f t="shared" si="60"/>
        <v>5.845897470058377E-7</v>
      </c>
      <c r="AJ264" s="67">
        <f t="shared" si="61"/>
        <v>244.19788758288394</v>
      </c>
    </row>
    <row r="265" spans="1:36" x14ac:dyDescent="0.3">
      <c r="A265" s="82">
        <v>2015</v>
      </c>
      <c r="B265" s="58">
        <v>3.6</v>
      </c>
      <c r="C265" s="58" t="s">
        <v>23</v>
      </c>
      <c r="D265" s="115" t="s">
        <v>592</v>
      </c>
      <c r="E265" s="30">
        <v>6.5000000000000002E-2</v>
      </c>
      <c r="F265" s="114" t="s">
        <v>1274</v>
      </c>
      <c r="G265" s="113" t="s">
        <v>1277</v>
      </c>
      <c r="H265" s="96" t="s">
        <v>1275</v>
      </c>
      <c r="I265" s="140" t="s">
        <v>2366</v>
      </c>
      <c r="J265" s="148" t="str">
        <f t="shared" si="57"/>
        <v>https://doi.org/10.1109/ISSCC.2015.7062926</v>
      </c>
      <c r="K265" s="86" t="s">
        <v>1276</v>
      </c>
      <c r="L265" s="87"/>
      <c r="M265" s="87"/>
      <c r="N265" s="87"/>
      <c r="O265" s="58" t="s">
        <v>1050</v>
      </c>
      <c r="P265" s="88">
        <v>0.38</v>
      </c>
      <c r="R265" s="89">
        <v>5000000000</v>
      </c>
      <c r="S265" s="87">
        <f>4.74*6.02+1.76</f>
        <v>30.294800000000002</v>
      </c>
      <c r="T265" s="60"/>
      <c r="X265" s="29">
        <f t="shared" ref="X265:X301" si="62">+IF(ISNUMBER($S265),$S265,MIN($V265,$T265,$U265,$W265))</f>
        <v>30.294800000000002</v>
      </c>
      <c r="Y265" s="63">
        <v>7.9000000000000001E-2</v>
      </c>
      <c r="Z265" s="63">
        <v>10000000000</v>
      </c>
      <c r="AA265" s="101">
        <v>1</v>
      </c>
      <c r="AB265" s="63">
        <f t="shared" si="50"/>
        <v>10000000000</v>
      </c>
      <c r="AC265" s="63" t="s">
        <v>2096</v>
      </c>
      <c r="AD265" s="65">
        <f t="shared" si="53"/>
        <v>7.8999999999999995</v>
      </c>
      <c r="AE265" s="29" t="str">
        <f t="shared" si="58"/>
        <v/>
      </c>
      <c r="AF265" s="29">
        <f t="shared" si="56"/>
        <v>295.62755520279796</v>
      </c>
      <c r="AG265" s="54" t="str">
        <f t="shared" si="59"/>
        <v/>
      </c>
      <c r="AH265" s="54">
        <f t="shared" si="54"/>
        <v>138.30822913045577</v>
      </c>
      <c r="AI265" s="89">
        <f t="shared" ref="AI265:AI280" si="63">AF265/AB265</f>
        <v>2.9562755520279796E-8</v>
      </c>
      <c r="AJ265" s="67">
        <f t="shared" ref="AJ265:AJ280" si="64">AH265+10*LOG10(AB265)</f>
        <v>238.30822913045577</v>
      </c>
    </row>
    <row r="266" spans="1:36" x14ac:dyDescent="0.3">
      <c r="A266" s="64">
        <v>2015</v>
      </c>
      <c r="B266" s="30">
        <v>5.2</v>
      </c>
      <c r="C266" s="61" t="s">
        <v>22</v>
      </c>
      <c r="D266" s="8" t="s">
        <v>25</v>
      </c>
      <c r="E266" s="30">
        <v>0.18</v>
      </c>
      <c r="F266" s="131" t="s">
        <v>1268</v>
      </c>
      <c r="G266" s="131" t="s">
        <v>1269</v>
      </c>
      <c r="H266" s="98" t="s">
        <v>1270</v>
      </c>
      <c r="I266" s="147" t="s">
        <v>2367</v>
      </c>
      <c r="J266" s="148" t="str">
        <f t="shared" si="57"/>
        <v>https://doi.org/10.1109/ISSCC.2015.7062940</v>
      </c>
      <c r="K266" s="99" t="s">
        <v>1050</v>
      </c>
      <c r="L266" s="138"/>
      <c r="M266" s="138"/>
      <c r="N266" s="138"/>
      <c r="O266" s="56">
        <v>5</v>
      </c>
      <c r="P266" s="70">
        <v>0.8</v>
      </c>
      <c r="Q266" s="68"/>
      <c r="R266" s="63">
        <f>AB266/2</f>
        <v>100</v>
      </c>
      <c r="S266" s="60">
        <v>100.6</v>
      </c>
      <c r="T266" s="60">
        <v>110</v>
      </c>
      <c r="U266" s="60"/>
      <c r="V266" s="60"/>
      <c r="W266" s="60">
        <v>100.8</v>
      </c>
      <c r="X266" s="29">
        <f t="shared" si="62"/>
        <v>100.6</v>
      </c>
      <c r="Y266" s="63">
        <v>5.0500000000000002E-4</v>
      </c>
      <c r="Z266" s="63">
        <v>150000</v>
      </c>
      <c r="AA266" s="101">
        <f>Z266/AB266</f>
        <v>750</v>
      </c>
      <c r="AB266" s="63">
        <v>200</v>
      </c>
      <c r="AC266" s="63" t="s">
        <v>2096</v>
      </c>
      <c r="AD266" s="65">
        <f t="shared" si="53"/>
        <v>2525000</v>
      </c>
      <c r="AE266" s="29" t="str">
        <f t="shared" si="58"/>
        <v/>
      </c>
      <c r="AF266" s="29">
        <f t="shared" si="56"/>
        <v>28824.972093221837</v>
      </c>
      <c r="AG266" s="54" t="str">
        <f t="shared" si="59"/>
        <v/>
      </c>
      <c r="AH266" s="54">
        <f t="shared" si="54"/>
        <v>153.56708621881336</v>
      </c>
      <c r="AI266" s="89">
        <f t="shared" si="63"/>
        <v>144.1248604661092</v>
      </c>
      <c r="AJ266" s="67">
        <f t="shared" si="64"/>
        <v>176.57738617545317</v>
      </c>
    </row>
    <row r="267" spans="1:36" x14ac:dyDescent="0.3">
      <c r="A267" s="64">
        <v>2015</v>
      </c>
      <c r="B267" s="30">
        <v>15.1</v>
      </c>
      <c r="C267" s="61" t="s">
        <v>22</v>
      </c>
      <c r="D267" s="8" t="s">
        <v>1231</v>
      </c>
      <c r="E267" s="30">
        <v>2.8000000000000001E-2</v>
      </c>
      <c r="F267" s="131" t="s">
        <v>2074</v>
      </c>
      <c r="G267" s="131" t="s">
        <v>1232</v>
      </c>
      <c r="H267" s="85" t="s">
        <v>1256</v>
      </c>
      <c r="I267" s="146" t="s">
        <v>2790</v>
      </c>
      <c r="J267" s="148" t="str">
        <f t="shared" si="57"/>
        <v>https://doi.org/10.1109/ISSCC.2015.7063031</v>
      </c>
      <c r="K267" s="28" t="s">
        <v>1050</v>
      </c>
      <c r="L267" s="60"/>
      <c r="M267" s="60"/>
      <c r="N267" s="60"/>
      <c r="O267" s="56" t="s">
        <v>1233</v>
      </c>
      <c r="P267" s="28">
        <v>0.34</v>
      </c>
      <c r="Q267" s="68"/>
      <c r="R267" s="63">
        <f>AB267/2</f>
        <v>50000000</v>
      </c>
      <c r="S267" s="60">
        <v>74.599999999999994</v>
      </c>
      <c r="T267" s="60">
        <v>76.099999999999994</v>
      </c>
      <c r="U267" s="60">
        <v>85</v>
      </c>
      <c r="V267" s="60"/>
      <c r="W267" s="60"/>
      <c r="X267" s="29">
        <f t="shared" si="62"/>
        <v>74.599999999999994</v>
      </c>
      <c r="Y267" s="63">
        <v>7.8E-2</v>
      </c>
      <c r="Z267" s="63">
        <v>1800000000</v>
      </c>
      <c r="AA267" s="101">
        <v>18</v>
      </c>
      <c r="AB267" s="63">
        <f>Z267/AA267</f>
        <v>100000000</v>
      </c>
      <c r="AC267" s="63" t="s">
        <v>2096</v>
      </c>
      <c r="AD267" s="65">
        <f t="shared" si="53"/>
        <v>780</v>
      </c>
      <c r="AE267" s="29" t="str">
        <f t="shared" si="58"/>
        <v/>
      </c>
      <c r="AF267" s="29">
        <f t="shared" si="56"/>
        <v>177.71810147679855</v>
      </c>
      <c r="AG267" s="54" t="str">
        <f t="shared" si="59"/>
        <v/>
      </c>
      <c r="AH267" s="54">
        <f t="shared" si="54"/>
        <v>162.66875401645538</v>
      </c>
      <c r="AI267" s="89">
        <f t="shared" si="63"/>
        <v>1.7771810147679856E-6</v>
      </c>
      <c r="AJ267" s="67">
        <f t="shared" si="64"/>
        <v>242.66875401645538</v>
      </c>
    </row>
    <row r="268" spans="1:36" x14ac:dyDescent="0.3">
      <c r="A268" s="64">
        <v>2015</v>
      </c>
      <c r="B268" s="30">
        <v>15.2</v>
      </c>
      <c r="C268" s="61" t="s">
        <v>22</v>
      </c>
      <c r="D268" s="8" t="s">
        <v>30</v>
      </c>
      <c r="E268" s="30">
        <v>5.5E-2</v>
      </c>
      <c r="F268" s="131" t="s">
        <v>2075</v>
      </c>
      <c r="G268" s="131" t="s">
        <v>1246</v>
      </c>
      <c r="H268" s="85" t="s">
        <v>1257</v>
      </c>
      <c r="I268" s="146" t="s">
        <v>2789</v>
      </c>
      <c r="J268" s="148" t="str">
        <f t="shared" si="57"/>
        <v>https://doi.org/10.1109/ISSCC.2015.7063032</v>
      </c>
      <c r="K268" s="88" t="s">
        <v>1050</v>
      </c>
      <c r="L268" s="87"/>
      <c r="M268" s="87"/>
      <c r="N268" s="87"/>
      <c r="O268" s="56" t="s">
        <v>1233</v>
      </c>
      <c r="P268" s="28">
        <v>0.09</v>
      </c>
      <c r="Q268" s="68"/>
      <c r="R268" s="63">
        <f>AB268/2</f>
        <v>2200000</v>
      </c>
      <c r="S268" s="60">
        <v>90.4</v>
      </c>
      <c r="T268" s="60"/>
      <c r="U268" s="60">
        <v>92</v>
      </c>
      <c r="V268" s="60"/>
      <c r="W268" s="60"/>
      <c r="X268" s="29">
        <f t="shared" si="62"/>
        <v>90.4</v>
      </c>
      <c r="Y268" s="63">
        <v>4.4999999999999997E-3</v>
      </c>
      <c r="Z268" s="63">
        <v>140000000</v>
      </c>
      <c r="AA268" s="101">
        <f>Z268/AB268</f>
        <v>31.818181818181817</v>
      </c>
      <c r="AB268" s="63">
        <v>4400000</v>
      </c>
      <c r="AC268" s="63" t="s">
        <v>2096</v>
      </c>
      <c r="AD268" s="65">
        <f t="shared" si="53"/>
        <v>1022.7272727272726</v>
      </c>
      <c r="AE268" s="29" t="str">
        <f t="shared" si="58"/>
        <v/>
      </c>
      <c r="AF268" s="29">
        <f t="shared" si="56"/>
        <v>37.784890985632011</v>
      </c>
      <c r="AG268" s="54" t="str">
        <f t="shared" si="59"/>
        <v/>
      </c>
      <c r="AH268" s="54">
        <f t="shared" si="54"/>
        <v>177.29210167046864</v>
      </c>
      <c r="AI268" s="89">
        <f t="shared" si="63"/>
        <v>8.5874752240072754E-6</v>
      </c>
      <c r="AJ268" s="67">
        <f t="shared" si="64"/>
        <v>243.72662843533053</v>
      </c>
    </row>
    <row r="269" spans="1:36" x14ac:dyDescent="0.3">
      <c r="A269" s="64">
        <v>2015</v>
      </c>
      <c r="B269" s="30">
        <v>15.4</v>
      </c>
      <c r="C269" s="61" t="s">
        <v>23</v>
      </c>
      <c r="D269" s="8" t="s">
        <v>31</v>
      </c>
      <c r="E269" s="30">
        <v>6.5000000000000002E-2</v>
      </c>
      <c r="F269" s="131" t="s">
        <v>1243</v>
      </c>
      <c r="G269" s="131" t="s">
        <v>1244</v>
      </c>
      <c r="H269" s="98" t="s">
        <v>1258</v>
      </c>
      <c r="I269" s="147" t="s">
        <v>2368</v>
      </c>
      <c r="J269" s="148" t="str">
        <f t="shared" si="57"/>
        <v>https://doi.org/10.1109/ISSCC.2015.7063034</v>
      </c>
      <c r="K269" s="57" t="s">
        <v>1245</v>
      </c>
      <c r="L269" s="68"/>
      <c r="M269" s="68"/>
      <c r="N269" s="68"/>
      <c r="O269" s="56"/>
      <c r="P269" s="28">
        <v>0.26</v>
      </c>
      <c r="Q269" s="68"/>
      <c r="R269" s="63">
        <v>40000</v>
      </c>
      <c r="S269" s="60">
        <f>9.1*6.02+1.76</f>
        <v>56.541999999999994</v>
      </c>
      <c r="T269" s="60"/>
      <c r="U269" s="60"/>
      <c r="V269" s="60"/>
      <c r="W269" s="60"/>
      <c r="X269" s="29">
        <f t="shared" si="62"/>
        <v>56.541999999999994</v>
      </c>
      <c r="Y269" s="63">
        <v>1.06E-7</v>
      </c>
      <c r="Z269" s="66">
        <v>80000</v>
      </c>
      <c r="AA269" s="101">
        <v>1</v>
      </c>
      <c r="AB269" s="63">
        <f t="shared" ref="AB269:AB281" si="65">Z269/AA269</f>
        <v>80000</v>
      </c>
      <c r="AC269" s="63" t="s">
        <v>2096</v>
      </c>
      <c r="AD269" s="65">
        <f t="shared" si="53"/>
        <v>1.325</v>
      </c>
      <c r="AE269" s="29" t="str">
        <f t="shared" si="58"/>
        <v/>
      </c>
      <c r="AF269" s="29">
        <f t="shared" si="56"/>
        <v>2.4145873316138085</v>
      </c>
      <c r="AG269" s="54" t="str">
        <f t="shared" si="59"/>
        <v/>
      </c>
      <c r="AH269" s="54">
        <f t="shared" si="54"/>
        <v>172.30954126063193</v>
      </c>
      <c r="AI269" s="89">
        <f t="shared" si="63"/>
        <v>3.0182341645172605E-5</v>
      </c>
      <c r="AJ269" s="67">
        <f t="shared" si="64"/>
        <v>221.34044113055137</v>
      </c>
    </row>
    <row r="270" spans="1:36" x14ac:dyDescent="0.3">
      <c r="A270" s="64">
        <v>2015</v>
      </c>
      <c r="B270" s="30">
        <v>15.6</v>
      </c>
      <c r="C270" s="61" t="s">
        <v>23</v>
      </c>
      <c r="D270" s="8" t="s">
        <v>26</v>
      </c>
      <c r="E270" s="30">
        <v>6.5000000000000002E-2</v>
      </c>
      <c r="F270" s="131" t="s">
        <v>1237</v>
      </c>
      <c r="G270" s="131" t="s">
        <v>1238</v>
      </c>
      <c r="H270" s="98" t="s">
        <v>1259</v>
      </c>
      <c r="I270" s="147" t="s">
        <v>2369</v>
      </c>
      <c r="J270" s="148" t="str">
        <f t="shared" si="57"/>
        <v>https://doi.org/10.1109/ISSCC.2015.7063036</v>
      </c>
      <c r="K270" s="28" t="s">
        <v>1050</v>
      </c>
      <c r="L270" s="60">
        <v>1.2</v>
      </c>
      <c r="M270" s="60"/>
      <c r="N270" s="60"/>
      <c r="O270" s="56"/>
      <c r="P270" s="28">
        <v>0.53</v>
      </c>
      <c r="Q270" s="68">
        <v>67</v>
      </c>
      <c r="R270" s="63">
        <v>125000000</v>
      </c>
      <c r="S270" s="60">
        <v>65.7</v>
      </c>
      <c r="T270" s="60"/>
      <c r="U270" s="60"/>
      <c r="V270" s="60"/>
      <c r="W270" s="60">
        <v>84.6</v>
      </c>
      <c r="X270" s="29">
        <f t="shared" si="62"/>
        <v>65.7</v>
      </c>
      <c r="Y270" s="63">
        <v>4.9700000000000001E-2</v>
      </c>
      <c r="Z270" s="66">
        <v>250000000</v>
      </c>
      <c r="AA270" s="101">
        <v>1</v>
      </c>
      <c r="AB270" s="63">
        <f t="shared" si="65"/>
        <v>250000000</v>
      </c>
      <c r="AC270" s="63" t="s">
        <v>2096</v>
      </c>
      <c r="AD270" s="65">
        <f t="shared" si="53"/>
        <v>198.8</v>
      </c>
      <c r="AE270" s="29">
        <f t="shared" si="58"/>
        <v>108.6654069513997</v>
      </c>
      <c r="AF270" s="29">
        <f t="shared" si="56"/>
        <v>126.21116869198528</v>
      </c>
      <c r="AG270" s="54">
        <f t="shared" si="59"/>
        <v>161.00553624274724</v>
      </c>
      <c r="AH270" s="54">
        <f t="shared" si="54"/>
        <v>159.70553624274726</v>
      </c>
      <c r="AI270" s="89">
        <f t="shared" si="63"/>
        <v>5.0484467476794111E-7</v>
      </c>
      <c r="AJ270" s="67">
        <f t="shared" si="64"/>
        <v>243.68493632946763</v>
      </c>
    </row>
    <row r="271" spans="1:36" x14ac:dyDescent="0.3">
      <c r="A271" s="64">
        <v>2015</v>
      </c>
      <c r="B271" s="30">
        <v>15.7</v>
      </c>
      <c r="C271" s="61" t="s">
        <v>23</v>
      </c>
      <c r="D271" s="8" t="s">
        <v>31</v>
      </c>
      <c r="E271" s="30">
        <v>0.04</v>
      </c>
      <c r="F271" s="131" t="s">
        <v>1234</v>
      </c>
      <c r="G271" s="131" t="s">
        <v>1235</v>
      </c>
      <c r="H271" s="85" t="s">
        <v>1260</v>
      </c>
      <c r="I271" s="146" t="s">
        <v>2370</v>
      </c>
      <c r="J271" s="148" t="str">
        <f t="shared" si="57"/>
        <v>https://doi.org/10.1109/ISSCC.2015.7063037</v>
      </c>
      <c r="K271" s="57" t="s">
        <v>1236</v>
      </c>
      <c r="L271" s="68"/>
      <c r="M271" s="68"/>
      <c r="N271" s="68"/>
      <c r="O271" s="56">
        <v>3.5</v>
      </c>
      <c r="P271" s="28">
        <v>0.23599999999999999</v>
      </c>
      <c r="Q271" s="68">
        <v>75</v>
      </c>
      <c r="R271" s="63">
        <v>17400000</v>
      </c>
      <c r="S271" s="60">
        <v>74.400000000000006</v>
      </c>
      <c r="T271" s="60"/>
      <c r="U271" s="60"/>
      <c r="V271" s="60"/>
      <c r="W271" s="60">
        <v>88</v>
      </c>
      <c r="X271" s="29">
        <f t="shared" si="62"/>
        <v>74.400000000000006</v>
      </c>
      <c r="Y271" s="63">
        <v>5.45E-2</v>
      </c>
      <c r="Z271" s="66">
        <v>35000000</v>
      </c>
      <c r="AA271" s="101">
        <v>1</v>
      </c>
      <c r="AB271" s="63">
        <f t="shared" si="65"/>
        <v>35000000</v>
      </c>
      <c r="AC271" s="63" t="s">
        <v>2096</v>
      </c>
      <c r="AD271" s="65">
        <f t="shared" si="53"/>
        <v>1557.1428571428571</v>
      </c>
      <c r="AE271" s="29">
        <f t="shared" si="58"/>
        <v>338.81570068749261</v>
      </c>
      <c r="AF271" s="29">
        <f t="shared" si="56"/>
        <v>363.05006336361339</v>
      </c>
      <c r="AG271" s="54">
        <f t="shared" si="59"/>
        <v>160.06641546409651</v>
      </c>
      <c r="AH271" s="54">
        <f t="shared" si="54"/>
        <v>159.46641546409654</v>
      </c>
      <c r="AI271" s="89">
        <f t="shared" si="63"/>
        <v>1.0372858953246097E-5</v>
      </c>
      <c r="AJ271" s="67">
        <f t="shared" si="64"/>
        <v>234.90709590759928</v>
      </c>
    </row>
    <row r="272" spans="1:36" x14ac:dyDescent="0.3">
      <c r="A272" s="64">
        <v>2015</v>
      </c>
      <c r="B272" s="30">
        <v>15.8</v>
      </c>
      <c r="C272" s="61" t="s">
        <v>23</v>
      </c>
      <c r="D272" s="8" t="s">
        <v>26</v>
      </c>
      <c r="E272" s="30">
        <v>0.18</v>
      </c>
      <c r="F272" s="131" t="s">
        <v>1247</v>
      </c>
      <c r="G272" s="131" t="s">
        <v>1248</v>
      </c>
      <c r="H272" s="85" t="s">
        <v>1263</v>
      </c>
      <c r="I272" s="146" t="s">
        <v>2371</v>
      </c>
      <c r="J272" s="148" t="str">
        <f t="shared" si="57"/>
        <v>https://doi.org/10.1109/ISSCC.2015.7063038</v>
      </c>
      <c r="K272" s="88" t="s">
        <v>1050</v>
      </c>
      <c r="L272" s="87"/>
      <c r="M272" s="87"/>
      <c r="N272" s="87"/>
      <c r="O272" s="56">
        <v>1.25</v>
      </c>
      <c r="P272" s="28">
        <v>2.5</v>
      </c>
      <c r="Q272" s="68"/>
      <c r="R272" s="63">
        <v>250000000</v>
      </c>
      <c r="S272" s="60"/>
      <c r="T272" s="60">
        <v>64</v>
      </c>
      <c r="U272" s="60"/>
      <c r="V272" s="60"/>
      <c r="W272" s="60">
        <v>82</v>
      </c>
      <c r="X272" s="29">
        <f t="shared" si="62"/>
        <v>64</v>
      </c>
      <c r="Y272" s="63">
        <v>0.55000000000000004</v>
      </c>
      <c r="Z272" s="66">
        <v>500000000</v>
      </c>
      <c r="AA272" s="101">
        <v>1</v>
      </c>
      <c r="AB272" s="63">
        <f t="shared" si="65"/>
        <v>500000000</v>
      </c>
      <c r="AC272" s="63" t="s">
        <v>2096</v>
      </c>
      <c r="AD272" s="65">
        <f t="shared" si="53"/>
        <v>1100.0000000000002</v>
      </c>
      <c r="AE272" s="29" t="str">
        <f t="shared" si="58"/>
        <v/>
      </c>
      <c r="AF272" s="29">
        <f t="shared" si="56"/>
        <v>849.34192837787077</v>
      </c>
      <c r="AG272" s="54" t="str">
        <f t="shared" si="59"/>
        <v/>
      </c>
      <c r="AH272" s="54">
        <f t="shared" si="54"/>
        <v>150.57577319177793</v>
      </c>
      <c r="AI272" s="89">
        <f t="shared" si="63"/>
        <v>1.6986838567557415E-6</v>
      </c>
      <c r="AJ272" s="67">
        <f t="shared" si="64"/>
        <v>237.56547323513811</v>
      </c>
    </row>
    <row r="273" spans="1:36" x14ac:dyDescent="0.3">
      <c r="A273" s="64">
        <v>2015</v>
      </c>
      <c r="B273" s="30">
        <v>21.2</v>
      </c>
      <c r="C273" s="30" t="s">
        <v>23</v>
      </c>
      <c r="D273" s="30" t="s">
        <v>31</v>
      </c>
      <c r="E273" s="30">
        <v>6.5000000000000002E-2</v>
      </c>
      <c r="F273" s="28" t="s">
        <v>1271</v>
      </c>
      <c r="G273" s="131" t="s">
        <v>2094</v>
      </c>
      <c r="H273" s="28" t="s">
        <v>1272</v>
      </c>
      <c r="I273" s="125" t="s">
        <v>2372</v>
      </c>
      <c r="J273" s="148" t="str">
        <f t="shared" si="57"/>
        <v>https://doi.org/10.1109/ISSCC.2015.7063086</v>
      </c>
      <c r="K273" s="28" t="s">
        <v>1050</v>
      </c>
      <c r="L273" s="60">
        <v>0.6</v>
      </c>
      <c r="M273" s="60"/>
      <c r="N273" s="60"/>
      <c r="O273" s="28"/>
      <c r="P273" s="30"/>
      <c r="Q273" s="30"/>
      <c r="R273" s="63">
        <v>50000</v>
      </c>
      <c r="S273" s="60">
        <v>57.3</v>
      </c>
      <c r="T273" s="30"/>
      <c r="U273" s="28"/>
      <c r="V273" s="30"/>
      <c r="W273" s="28"/>
      <c r="X273" s="29">
        <f t="shared" si="62"/>
        <v>57.3</v>
      </c>
      <c r="Y273" s="63">
        <v>8.7999999999999994E-8</v>
      </c>
      <c r="Z273" s="63">
        <v>100000</v>
      </c>
      <c r="AA273" s="101">
        <v>1</v>
      </c>
      <c r="AB273" s="63">
        <f t="shared" si="65"/>
        <v>100000</v>
      </c>
      <c r="AC273" s="63" t="s">
        <v>2096</v>
      </c>
      <c r="AD273" s="65">
        <f t="shared" si="53"/>
        <v>0.88</v>
      </c>
      <c r="AE273" s="29" t="str">
        <f t="shared" si="58"/>
        <v/>
      </c>
      <c r="AF273" s="29">
        <f t="shared" si="56"/>
        <v>1.4696229816166706</v>
      </c>
      <c r="AG273" s="54" t="str">
        <f t="shared" si="59"/>
        <v/>
      </c>
      <c r="AH273" s="54">
        <f t="shared" si="54"/>
        <v>174.84487332185847</v>
      </c>
      <c r="AI273" s="89">
        <f t="shared" si="63"/>
        <v>1.4696229816166705E-5</v>
      </c>
      <c r="AJ273" s="67">
        <f t="shared" si="64"/>
        <v>224.84487332185847</v>
      </c>
    </row>
    <row r="274" spans="1:36" x14ac:dyDescent="0.3">
      <c r="A274" s="64">
        <v>2015</v>
      </c>
      <c r="B274" s="30">
        <v>26.1</v>
      </c>
      <c r="C274" s="61" t="s">
        <v>23</v>
      </c>
      <c r="D274" s="8" t="s">
        <v>745</v>
      </c>
      <c r="E274" s="30">
        <v>6.5000000000000002E-2</v>
      </c>
      <c r="F274" s="131" t="s">
        <v>1239</v>
      </c>
      <c r="G274" s="131" t="s">
        <v>1240</v>
      </c>
      <c r="H274" s="85" t="s">
        <v>1153</v>
      </c>
      <c r="I274" s="146" t="s">
        <v>2373</v>
      </c>
      <c r="J274" s="148" t="str">
        <f t="shared" si="57"/>
        <v>https://doi.org/10.1109/ISSCC.2015.7063124</v>
      </c>
      <c r="K274" s="88" t="s">
        <v>1050</v>
      </c>
      <c r="L274" s="87"/>
      <c r="M274" s="87"/>
      <c r="N274" s="87"/>
      <c r="O274" s="56">
        <v>2</v>
      </c>
      <c r="P274" s="28">
        <v>0.05</v>
      </c>
      <c r="Q274" s="68">
        <v>71.5</v>
      </c>
      <c r="R274" s="63">
        <v>25000000</v>
      </c>
      <c r="S274" s="60">
        <v>70.900000000000006</v>
      </c>
      <c r="T274" s="60"/>
      <c r="U274" s="60"/>
      <c r="V274" s="60"/>
      <c r="W274" s="60">
        <v>84.6</v>
      </c>
      <c r="X274" s="29">
        <f t="shared" si="62"/>
        <v>70.900000000000006</v>
      </c>
      <c r="Y274" s="63">
        <v>1E-3</v>
      </c>
      <c r="Z274" s="66">
        <v>50000000</v>
      </c>
      <c r="AA274" s="101">
        <v>1</v>
      </c>
      <c r="AB274" s="63">
        <f t="shared" si="65"/>
        <v>50000000</v>
      </c>
      <c r="AC274" s="63" t="s">
        <v>2096</v>
      </c>
      <c r="AD274" s="65">
        <f t="shared" si="53"/>
        <v>20.000000000000004</v>
      </c>
      <c r="AE274" s="29">
        <f t="shared" si="58"/>
        <v>6.5115218823269565</v>
      </c>
      <c r="AF274" s="29">
        <f t="shared" si="56"/>
        <v>6.9772694334280789</v>
      </c>
      <c r="AG274" s="54">
        <f t="shared" si="59"/>
        <v>175.47940008672037</v>
      </c>
      <c r="AH274" s="54">
        <f t="shared" si="54"/>
        <v>174.87940008672038</v>
      </c>
      <c r="AI274" s="89">
        <f t="shared" si="63"/>
        <v>1.3954538866856157E-7</v>
      </c>
      <c r="AJ274" s="67">
        <f t="shared" si="64"/>
        <v>251.86910013008057</v>
      </c>
    </row>
    <row r="275" spans="1:36" x14ac:dyDescent="0.3">
      <c r="A275" s="64">
        <v>2015</v>
      </c>
      <c r="B275" s="30">
        <v>26.2</v>
      </c>
      <c r="C275" s="61" t="s">
        <v>23</v>
      </c>
      <c r="D275" s="8" t="s">
        <v>31</v>
      </c>
      <c r="E275" s="30">
        <v>0.04</v>
      </c>
      <c r="F275" s="131" t="s">
        <v>1250</v>
      </c>
      <c r="G275" s="131" t="s">
        <v>2076</v>
      </c>
      <c r="H275" s="85" t="s">
        <v>1261</v>
      </c>
      <c r="I275" s="146" t="s">
        <v>2374</v>
      </c>
      <c r="J275" s="148" t="str">
        <f t="shared" si="57"/>
        <v>https://doi.org/10.1109/ISSCC.2015.7063125</v>
      </c>
      <c r="K275" s="57" t="s">
        <v>1251</v>
      </c>
      <c r="L275" s="68">
        <v>1</v>
      </c>
      <c r="M275" s="68"/>
      <c r="N275" s="68"/>
      <c r="O275" s="56">
        <v>1.3</v>
      </c>
      <c r="P275" s="28">
        <v>6.7500000000000004E-2</v>
      </c>
      <c r="Q275" s="68"/>
      <c r="R275" s="63">
        <v>3200000</v>
      </c>
      <c r="S275" s="60">
        <v>64.099999999999994</v>
      </c>
      <c r="T275" s="60"/>
      <c r="U275" s="60"/>
      <c r="V275" s="60"/>
      <c r="W275" s="60"/>
      <c r="X275" s="29">
        <f t="shared" si="62"/>
        <v>64.099999999999994</v>
      </c>
      <c r="Y275" s="63">
        <v>4.6E-5</v>
      </c>
      <c r="Z275" s="66">
        <v>6400000</v>
      </c>
      <c r="AA275" s="101">
        <v>1</v>
      </c>
      <c r="AB275" s="63">
        <f t="shared" si="65"/>
        <v>6400000</v>
      </c>
      <c r="AC275" s="63" t="s">
        <v>2096</v>
      </c>
      <c r="AD275" s="65">
        <f t="shared" si="53"/>
        <v>7.1875</v>
      </c>
      <c r="AE275" s="29" t="str">
        <f t="shared" si="58"/>
        <v/>
      </c>
      <c r="AF275" s="29">
        <f t="shared" si="56"/>
        <v>5.4861444470841558</v>
      </c>
      <c r="AG275" s="54" t="str">
        <f t="shared" si="59"/>
        <v/>
      </c>
      <c r="AH275" s="54">
        <f t="shared" si="54"/>
        <v>172.52392146638331</v>
      </c>
      <c r="AI275" s="89">
        <f t="shared" si="63"/>
        <v>8.5721006985689932E-7</v>
      </c>
      <c r="AJ275" s="67">
        <f t="shared" si="64"/>
        <v>240.58572120622219</v>
      </c>
    </row>
    <row r="276" spans="1:36" x14ac:dyDescent="0.3">
      <c r="A276" s="64">
        <v>2015</v>
      </c>
      <c r="B276" s="30">
        <v>26.3</v>
      </c>
      <c r="C276" s="61" t="s">
        <v>23</v>
      </c>
      <c r="D276" s="8" t="s">
        <v>260</v>
      </c>
      <c r="E276" s="30">
        <v>2.8000000000000001E-2</v>
      </c>
      <c r="F276" s="131" t="s">
        <v>1241</v>
      </c>
      <c r="G276" s="131" t="s">
        <v>2077</v>
      </c>
      <c r="H276" s="85" t="s">
        <v>1262</v>
      </c>
      <c r="I276" s="146" t="s">
        <v>2375</v>
      </c>
      <c r="J276" s="148" t="str">
        <f t="shared" si="57"/>
        <v>https://doi.org/10.1109/ISSCC.2015.7063126</v>
      </c>
      <c r="K276" s="57" t="s">
        <v>1242</v>
      </c>
      <c r="L276" s="68"/>
      <c r="M276" s="68"/>
      <c r="N276" s="68"/>
      <c r="O276" s="56">
        <v>1</v>
      </c>
      <c r="P276" s="28">
        <v>0.23</v>
      </c>
      <c r="Q276" s="68"/>
      <c r="R276" s="63">
        <v>400000000</v>
      </c>
      <c r="S276" s="60">
        <f>9.2*6.02+1.76</f>
        <v>57.143999999999991</v>
      </c>
      <c r="T276" s="60"/>
      <c r="U276" s="60"/>
      <c r="V276" s="60"/>
      <c r="W276" s="60"/>
      <c r="X276" s="29">
        <f t="shared" si="62"/>
        <v>57.143999999999991</v>
      </c>
      <c r="Y276" s="63">
        <v>7.6399999999999996E-2</v>
      </c>
      <c r="Z276" s="66">
        <v>800000000</v>
      </c>
      <c r="AA276" s="101">
        <v>1</v>
      </c>
      <c r="AB276" s="63">
        <f t="shared" si="65"/>
        <v>800000000</v>
      </c>
      <c r="AC276" s="63" t="s">
        <v>2096</v>
      </c>
      <c r="AD276" s="65">
        <f t="shared" si="53"/>
        <v>95.5</v>
      </c>
      <c r="AE276" s="29" t="str">
        <f t="shared" si="58"/>
        <v/>
      </c>
      <c r="AF276" s="29">
        <f t="shared" si="56"/>
        <v>162.37808358355454</v>
      </c>
      <c r="AG276" s="54" t="str">
        <f t="shared" si="59"/>
        <v/>
      </c>
      <c r="AH276" s="54">
        <f t="shared" si="54"/>
        <v>154.33366632752271</v>
      </c>
      <c r="AI276" s="89">
        <f t="shared" si="63"/>
        <v>2.0297260447944317E-7</v>
      </c>
      <c r="AJ276" s="67">
        <f t="shared" si="64"/>
        <v>243.36456619744214</v>
      </c>
    </row>
    <row r="277" spans="1:36" x14ac:dyDescent="0.3">
      <c r="A277" s="64">
        <v>2015</v>
      </c>
      <c r="B277" s="30">
        <v>26.4</v>
      </c>
      <c r="C277" s="61" t="s">
        <v>23</v>
      </c>
      <c r="D277" s="8" t="s">
        <v>592</v>
      </c>
      <c r="E277" s="30">
        <v>4.4999999999999998E-2</v>
      </c>
      <c r="F277" s="131" t="s">
        <v>1249</v>
      </c>
      <c r="G277" s="131" t="s">
        <v>1442</v>
      </c>
      <c r="H277" s="85" t="s">
        <v>1264</v>
      </c>
      <c r="I277" s="146" t="s">
        <v>2376</v>
      </c>
      <c r="J277" s="148" t="str">
        <f t="shared" si="57"/>
        <v>https://doi.org/10.1109/ISSCC.2015.7063127</v>
      </c>
      <c r="K277" s="88" t="s">
        <v>1050</v>
      </c>
      <c r="L277" s="87"/>
      <c r="M277" s="87"/>
      <c r="N277" s="87"/>
      <c r="O277" s="56">
        <v>0.08</v>
      </c>
      <c r="P277" s="28">
        <v>0.28000000000000003</v>
      </c>
      <c r="Q277" s="68">
        <v>58.75</v>
      </c>
      <c r="R277" s="63">
        <v>790000000</v>
      </c>
      <c r="S277" s="60">
        <v>56.1</v>
      </c>
      <c r="T277" s="60"/>
      <c r="U277" s="60"/>
      <c r="V277" s="60"/>
      <c r="W277" s="60">
        <v>61.2</v>
      </c>
      <c r="X277" s="29">
        <f t="shared" si="62"/>
        <v>56.1</v>
      </c>
      <c r="Y277" s="63">
        <v>1.7299999999999999E-2</v>
      </c>
      <c r="Z277" s="66">
        <v>1600000000</v>
      </c>
      <c r="AA277" s="101">
        <v>1</v>
      </c>
      <c r="AB277" s="63">
        <f t="shared" si="65"/>
        <v>1600000000</v>
      </c>
      <c r="AC277" s="63" t="s">
        <v>2096</v>
      </c>
      <c r="AD277" s="65">
        <f t="shared" si="53"/>
        <v>10.8125</v>
      </c>
      <c r="AE277" s="29">
        <f t="shared" si="58"/>
        <v>15.280661603420787</v>
      </c>
      <c r="AF277" s="29">
        <f t="shared" si="56"/>
        <v>20.732676070064269</v>
      </c>
      <c r="AG277" s="54">
        <f t="shared" si="59"/>
        <v>165.40043883863149</v>
      </c>
      <c r="AH277" s="54">
        <f t="shared" si="54"/>
        <v>162.75043883863148</v>
      </c>
      <c r="AI277" s="89">
        <f t="shared" si="63"/>
        <v>1.2957922543790168E-8</v>
      </c>
      <c r="AJ277" s="67">
        <f t="shared" si="64"/>
        <v>254.79163866519073</v>
      </c>
    </row>
    <row r="278" spans="1:36" x14ac:dyDescent="0.3">
      <c r="A278" s="64">
        <v>2015</v>
      </c>
      <c r="B278" s="30">
        <v>26.5</v>
      </c>
      <c r="C278" s="61" t="s">
        <v>23</v>
      </c>
      <c r="D278" s="8" t="s">
        <v>592</v>
      </c>
      <c r="E278" s="30">
        <v>6.5000000000000002E-2</v>
      </c>
      <c r="F278" s="131" t="s">
        <v>1252</v>
      </c>
      <c r="G278" s="131" t="s">
        <v>1253</v>
      </c>
      <c r="H278" s="85" t="s">
        <v>1265</v>
      </c>
      <c r="I278" s="146" t="s">
        <v>2377</v>
      </c>
      <c r="J278" s="148" t="str">
        <f t="shared" si="57"/>
        <v>https://doi.org/10.1109/ISSCC.2015.7063128</v>
      </c>
      <c r="K278" s="88" t="s">
        <v>1050</v>
      </c>
      <c r="L278" s="87">
        <v>1</v>
      </c>
      <c r="M278" s="87"/>
      <c r="N278" s="87"/>
      <c r="O278" s="56">
        <v>3.1E-2</v>
      </c>
      <c r="P278" s="28">
        <v>0.09</v>
      </c>
      <c r="Q278" s="68"/>
      <c r="R278" s="63">
        <v>2500000000</v>
      </c>
      <c r="S278" s="60">
        <v>30.76</v>
      </c>
      <c r="T278" s="60"/>
      <c r="U278" s="60"/>
      <c r="V278" s="60"/>
      <c r="W278" s="60">
        <v>43</v>
      </c>
      <c r="X278" s="29">
        <f t="shared" si="62"/>
        <v>30.76</v>
      </c>
      <c r="Y278" s="63">
        <v>5.4999999999999997E-3</v>
      </c>
      <c r="Z278" s="66">
        <v>5000000000</v>
      </c>
      <c r="AA278" s="101">
        <v>1</v>
      </c>
      <c r="AB278" s="63">
        <f t="shared" si="65"/>
        <v>5000000000</v>
      </c>
      <c r="AC278" s="63" t="s">
        <v>2096</v>
      </c>
      <c r="AD278" s="65">
        <f t="shared" si="53"/>
        <v>1.0999999999999999</v>
      </c>
      <c r="AE278" s="29" t="str">
        <f t="shared" si="58"/>
        <v/>
      </c>
      <c r="AF278" s="29">
        <f t="shared" si="56"/>
        <v>39.016489186202392</v>
      </c>
      <c r="AG278" s="54" t="str">
        <f t="shared" si="59"/>
        <v/>
      </c>
      <c r="AH278" s="54">
        <f t="shared" si="54"/>
        <v>147.33577319177792</v>
      </c>
      <c r="AI278" s="89">
        <f t="shared" si="63"/>
        <v>7.8032978372404779E-9</v>
      </c>
      <c r="AJ278" s="67">
        <f t="shared" si="64"/>
        <v>244.32547323513811</v>
      </c>
    </row>
    <row r="279" spans="1:36" x14ac:dyDescent="0.3">
      <c r="A279" s="64">
        <v>2015</v>
      </c>
      <c r="B279" s="30">
        <v>26.7</v>
      </c>
      <c r="C279" s="61" t="s">
        <v>23</v>
      </c>
      <c r="D279" s="8" t="s">
        <v>1148</v>
      </c>
      <c r="E279" s="30">
        <v>2.8000000000000001E-2</v>
      </c>
      <c r="F279" s="131" t="s">
        <v>1228</v>
      </c>
      <c r="G279" s="131" t="s">
        <v>1229</v>
      </c>
      <c r="H279" s="85" t="s">
        <v>1267</v>
      </c>
      <c r="I279" s="146" t="s">
        <v>2378</v>
      </c>
      <c r="J279" s="148" t="str">
        <f t="shared" si="57"/>
        <v>https://doi.org/10.1109/ISSCC.2015.7063129</v>
      </c>
      <c r="K279" s="57" t="s">
        <v>1230</v>
      </c>
      <c r="L279" s="68"/>
      <c r="M279" s="68"/>
      <c r="N279" s="68"/>
      <c r="O279" s="56">
        <v>0.1</v>
      </c>
      <c r="P279" s="28">
        <v>0.45</v>
      </c>
      <c r="Q279" s="68"/>
      <c r="R279" s="63">
        <v>2350000000</v>
      </c>
      <c r="S279" s="60">
        <v>46.1</v>
      </c>
      <c r="T279" s="60">
        <v>46.8</v>
      </c>
      <c r="U279" s="60"/>
      <c r="V279" s="60">
        <v>54.7</v>
      </c>
      <c r="W279" s="60"/>
      <c r="X279" s="29">
        <f t="shared" si="62"/>
        <v>46.1</v>
      </c>
      <c r="Y279" s="63">
        <v>0.15</v>
      </c>
      <c r="Z279" s="66">
        <v>5000000000</v>
      </c>
      <c r="AA279" s="101">
        <v>1</v>
      </c>
      <c r="AB279" s="63">
        <f t="shared" si="65"/>
        <v>5000000000</v>
      </c>
      <c r="AC279" s="63" t="s">
        <v>2096</v>
      </c>
      <c r="AD279" s="65">
        <f t="shared" si="53"/>
        <v>30</v>
      </c>
      <c r="AE279" s="29" t="str">
        <f t="shared" si="58"/>
        <v/>
      </c>
      <c r="AF279" s="29">
        <f t="shared" si="56"/>
        <v>181.92832591456408</v>
      </c>
      <c r="AG279" s="54" t="str">
        <f t="shared" si="59"/>
        <v/>
      </c>
      <c r="AH279" s="54">
        <f t="shared" si="54"/>
        <v>148.31848749616356</v>
      </c>
      <c r="AI279" s="89">
        <f t="shared" si="63"/>
        <v>3.6385665182912816E-8</v>
      </c>
      <c r="AJ279" s="67">
        <f t="shared" si="64"/>
        <v>245.30818753952374</v>
      </c>
    </row>
    <row r="280" spans="1:36" x14ac:dyDescent="0.3">
      <c r="A280" s="64">
        <v>2015</v>
      </c>
      <c r="B280" s="30">
        <v>26.7</v>
      </c>
      <c r="C280" s="61" t="s">
        <v>23</v>
      </c>
      <c r="D280" s="8" t="s">
        <v>592</v>
      </c>
      <c r="E280" s="30">
        <v>4.4999999999999998E-2</v>
      </c>
      <c r="F280" s="131" t="s">
        <v>1254</v>
      </c>
      <c r="G280" s="131" t="s">
        <v>1255</v>
      </c>
      <c r="H280" s="85" t="s">
        <v>1266</v>
      </c>
      <c r="I280" s="146" t="s">
        <v>2379</v>
      </c>
      <c r="J280" s="148" t="str">
        <f t="shared" si="57"/>
        <v>https://doi.org/10.1109/ISSCC.2015.7063130</v>
      </c>
      <c r="K280" s="88" t="s">
        <v>1050</v>
      </c>
      <c r="L280" s="87">
        <v>1.2</v>
      </c>
      <c r="M280" s="87"/>
      <c r="N280" s="87"/>
      <c r="O280" s="56">
        <v>0.4</v>
      </c>
      <c r="P280" s="28">
        <v>5.7000000000000002E-2</v>
      </c>
      <c r="Q280" s="68">
        <v>55.3</v>
      </c>
      <c r="R280" s="63">
        <v>880000000</v>
      </c>
      <c r="S280" s="60">
        <v>51.2</v>
      </c>
      <c r="T280" s="60"/>
      <c r="U280" s="60"/>
      <c r="V280" s="60"/>
      <c r="W280" s="60">
        <v>62</v>
      </c>
      <c r="X280" s="29">
        <f t="shared" si="62"/>
        <v>51.2</v>
      </c>
      <c r="Y280" s="63">
        <v>1.54E-2</v>
      </c>
      <c r="Z280" s="66">
        <v>1700000000</v>
      </c>
      <c r="AA280" s="101">
        <v>1</v>
      </c>
      <c r="AB280" s="63">
        <f t="shared" si="65"/>
        <v>1700000000</v>
      </c>
      <c r="AC280" s="63" t="s">
        <v>2096</v>
      </c>
      <c r="AD280" s="65">
        <f t="shared" si="53"/>
        <v>9.0588235294117645</v>
      </c>
      <c r="AE280" s="29">
        <f t="shared" si="58"/>
        <v>19.04605470467699</v>
      </c>
      <c r="AF280" s="29">
        <f t="shared" si="56"/>
        <v>30.536935820666308</v>
      </c>
      <c r="AG280" s="54">
        <f t="shared" si="59"/>
        <v>162.71898204877829</v>
      </c>
      <c r="AH280" s="54">
        <f t="shared" si="54"/>
        <v>158.61898204877829</v>
      </c>
      <c r="AI280" s="89">
        <f t="shared" si="63"/>
        <v>1.7962903423921358E-8</v>
      </c>
      <c r="AJ280" s="67">
        <f t="shared" si="64"/>
        <v>250.92347126256104</v>
      </c>
    </row>
    <row r="281" spans="1:36" x14ac:dyDescent="0.3">
      <c r="A281" s="59">
        <v>2016</v>
      </c>
      <c r="B281" s="58">
        <v>3.2</v>
      </c>
      <c r="C281" s="56" t="s">
        <v>23</v>
      </c>
      <c r="D281" s="115" t="s">
        <v>592</v>
      </c>
      <c r="E281" s="30">
        <v>2.8000000000000001E-2</v>
      </c>
      <c r="F281" s="131" t="s">
        <v>1366</v>
      </c>
      <c r="G281" s="131" t="s">
        <v>2078</v>
      </c>
      <c r="H281" s="85" t="s">
        <v>1367</v>
      </c>
      <c r="I281" s="146" t="s">
        <v>2380</v>
      </c>
      <c r="J281" s="148" t="str">
        <f t="shared" si="57"/>
        <v>https://doi.org/10.1109/ISSCC.2016.7417905</v>
      </c>
      <c r="K281" s="102" t="s">
        <v>1368</v>
      </c>
      <c r="L281" s="68"/>
      <c r="M281" s="68"/>
      <c r="N281" s="68"/>
      <c r="P281" s="103">
        <f>0.89*2/3</f>
        <v>0.59333333333333338</v>
      </c>
      <c r="Q281" s="87">
        <f>7*6.02+1.76</f>
        <v>43.9</v>
      </c>
      <c r="R281" s="63">
        <v>8000000000</v>
      </c>
      <c r="S281" s="60">
        <f>5.85*6.02+1.76</f>
        <v>36.976999999999997</v>
      </c>
      <c r="T281" s="60"/>
      <c r="U281" s="60"/>
      <c r="V281" s="60"/>
      <c r="W281" s="60"/>
      <c r="X281" s="29">
        <f t="shared" si="62"/>
        <v>36.976999999999997</v>
      </c>
      <c r="Y281" s="89">
        <v>0.32</v>
      </c>
      <c r="Z281" s="66">
        <v>16000000000</v>
      </c>
      <c r="AA281" s="101">
        <v>1</v>
      </c>
      <c r="AB281" s="89">
        <f t="shared" si="65"/>
        <v>16000000000</v>
      </c>
      <c r="AC281" s="89" t="s">
        <v>2096</v>
      </c>
      <c r="AD281" s="65">
        <f t="shared" si="53"/>
        <v>20.000000000000004</v>
      </c>
      <c r="AE281" s="29">
        <f t="shared" si="58"/>
        <v>156.24999999999991</v>
      </c>
      <c r="AF281" s="29">
        <f t="shared" si="56"/>
        <v>346.74046002120161</v>
      </c>
      <c r="AG281" s="54">
        <f t="shared" si="59"/>
        <v>147.87940008672038</v>
      </c>
      <c r="AH281" s="54">
        <f t="shared" si="54"/>
        <v>140.95640008672038</v>
      </c>
      <c r="AI281" s="89">
        <f t="shared" ref="AI281:AI297" si="66">AF281/AB281</f>
        <v>2.1671278751325102E-8</v>
      </c>
      <c r="AJ281" s="67">
        <f t="shared" ref="AJ281:AJ297" si="67">AH281+10*LOG10(AB281)</f>
        <v>242.99759991327963</v>
      </c>
    </row>
    <row r="282" spans="1:36" ht="13.5" customHeight="1" x14ac:dyDescent="0.3">
      <c r="A282" s="64">
        <v>2016</v>
      </c>
      <c r="B282" s="58">
        <v>15.1</v>
      </c>
      <c r="C282" s="56" t="s">
        <v>22</v>
      </c>
      <c r="D282" s="115" t="s">
        <v>30</v>
      </c>
      <c r="E282" s="30">
        <v>6.5000000000000002E-2</v>
      </c>
      <c r="F282" s="132" t="s">
        <v>1320</v>
      </c>
      <c r="G282" s="131" t="s">
        <v>1321</v>
      </c>
      <c r="H282" s="85" t="s">
        <v>1322</v>
      </c>
      <c r="I282" s="146" t="s">
        <v>2381</v>
      </c>
      <c r="J282" s="148" t="str">
        <f t="shared" si="57"/>
        <v>https://doi.org/10.1109/ISSCC.2016.7418011</v>
      </c>
      <c r="K282" s="102" t="s">
        <v>1050</v>
      </c>
      <c r="L282" s="68"/>
      <c r="M282" s="68"/>
      <c r="N282" s="68"/>
      <c r="P282" s="28">
        <v>0.16</v>
      </c>
      <c r="R282" s="63">
        <v>5000000</v>
      </c>
      <c r="S282" s="60">
        <v>75.3</v>
      </c>
      <c r="T282" s="60">
        <v>78.5</v>
      </c>
      <c r="U282" s="60">
        <v>82.5</v>
      </c>
      <c r="V282" s="60"/>
      <c r="W282" s="60"/>
      <c r="X282" s="29">
        <f t="shared" si="62"/>
        <v>75.3</v>
      </c>
      <c r="Y282" s="89">
        <v>2.47E-2</v>
      </c>
      <c r="Z282" s="66">
        <v>900000000</v>
      </c>
      <c r="AA282" s="101">
        <v>10</v>
      </c>
      <c r="AB282" s="89">
        <v>90000000</v>
      </c>
      <c r="AC282" s="89" t="s">
        <v>2096</v>
      </c>
      <c r="AD282" s="65">
        <f t="shared" ref="AD282:AD313" si="68">IF(AB282&gt;0, Y282/AB282*1000000000000, 0)</f>
        <v>274.44444444444446</v>
      </c>
      <c r="AE282" s="29" t="str">
        <f t="shared" si="58"/>
        <v/>
      </c>
      <c r="AF282" s="29">
        <f t="shared" si="56"/>
        <v>57.688336839256635</v>
      </c>
      <c r="AG282" s="54" t="str">
        <f t="shared" si="59"/>
        <v/>
      </c>
      <c r="AH282" s="54">
        <f t="shared" ref="AH282:AH313" si="69">IF($Y282&gt;0, $X282+10*LOG10($AB282/2/$Y282), 0)</f>
        <v>167.90515560515678</v>
      </c>
      <c r="AI282" s="89">
        <f t="shared" si="66"/>
        <v>6.4098152043618488E-7</v>
      </c>
      <c r="AJ282" s="67">
        <f t="shared" si="67"/>
        <v>247.44758069955003</v>
      </c>
    </row>
    <row r="283" spans="1:36" x14ac:dyDescent="0.3">
      <c r="A283" s="64">
        <v>2016</v>
      </c>
      <c r="B283" s="58">
        <v>15.2</v>
      </c>
      <c r="C283" s="56" t="s">
        <v>22</v>
      </c>
      <c r="D283" s="115" t="s">
        <v>30</v>
      </c>
      <c r="E283" s="30">
        <v>6.5000000000000002E-2</v>
      </c>
      <c r="F283" s="131" t="s">
        <v>1323</v>
      </c>
      <c r="G283" s="131" t="s">
        <v>1324</v>
      </c>
      <c r="H283" s="85" t="s">
        <v>1336</v>
      </c>
      <c r="I283" s="146" t="s">
        <v>2382</v>
      </c>
      <c r="J283" s="148" t="str">
        <f t="shared" si="57"/>
        <v>https://doi.org/10.1109/ISSCC.2016.7418012</v>
      </c>
      <c r="K283" s="102" t="s">
        <v>1050</v>
      </c>
      <c r="L283" s="68"/>
      <c r="M283" s="68"/>
      <c r="N283" s="68"/>
      <c r="P283" s="28">
        <v>0.25</v>
      </c>
      <c r="R283" s="63">
        <v>2500000</v>
      </c>
      <c r="S283" s="60">
        <v>77</v>
      </c>
      <c r="T283" s="60"/>
      <c r="U283" s="60">
        <v>77</v>
      </c>
      <c r="V283" s="60">
        <v>102</v>
      </c>
      <c r="W283" s="60">
        <v>110</v>
      </c>
      <c r="X283" s="29">
        <f t="shared" si="62"/>
        <v>77</v>
      </c>
      <c r="Y283" s="89">
        <v>4.1399999999999999E-2</v>
      </c>
      <c r="Z283" s="66">
        <v>2200000000</v>
      </c>
      <c r="AA283" s="101">
        <f>Z283/AB283</f>
        <v>44</v>
      </c>
      <c r="AB283" s="89">
        <v>50000000</v>
      </c>
      <c r="AC283" s="89" t="s">
        <v>2096</v>
      </c>
      <c r="AD283" s="65">
        <f t="shared" si="68"/>
        <v>828</v>
      </c>
      <c r="AE283" s="29" t="str">
        <f t="shared" si="58"/>
        <v/>
      </c>
      <c r="AF283" s="29">
        <f t="shared" si="56"/>
        <v>143.10520851727159</v>
      </c>
      <c r="AG283" s="54" t="str">
        <f t="shared" si="59"/>
        <v/>
      </c>
      <c r="AH283" s="54">
        <f t="shared" si="69"/>
        <v>164.80939667551138</v>
      </c>
      <c r="AI283" s="89">
        <f t="shared" si="66"/>
        <v>2.8621041703454317E-6</v>
      </c>
      <c r="AJ283" s="67">
        <f t="shared" si="67"/>
        <v>241.79909671887157</v>
      </c>
    </row>
    <row r="284" spans="1:36" x14ac:dyDescent="0.3">
      <c r="A284" s="64">
        <v>2016</v>
      </c>
      <c r="B284" s="58">
        <v>15.3</v>
      </c>
      <c r="C284" s="56" t="s">
        <v>22</v>
      </c>
      <c r="D284" s="115" t="s">
        <v>30</v>
      </c>
      <c r="E284" s="30">
        <v>6.5000000000000002E-2</v>
      </c>
      <c r="F284" s="131" t="s">
        <v>1325</v>
      </c>
      <c r="G284" s="131" t="s">
        <v>1326</v>
      </c>
      <c r="H284" s="85" t="s">
        <v>1337</v>
      </c>
      <c r="I284" s="146" t="s">
        <v>2383</v>
      </c>
      <c r="J284" s="148" t="str">
        <f t="shared" si="57"/>
        <v>https://doi.org/10.1109/ISSCC.2016.7418013</v>
      </c>
      <c r="K284" s="102" t="s">
        <v>1050</v>
      </c>
      <c r="L284" s="68"/>
      <c r="M284" s="68"/>
      <c r="N284" s="68"/>
      <c r="P284" s="28">
        <v>2.7E-2</v>
      </c>
      <c r="R284" s="63">
        <v>1000000</v>
      </c>
      <c r="S284" s="60">
        <v>72.2</v>
      </c>
      <c r="T284" s="60">
        <v>76</v>
      </c>
      <c r="U284" s="60">
        <v>77</v>
      </c>
      <c r="V284" s="60"/>
      <c r="W284" s="60"/>
      <c r="X284" s="29">
        <f t="shared" si="62"/>
        <v>72.2</v>
      </c>
      <c r="Y284" s="89">
        <v>1.57E-3</v>
      </c>
      <c r="Z284" s="66">
        <v>1000000000</v>
      </c>
      <c r="AA284" s="101">
        <f>Z284/AB284</f>
        <v>50</v>
      </c>
      <c r="AB284" s="89">
        <v>20000000</v>
      </c>
      <c r="AC284" s="89" t="s">
        <v>2096</v>
      </c>
      <c r="AD284" s="65">
        <f t="shared" si="68"/>
        <v>78.5</v>
      </c>
      <c r="AE284" s="29" t="str">
        <f t="shared" si="58"/>
        <v/>
      </c>
      <c r="AF284" s="29">
        <f t="shared" si="56"/>
        <v>23.578635977574883</v>
      </c>
      <c r="AG284" s="54" t="str">
        <f t="shared" si="59"/>
        <v/>
      </c>
      <c r="AH284" s="54">
        <f t="shared" si="69"/>
        <v>170.24100347590769</v>
      </c>
      <c r="AI284" s="89">
        <f t="shared" si="66"/>
        <v>1.1789317988787442E-6</v>
      </c>
      <c r="AJ284" s="67">
        <f t="shared" si="67"/>
        <v>243.2513034325475</v>
      </c>
    </row>
    <row r="285" spans="1:36" x14ac:dyDescent="0.3">
      <c r="A285" s="64">
        <v>2016</v>
      </c>
      <c r="B285" s="58">
        <v>15.4</v>
      </c>
      <c r="C285" s="56" t="s">
        <v>22</v>
      </c>
      <c r="D285" s="115" t="s">
        <v>30</v>
      </c>
      <c r="E285" s="30">
        <v>0.18</v>
      </c>
      <c r="F285" s="131" t="s">
        <v>1327</v>
      </c>
      <c r="G285" s="131" t="s">
        <v>1328</v>
      </c>
      <c r="H285" s="85" t="s">
        <v>1338</v>
      </c>
      <c r="I285" s="146" t="s">
        <v>2384</v>
      </c>
      <c r="J285" s="148" t="str">
        <f t="shared" si="57"/>
        <v>https://doi.org/10.1109/ISSCC.2016.7418014</v>
      </c>
      <c r="K285" s="102" t="s">
        <v>1050</v>
      </c>
      <c r="L285" s="68"/>
      <c r="M285" s="68"/>
      <c r="N285" s="68"/>
      <c r="P285" s="88">
        <f>1.27*1.05</f>
        <v>1.3335000000000001</v>
      </c>
      <c r="R285" s="63">
        <v>6000</v>
      </c>
      <c r="S285" s="60">
        <v>98.5</v>
      </c>
      <c r="T285" s="60">
        <v>99.3</v>
      </c>
      <c r="U285" s="60">
        <v>103.6</v>
      </c>
      <c r="V285" s="60"/>
      <c r="W285" s="60">
        <v>107.6</v>
      </c>
      <c r="X285" s="29">
        <f t="shared" si="62"/>
        <v>98.5</v>
      </c>
      <c r="Y285" s="89">
        <v>2.7999999999999998E-4</v>
      </c>
      <c r="Z285" s="66">
        <f>AA285*AB285</f>
        <v>6144000</v>
      </c>
      <c r="AA285" s="101">
        <v>128</v>
      </c>
      <c r="AB285" s="89">
        <v>48000</v>
      </c>
      <c r="AC285" s="89" t="s">
        <v>2096</v>
      </c>
      <c r="AD285" s="65">
        <f t="shared" si="68"/>
        <v>5833.333333333333</v>
      </c>
      <c r="AE285" s="29" t="str">
        <f t="shared" si="58"/>
        <v/>
      </c>
      <c r="AF285" s="29">
        <f t="shared" si="56"/>
        <v>84.807599510028098</v>
      </c>
      <c r="AG285" s="54" t="str">
        <f t="shared" si="59"/>
        <v/>
      </c>
      <c r="AH285" s="54">
        <f t="shared" si="69"/>
        <v>177.83053210369388</v>
      </c>
      <c r="AI285" s="89">
        <f t="shared" si="66"/>
        <v>1.766824989792252E-3</v>
      </c>
      <c r="AJ285" s="67">
        <f t="shared" si="67"/>
        <v>224.64294447744976</v>
      </c>
    </row>
    <row r="286" spans="1:36" x14ac:dyDescent="0.3">
      <c r="A286" s="64">
        <v>2016</v>
      </c>
      <c r="B286" s="58">
        <v>15.5</v>
      </c>
      <c r="C286" s="56" t="s">
        <v>22</v>
      </c>
      <c r="D286" s="115" t="s">
        <v>30</v>
      </c>
      <c r="E286" s="30">
        <v>2.8000000000000001E-2</v>
      </c>
      <c r="F286" s="131" t="s">
        <v>1329</v>
      </c>
      <c r="G286" s="131" t="s">
        <v>1330</v>
      </c>
      <c r="H286" s="85" t="s">
        <v>1339</v>
      </c>
      <c r="I286" s="146" t="s">
        <v>2385</v>
      </c>
      <c r="J286" s="148" t="str">
        <f t="shared" si="57"/>
        <v>https://doi.org/10.1109/ISSCC.2016.7418015</v>
      </c>
      <c r="K286" s="102" t="s">
        <v>1340</v>
      </c>
      <c r="L286" s="68"/>
      <c r="M286" s="68"/>
      <c r="N286" s="68"/>
      <c r="P286" s="28">
        <v>1.4</v>
      </c>
      <c r="R286" s="63">
        <v>70000000</v>
      </c>
      <c r="S286" s="60">
        <v>64.8</v>
      </c>
      <c r="T286" s="60">
        <v>66.8</v>
      </c>
      <c r="U286" s="60">
        <v>73</v>
      </c>
      <c r="V286" s="60"/>
      <c r="W286" s="60"/>
      <c r="X286" s="29">
        <f t="shared" si="62"/>
        <v>64.8</v>
      </c>
      <c r="Y286" s="89">
        <v>0.75600000000000001</v>
      </c>
      <c r="Z286" s="66">
        <v>6000000000</v>
      </c>
      <c r="AA286" s="104">
        <f>Z286/AB286</f>
        <v>8.5714285714285712</v>
      </c>
      <c r="AB286" s="89">
        <v>700000000</v>
      </c>
      <c r="AC286" s="89" t="s">
        <v>2096</v>
      </c>
      <c r="AD286" s="65">
        <f t="shared" si="68"/>
        <v>1080</v>
      </c>
      <c r="AE286" s="29" t="str">
        <f t="shared" si="58"/>
        <v/>
      </c>
      <c r="AF286" s="29">
        <f t="shared" si="56"/>
        <v>760.51826379802912</v>
      </c>
      <c r="AG286" s="54" t="str">
        <f t="shared" si="59"/>
        <v/>
      </c>
      <c r="AH286" s="54">
        <f t="shared" si="69"/>
        <v>151.4554624884907</v>
      </c>
      <c r="AI286" s="89">
        <f t="shared" si="66"/>
        <v>1.086454662568613E-6</v>
      </c>
      <c r="AJ286" s="67">
        <f t="shared" si="67"/>
        <v>239.90644288863325</v>
      </c>
    </row>
    <row r="287" spans="1:36" x14ac:dyDescent="0.3">
      <c r="A287" s="64">
        <v>2016</v>
      </c>
      <c r="B287" s="58">
        <v>15.6</v>
      </c>
      <c r="C287" s="56" t="s">
        <v>22</v>
      </c>
      <c r="D287" s="115" t="s">
        <v>30</v>
      </c>
      <c r="E287" s="30">
        <v>1.6E-2</v>
      </c>
      <c r="F287" s="131" t="s">
        <v>1331</v>
      </c>
      <c r="G287" s="131" t="s">
        <v>1332</v>
      </c>
      <c r="H287" s="85" t="s">
        <v>1341</v>
      </c>
      <c r="I287" s="146" t="s">
        <v>2788</v>
      </c>
      <c r="J287" s="148" t="str">
        <f t="shared" si="57"/>
        <v>https://doi.org/10.1109/ISSCC.2016.7418016</v>
      </c>
      <c r="K287" s="102" t="s">
        <v>1050</v>
      </c>
      <c r="L287" s="68"/>
      <c r="M287" s="68"/>
      <c r="N287" s="68"/>
      <c r="P287" s="28">
        <v>0.155</v>
      </c>
      <c r="R287" s="63">
        <v>30000000</v>
      </c>
      <c r="S287" s="60">
        <v>65.33</v>
      </c>
      <c r="T287" s="60">
        <v>68.13</v>
      </c>
      <c r="U287" s="60">
        <v>72.099999999999994</v>
      </c>
      <c r="V287" s="60">
        <v>70.95</v>
      </c>
      <c r="W287" s="60"/>
      <c r="X287" s="29">
        <f t="shared" si="62"/>
        <v>65.33</v>
      </c>
      <c r="Y287" s="89">
        <v>0.04</v>
      </c>
      <c r="Z287" s="66">
        <v>2880000000</v>
      </c>
      <c r="AA287" s="101">
        <v>9</v>
      </c>
      <c r="AB287" s="89">
        <v>320000000</v>
      </c>
      <c r="AC287" s="89" t="s">
        <v>2096</v>
      </c>
      <c r="AD287" s="65">
        <f t="shared" si="68"/>
        <v>125.00000000000001</v>
      </c>
      <c r="AE287" s="29" t="str">
        <f t="shared" si="58"/>
        <v/>
      </c>
      <c r="AF287" s="29">
        <f t="shared" si="56"/>
        <v>82.811998345263234</v>
      </c>
      <c r="AG287" s="54" t="str">
        <f t="shared" si="59"/>
        <v/>
      </c>
      <c r="AH287" s="54">
        <f t="shared" si="69"/>
        <v>161.35059991327961</v>
      </c>
      <c r="AI287" s="89">
        <f t="shared" si="66"/>
        <v>2.5878749482894759E-7</v>
      </c>
      <c r="AJ287" s="67">
        <f t="shared" si="67"/>
        <v>246.40209969647867</v>
      </c>
    </row>
    <row r="288" spans="1:36" x14ac:dyDescent="0.3">
      <c r="A288" s="64">
        <v>2016</v>
      </c>
      <c r="B288" s="58">
        <v>15.7</v>
      </c>
      <c r="C288" s="56" t="s">
        <v>22</v>
      </c>
      <c r="D288" s="115" t="s">
        <v>25</v>
      </c>
      <c r="E288" s="30">
        <v>0.16</v>
      </c>
      <c r="F288" s="133" t="s">
        <v>2079</v>
      </c>
      <c r="G288" s="131" t="s">
        <v>1333</v>
      </c>
      <c r="H288" s="85" t="s">
        <v>1342</v>
      </c>
      <c r="I288" s="146" t="s">
        <v>2386</v>
      </c>
      <c r="J288" s="148" t="str">
        <f t="shared" si="57"/>
        <v>https://doi.org/10.1109/ISSCC.2016.7418017</v>
      </c>
      <c r="K288" s="102" t="s">
        <v>1050</v>
      </c>
      <c r="L288" s="68"/>
      <c r="M288" s="68"/>
      <c r="N288" s="68"/>
      <c r="P288" s="28">
        <v>0.16</v>
      </c>
      <c r="R288" s="63">
        <v>1000</v>
      </c>
      <c r="S288" s="60">
        <v>98.3</v>
      </c>
      <c r="T288" s="60">
        <v>104.4</v>
      </c>
      <c r="U288" s="60">
        <v>107.5</v>
      </c>
      <c r="V288" s="60"/>
      <c r="W288" s="60"/>
      <c r="X288" s="29">
        <f t="shared" si="62"/>
        <v>98.3</v>
      </c>
      <c r="Y288" s="89">
        <v>1.65E-3</v>
      </c>
      <c r="Z288" s="154">
        <v>11290000</v>
      </c>
      <c r="AA288" s="101">
        <f>Z288/AB288</f>
        <v>282.25</v>
      </c>
      <c r="AB288" s="89">
        <v>40000</v>
      </c>
      <c r="AC288" s="89" t="s">
        <v>2096</v>
      </c>
      <c r="AD288" s="65">
        <f t="shared" si="68"/>
        <v>41250</v>
      </c>
      <c r="AE288" s="29" t="str">
        <f t="shared" si="58"/>
        <v/>
      </c>
      <c r="AF288" s="29">
        <f t="shared" si="56"/>
        <v>613.68135135423745</v>
      </c>
      <c r="AG288" s="54" t="str">
        <f t="shared" si="59"/>
        <v/>
      </c>
      <c r="AH288" s="54">
        <f t="shared" si="69"/>
        <v>169.13546051450072</v>
      </c>
      <c r="AI288" s="89">
        <f t="shared" si="66"/>
        <v>1.5342033783855936E-2</v>
      </c>
      <c r="AJ288" s="67">
        <f t="shared" si="67"/>
        <v>215.15606042778035</v>
      </c>
    </row>
    <row r="289" spans="1:36" x14ac:dyDescent="0.3">
      <c r="A289" s="64">
        <v>2016</v>
      </c>
      <c r="B289" s="58">
        <v>15.8</v>
      </c>
      <c r="C289" s="56" t="s">
        <v>22</v>
      </c>
      <c r="D289" s="115" t="s">
        <v>25</v>
      </c>
      <c r="E289" s="30">
        <v>0.35</v>
      </c>
      <c r="F289" s="131" t="s">
        <v>1334</v>
      </c>
      <c r="G289" s="131" t="s">
        <v>1335</v>
      </c>
      <c r="H289" s="85" t="s">
        <v>1343</v>
      </c>
      <c r="I289" s="146" t="s">
        <v>2387</v>
      </c>
      <c r="J289" s="148" t="str">
        <f t="shared" si="57"/>
        <v>https://doi.org/10.1109/ISSCC.2016.7418018</v>
      </c>
      <c r="K289" s="102" t="s">
        <v>1050</v>
      </c>
      <c r="L289" s="68"/>
      <c r="M289" s="68"/>
      <c r="N289" s="68"/>
      <c r="P289" s="88">
        <f>2.8*4.1</f>
        <v>11.479999999999999</v>
      </c>
      <c r="R289" s="63">
        <v>110</v>
      </c>
      <c r="S289" s="60"/>
      <c r="T289" s="60"/>
      <c r="U289" s="60">
        <v>136.30000000000001</v>
      </c>
      <c r="V289" s="60">
        <v>116</v>
      </c>
      <c r="W289" s="60"/>
      <c r="X289" s="29">
        <f t="shared" si="62"/>
        <v>116</v>
      </c>
      <c r="Y289" s="89">
        <v>1.2699999999999999E-2</v>
      </c>
      <c r="Z289" s="66">
        <v>640000</v>
      </c>
      <c r="AA289" s="101">
        <f>Z289/AB289</f>
        <v>320</v>
      </c>
      <c r="AB289" s="89">
        <v>2000</v>
      </c>
      <c r="AC289" s="89" t="s">
        <v>2096</v>
      </c>
      <c r="AD289" s="65">
        <f t="shared" si="68"/>
        <v>6349999.9999999991</v>
      </c>
      <c r="AE289" s="29" t="str">
        <f t="shared" si="58"/>
        <v/>
      </c>
      <c r="AF289" s="29">
        <f t="shared" si="56"/>
        <v>12308.482294042691</v>
      </c>
      <c r="AG289" s="54" t="str">
        <f t="shared" si="59"/>
        <v/>
      </c>
      <c r="AH289" s="54">
        <f t="shared" si="69"/>
        <v>164.96196279044042</v>
      </c>
      <c r="AI289" s="89">
        <f t="shared" si="66"/>
        <v>6.1542411470213452</v>
      </c>
      <c r="AJ289" s="67">
        <f t="shared" si="67"/>
        <v>197.97226274708024</v>
      </c>
    </row>
    <row r="290" spans="1:36" x14ac:dyDescent="0.3">
      <c r="A290" s="64">
        <v>2016</v>
      </c>
      <c r="B290" s="58">
        <v>27.2</v>
      </c>
      <c r="C290" s="56" t="s">
        <v>22</v>
      </c>
      <c r="D290" s="115" t="s">
        <v>31</v>
      </c>
      <c r="E290" s="105">
        <v>5.5E-2</v>
      </c>
      <c r="F290" s="32" t="s">
        <v>1353</v>
      </c>
      <c r="G290" s="32" t="s">
        <v>1354</v>
      </c>
      <c r="H290" s="85" t="s">
        <v>1355</v>
      </c>
      <c r="I290" s="146" t="s">
        <v>2787</v>
      </c>
      <c r="J290" s="148" t="str">
        <f t="shared" si="57"/>
        <v>https://doi.org/10.1109/ISSCC.2016.7418105</v>
      </c>
      <c r="K290" s="102" t="s">
        <v>1356</v>
      </c>
      <c r="L290" s="68"/>
      <c r="M290" s="68"/>
      <c r="N290" s="68"/>
      <c r="P290" s="28">
        <v>7.1999999999999995E-2</v>
      </c>
      <c r="R290" s="63">
        <v>1000</v>
      </c>
      <c r="S290" s="60">
        <v>101</v>
      </c>
      <c r="T290" s="60">
        <v>104</v>
      </c>
      <c r="U290" s="60"/>
      <c r="V290" s="60"/>
      <c r="W290" s="60">
        <v>105.1</v>
      </c>
      <c r="X290" s="29">
        <f t="shared" si="62"/>
        <v>101</v>
      </c>
      <c r="Y290" s="89">
        <v>1.5699999999999999E-5</v>
      </c>
      <c r="Z290" s="66">
        <v>1000000</v>
      </c>
      <c r="AA290" s="101">
        <f>Z290/AB290</f>
        <v>500</v>
      </c>
      <c r="AB290" s="89">
        <v>2000</v>
      </c>
      <c r="AC290" s="89" t="s">
        <v>2096</v>
      </c>
      <c r="AD290" s="65">
        <f t="shared" si="68"/>
        <v>7849.9999999999991</v>
      </c>
      <c r="AE290" s="29" t="str">
        <f t="shared" si="58"/>
        <v/>
      </c>
      <c r="AF290" s="29">
        <f t="shared" si="56"/>
        <v>85.580570394391302</v>
      </c>
      <c r="AG290" s="54" t="str">
        <f t="shared" si="59"/>
        <v/>
      </c>
      <c r="AH290" s="54">
        <f t="shared" si="69"/>
        <v>179.04100347590764</v>
      </c>
      <c r="AI290" s="89">
        <f t="shared" si="66"/>
        <v>4.2790285197195653E-2</v>
      </c>
      <c r="AJ290" s="67">
        <f t="shared" si="67"/>
        <v>212.05130343254746</v>
      </c>
    </row>
    <row r="291" spans="1:36" x14ac:dyDescent="0.3">
      <c r="A291" s="64">
        <v>2016</v>
      </c>
      <c r="B291" s="58">
        <v>27.3</v>
      </c>
      <c r="C291" s="56" t="s">
        <v>23</v>
      </c>
      <c r="D291" s="115" t="s">
        <v>31</v>
      </c>
      <c r="E291" s="105">
        <v>0.04</v>
      </c>
      <c r="F291" s="131" t="s">
        <v>1344</v>
      </c>
      <c r="G291" s="131" t="s">
        <v>2080</v>
      </c>
      <c r="H291" s="85" t="s">
        <v>1357</v>
      </c>
      <c r="I291" s="146" t="s">
        <v>2786</v>
      </c>
      <c r="J291" s="148" t="str">
        <f t="shared" si="57"/>
        <v>https://doi.org/10.1109/ISSCC.2016.7418106</v>
      </c>
      <c r="K291" s="102" t="s">
        <v>1050</v>
      </c>
      <c r="L291" s="68">
        <v>1</v>
      </c>
      <c r="M291" s="68"/>
      <c r="N291" s="68"/>
      <c r="O291" s="58">
        <v>0.2</v>
      </c>
      <c r="P291" s="28">
        <v>5.8E-4</v>
      </c>
      <c r="R291" s="63">
        <v>500000000</v>
      </c>
      <c r="S291" s="60">
        <v>34.6</v>
      </c>
      <c r="T291" s="60"/>
      <c r="U291" s="60"/>
      <c r="V291" s="60"/>
      <c r="W291" s="60">
        <v>49.7</v>
      </c>
      <c r="X291" s="29">
        <f t="shared" si="62"/>
        <v>34.6</v>
      </c>
      <c r="Y291" s="89">
        <v>1.2600000000000001E-3</v>
      </c>
      <c r="Z291" s="66">
        <v>1000000000</v>
      </c>
      <c r="AA291" s="101">
        <v>1</v>
      </c>
      <c r="AB291" s="89">
        <f t="shared" ref="AB291:AB296" si="70">Z291*AA291</f>
        <v>1000000000</v>
      </c>
      <c r="AC291" s="89" t="s">
        <v>2096</v>
      </c>
      <c r="AD291" s="65">
        <f t="shared" si="68"/>
        <v>1.26</v>
      </c>
      <c r="AE291" s="29" t="str">
        <f t="shared" si="58"/>
        <v/>
      </c>
      <c r="AF291" s="29">
        <f t="shared" si="56"/>
        <v>28.721486561434354</v>
      </c>
      <c r="AG291" s="54" t="str">
        <f t="shared" si="59"/>
        <v/>
      </c>
      <c r="AH291" s="54">
        <f t="shared" si="69"/>
        <v>150.58599459218456</v>
      </c>
      <c r="AI291" s="89">
        <f t="shared" si="66"/>
        <v>2.8721486561434354E-8</v>
      </c>
      <c r="AJ291" s="67">
        <f t="shared" si="67"/>
        <v>240.58599459218456</v>
      </c>
    </row>
    <row r="292" spans="1:36" x14ac:dyDescent="0.3">
      <c r="A292" s="64">
        <v>2016</v>
      </c>
      <c r="B292" s="58">
        <v>27.4</v>
      </c>
      <c r="C292" s="56" t="s">
        <v>23</v>
      </c>
      <c r="D292" s="115" t="s">
        <v>1347</v>
      </c>
      <c r="E292" s="105">
        <v>2.8000000000000001E-2</v>
      </c>
      <c r="F292" s="32" t="s">
        <v>1345</v>
      </c>
      <c r="G292" s="131" t="s">
        <v>1346</v>
      </c>
      <c r="H292" s="85" t="s">
        <v>1358</v>
      </c>
      <c r="I292" s="146" t="s">
        <v>2785</v>
      </c>
      <c r="J292" s="148" t="str">
        <f t="shared" si="57"/>
        <v>https://doi.org/10.1109/ISSCC.2016.7418107</v>
      </c>
      <c r="K292" s="102" t="s">
        <v>1050</v>
      </c>
      <c r="L292" s="68">
        <v>0.9</v>
      </c>
      <c r="M292" s="68"/>
      <c r="N292" s="68"/>
      <c r="O292" s="58">
        <v>0.9</v>
      </c>
      <c r="P292" s="28">
        <v>4.7000000000000002E-3</v>
      </c>
      <c r="Q292" s="87">
        <v>65.67</v>
      </c>
      <c r="R292" s="63">
        <v>50000000</v>
      </c>
      <c r="S292" s="60">
        <v>64.430000000000007</v>
      </c>
      <c r="T292" s="60"/>
      <c r="U292" s="60"/>
      <c r="V292" s="60"/>
      <c r="W292" s="60">
        <v>75.42</v>
      </c>
      <c r="X292" s="29">
        <f t="shared" si="62"/>
        <v>64.430000000000007</v>
      </c>
      <c r="Y292" s="89">
        <v>3.5E-4</v>
      </c>
      <c r="Z292" s="66">
        <v>100000000</v>
      </c>
      <c r="AA292" s="101">
        <v>1</v>
      </c>
      <c r="AB292" s="89">
        <f t="shared" si="70"/>
        <v>100000000</v>
      </c>
      <c r="AC292" s="89" t="s">
        <v>2096</v>
      </c>
      <c r="AD292" s="65">
        <f t="shared" si="68"/>
        <v>3.5</v>
      </c>
      <c r="AE292" s="29">
        <f t="shared" si="58"/>
        <v>2.2297162656237361</v>
      </c>
      <c r="AF292" s="29">
        <f t="shared" si="56"/>
        <v>2.5719100797279011</v>
      </c>
      <c r="AG292" s="54">
        <f t="shared" si="59"/>
        <v>177.21901959985743</v>
      </c>
      <c r="AH292" s="54">
        <f t="shared" si="69"/>
        <v>175.97901959985745</v>
      </c>
      <c r="AI292" s="89">
        <f t="shared" si="66"/>
        <v>2.5719100797279012E-8</v>
      </c>
      <c r="AJ292" s="67">
        <f t="shared" si="67"/>
        <v>255.97901959985745</v>
      </c>
    </row>
    <row r="293" spans="1:36" x14ac:dyDescent="0.3">
      <c r="A293" s="64">
        <v>2016</v>
      </c>
      <c r="B293" s="58">
        <v>27.5</v>
      </c>
      <c r="C293" s="56" t="s">
        <v>23</v>
      </c>
      <c r="D293" s="115" t="s">
        <v>260</v>
      </c>
      <c r="E293" s="105">
        <v>6.5000000000000002E-2</v>
      </c>
      <c r="F293" s="32" t="s">
        <v>1348</v>
      </c>
      <c r="G293" s="131" t="s">
        <v>1349</v>
      </c>
      <c r="H293" s="85" t="s">
        <v>1359</v>
      </c>
      <c r="I293" s="146" t="s">
        <v>2388</v>
      </c>
      <c r="J293" s="148" t="str">
        <f t="shared" si="57"/>
        <v>https://doi.org/10.1109/ISSCC.2016.7418108</v>
      </c>
      <c r="K293" s="102" t="s">
        <v>1050</v>
      </c>
      <c r="L293" s="68"/>
      <c r="M293" s="68"/>
      <c r="N293" s="68"/>
      <c r="P293" s="28">
        <v>12</v>
      </c>
      <c r="R293" s="63">
        <v>182000000</v>
      </c>
      <c r="S293" s="60">
        <v>55.5</v>
      </c>
      <c r="T293" s="60">
        <v>56.1</v>
      </c>
      <c r="U293" s="60"/>
      <c r="V293" s="60">
        <v>57</v>
      </c>
      <c r="W293" s="60">
        <v>64</v>
      </c>
      <c r="X293" s="29">
        <f t="shared" si="62"/>
        <v>55.5</v>
      </c>
      <c r="Y293" s="89">
        <v>2.2000000000000002</v>
      </c>
      <c r="Z293" s="66">
        <v>4000000000</v>
      </c>
      <c r="AA293" s="101">
        <v>1</v>
      </c>
      <c r="AB293" s="89">
        <f t="shared" si="70"/>
        <v>4000000000</v>
      </c>
      <c r="AC293" s="89" t="s">
        <v>2096</v>
      </c>
      <c r="AD293" s="65">
        <f t="shared" si="68"/>
        <v>550.00000000000011</v>
      </c>
      <c r="AE293" s="29" t="str">
        <f t="shared" si="58"/>
        <v/>
      </c>
      <c r="AF293" s="29">
        <f t="shared" si="56"/>
        <v>1130.0428737326542</v>
      </c>
      <c r="AG293" s="54" t="str">
        <f t="shared" si="59"/>
        <v/>
      </c>
      <c r="AH293" s="54">
        <f t="shared" si="69"/>
        <v>145.08607314841774</v>
      </c>
      <c r="AI293" s="89">
        <f t="shared" si="66"/>
        <v>2.8251071843316356E-7</v>
      </c>
      <c r="AJ293" s="67">
        <f t="shared" si="67"/>
        <v>241.10667306169736</v>
      </c>
    </row>
    <row r="294" spans="1:36" x14ac:dyDescent="0.3">
      <c r="A294" s="64">
        <v>2016</v>
      </c>
      <c r="B294" s="58">
        <v>27.6</v>
      </c>
      <c r="C294" s="56" t="s">
        <v>23</v>
      </c>
      <c r="D294" s="115" t="s">
        <v>260</v>
      </c>
      <c r="E294" s="105">
        <v>1.6E-2</v>
      </c>
      <c r="F294" s="32" t="s">
        <v>1350</v>
      </c>
      <c r="G294" s="131" t="s">
        <v>2081</v>
      </c>
      <c r="H294" s="85" t="s">
        <v>1360</v>
      </c>
      <c r="I294" s="146" t="s">
        <v>2784</v>
      </c>
      <c r="J294" s="148" t="str">
        <f t="shared" si="57"/>
        <v>https://doi.org/10.1109/ISSCC.2016.7418109</v>
      </c>
      <c r="K294" s="102" t="s">
        <v>1050</v>
      </c>
      <c r="L294" s="68"/>
      <c r="M294" s="68"/>
      <c r="N294" s="68"/>
      <c r="P294" s="28">
        <v>0.24</v>
      </c>
      <c r="Q294" s="87">
        <v>60</v>
      </c>
      <c r="R294" s="63">
        <v>1900000000</v>
      </c>
      <c r="S294" s="60">
        <v>56</v>
      </c>
      <c r="T294" s="60"/>
      <c r="U294" s="60"/>
      <c r="V294" s="60"/>
      <c r="W294" s="60">
        <v>68</v>
      </c>
      <c r="X294" s="29">
        <f t="shared" si="62"/>
        <v>56</v>
      </c>
      <c r="Y294" s="89">
        <v>0.3</v>
      </c>
      <c r="Z294" s="66">
        <v>4000000000</v>
      </c>
      <c r="AA294" s="101">
        <v>1</v>
      </c>
      <c r="AB294" s="89">
        <f t="shared" si="70"/>
        <v>4000000000</v>
      </c>
      <c r="AC294" s="89" t="s">
        <v>2096</v>
      </c>
      <c r="AD294" s="65">
        <f t="shared" si="68"/>
        <v>75</v>
      </c>
      <c r="AE294" s="29">
        <f t="shared" si="58"/>
        <v>91.784864852671319</v>
      </c>
      <c r="AF294" s="29">
        <f t="shared" si="56"/>
        <v>145.47588351252926</v>
      </c>
      <c r="AG294" s="54">
        <f t="shared" si="59"/>
        <v>158.23908740944319</v>
      </c>
      <c r="AH294" s="54">
        <f t="shared" si="69"/>
        <v>154.23908740944319</v>
      </c>
      <c r="AI294" s="89">
        <f t="shared" si="66"/>
        <v>3.6368970878132314E-8</v>
      </c>
      <c r="AJ294" s="67">
        <f t="shared" si="67"/>
        <v>250.25968732272281</v>
      </c>
    </row>
    <row r="295" spans="1:36" x14ac:dyDescent="0.3">
      <c r="A295" s="64">
        <v>2016</v>
      </c>
      <c r="B295" s="58">
        <v>27.7</v>
      </c>
      <c r="C295" s="56" t="s">
        <v>23</v>
      </c>
      <c r="D295" s="115" t="s">
        <v>592</v>
      </c>
      <c r="E295" s="105">
        <v>0.04</v>
      </c>
      <c r="F295" s="32" t="s">
        <v>1351</v>
      </c>
      <c r="G295" s="131" t="s">
        <v>1352</v>
      </c>
      <c r="H295" s="85" t="s">
        <v>1361</v>
      </c>
      <c r="I295" s="146" t="s">
        <v>2783</v>
      </c>
      <c r="J295" s="148" t="str">
        <f t="shared" si="57"/>
        <v>https://doi.org/10.1109/ISSCC.2016.7418110</v>
      </c>
      <c r="K295" s="102" t="s">
        <v>1050</v>
      </c>
      <c r="L295" s="68">
        <v>1.1000000000000001</v>
      </c>
      <c r="M295" s="68"/>
      <c r="N295" s="68"/>
      <c r="O295" s="58">
        <f>512*0.0012</f>
        <v>0.61439999999999995</v>
      </c>
      <c r="P295" s="28">
        <v>0.82499999999999996</v>
      </c>
      <c r="Q295" s="87">
        <v>54.2</v>
      </c>
      <c r="R295" s="63">
        <v>1300000000</v>
      </c>
      <c r="S295" s="60">
        <v>50.6</v>
      </c>
      <c r="T295" s="60"/>
      <c r="U295" s="60"/>
      <c r="V295" s="60"/>
      <c r="W295" s="60">
        <v>57.8</v>
      </c>
      <c r="X295" s="29">
        <f t="shared" si="62"/>
        <v>50.6</v>
      </c>
      <c r="Y295" s="89">
        <v>1.84E-2</v>
      </c>
      <c r="Z295" s="66">
        <v>2600000000</v>
      </c>
      <c r="AA295" s="101">
        <v>1</v>
      </c>
      <c r="AB295" s="89">
        <f t="shared" si="70"/>
        <v>2600000000</v>
      </c>
      <c r="AC295" s="89" t="s">
        <v>2096</v>
      </c>
      <c r="AD295" s="65">
        <f t="shared" si="68"/>
        <v>7.0769230769230766</v>
      </c>
      <c r="AE295" s="29">
        <f t="shared" si="58"/>
        <v>16.888193016183276</v>
      </c>
      <c r="AF295" s="29">
        <f t="shared" si="56"/>
        <v>25.5623702827321</v>
      </c>
      <c r="AG295" s="54">
        <f t="shared" si="59"/>
        <v>162.69125529297298</v>
      </c>
      <c r="AH295" s="54">
        <f t="shared" si="69"/>
        <v>159.09125529297299</v>
      </c>
      <c r="AI295" s="89">
        <f t="shared" si="66"/>
        <v>9.8316808779738851E-9</v>
      </c>
      <c r="AJ295" s="67">
        <f t="shared" si="67"/>
        <v>253.24098877268116</v>
      </c>
    </row>
    <row r="296" spans="1:36" x14ac:dyDescent="0.3">
      <c r="A296" s="64">
        <v>2016</v>
      </c>
      <c r="B296" s="58">
        <v>27.8</v>
      </c>
      <c r="C296" s="56" t="s">
        <v>23</v>
      </c>
      <c r="D296" s="115" t="s">
        <v>1148</v>
      </c>
      <c r="E296" s="105">
        <v>2.8000000000000001E-2</v>
      </c>
      <c r="F296" s="32" t="s">
        <v>2082</v>
      </c>
      <c r="G296" s="131" t="s">
        <v>2083</v>
      </c>
      <c r="H296" s="85" t="s">
        <v>1362</v>
      </c>
      <c r="I296" s="146" t="s">
        <v>2389</v>
      </c>
      <c r="J296" s="148" t="str">
        <f t="shared" si="57"/>
        <v>https://doi.org/10.1109/ISSCC.2016.7418111</v>
      </c>
      <c r="K296" s="32" t="s">
        <v>2237</v>
      </c>
      <c r="L296" s="68"/>
      <c r="M296" s="68"/>
      <c r="N296" s="68"/>
      <c r="P296" s="28">
        <v>7.5999999999999998E-2</v>
      </c>
      <c r="Q296" s="87">
        <v>60.7</v>
      </c>
      <c r="R296" s="63">
        <v>265000000</v>
      </c>
      <c r="S296" s="60">
        <v>58</v>
      </c>
      <c r="T296" s="60"/>
      <c r="U296" s="60"/>
      <c r="V296" s="60"/>
      <c r="W296" s="60">
        <v>66</v>
      </c>
      <c r="X296" s="29">
        <f t="shared" si="62"/>
        <v>58</v>
      </c>
      <c r="Y296" s="89">
        <v>2.6499999999999999E-2</v>
      </c>
      <c r="Z296" s="66">
        <v>600000000</v>
      </c>
      <c r="AA296" s="101">
        <v>1</v>
      </c>
      <c r="AB296" s="89">
        <f t="shared" si="70"/>
        <v>600000000</v>
      </c>
      <c r="AC296" s="89" t="s">
        <v>2096</v>
      </c>
      <c r="AD296" s="65">
        <f t="shared" si="68"/>
        <v>44.166666666666664</v>
      </c>
      <c r="AE296" s="29">
        <f t="shared" si="58"/>
        <v>49.865588068812691</v>
      </c>
      <c r="AF296" s="29">
        <f t="shared" si="56"/>
        <v>68.047848470468765</v>
      </c>
      <c r="AG296" s="54">
        <f t="shared" si="59"/>
        <v>161.23875380782854</v>
      </c>
      <c r="AH296" s="54">
        <f t="shared" si="69"/>
        <v>158.53875380782853</v>
      </c>
      <c r="AI296" s="89">
        <f t="shared" si="66"/>
        <v>1.1341308078411461E-7</v>
      </c>
      <c r="AJ296" s="67">
        <f t="shared" si="67"/>
        <v>246.32026631166497</v>
      </c>
    </row>
    <row r="297" spans="1:36" x14ac:dyDescent="0.3">
      <c r="A297" s="64">
        <v>2016</v>
      </c>
      <c r="B297" s="58">
        <v>28.6</v>
      </c>
      <c r="C297" s="56" t="s">
        <v>22</v>
      </c>
      <c r="D297" s="115" t="s">
        <v>782</v>
      </c>
      <c r="E297" s="84">
        <v>0.04</v>
      </c>
      <c r="F297" s="32" t="s">
        <v>1363</v>
      </c>
      <c r="G297" s="131" t="s">
        <v>1365</v>
      </c>
      <c r="H297" s="86" t="s">
        <v>1364</v>
      </c>
      <c r="I297" s="140" t="s">
        <v>2390</v>
      </c>
      <c r="J297" s="148" t="str">
        <f t="shared" si="57"/>
        <v>https://doi.org/10.1109/ISSCC.2016.7418118</v>
      </c>
      <c r="K297" s="102" t="s">
        <v>1050</v>
      </c>
      <c r="L297" s="68"/>
      <c r="M297" s="68"/>
      <c r="N297" s="68"/>
      <c r="P297" s="28">
        <v>0.13500000000000001</v>
      </c>
      <c r="Q297" s="87">
        <f>12.2*6.02+1.76</f>
        <v>75.203999999999994</v>
      </c>
      <c r="R297" s="63">
        <v>203</v>
      </c>
      <c r="S297" s="60">
        <f>12*6.02+1.76</f>
        <v>74</v>
      </c>
      <c r="T297" s="60"/>
      <c r="U297" s="60"/>
      <c r="V297" s="60"/>
      <c r="W297" s="60">
        <v>79</v>
      </c>
      <c r="X297" s="29">
        <f t="shared" si="62"/>
        <v>74</v>
      </c>
      <c r="Y297" s="89">
        <v>6.9999999999999999E-6</v>
      </c>
      <c r="Z297" s="66">
        <v>3000</v>
      </c>
      <c r="AA297" s="101">
        <f>Z297/AB297</f>
        <v>7.5</v>
      </c>
      <c r="AB297" s="89">
        <v>400</v>
      </c>
      <c r="AC297" s="89" t="s">
        <v>2096</v>
      </c>
      <c r="AD297" s="65">
        <f t="shared" si="68"/>
        <v>17500</v>
      </c>
      <c r="AE297" s="29">
        <f t="shared" si="58"/>
        <v>3719.3932758013143</v>
      </c>
      <c r="AF297" s="29">
        <f t="shared" si="56"/>
        <v>4272.4609375</v>
      </c>
      <c r="AG297" s="54">
        <f t="shared" si="59"/>
        <v>149.76331955649724</v>
      </c>
      <c r="AH297" s="54">
        <f t="shared" si="69"/>
        <v>148.55931955649726</v>
      </c>
      <c r="AI297" s="89">
        <f t="shared" si="66"/>
        <v>10.68115234375</v>
      </c>
      <c r="AJ297" s="67">
        <f t="shared" si="67"/>
        <v>174.57991946977688</v>
      </c>
    </row>
    <row r="298" spans="1:36" x14ac:dyDescent="0.3">
      <c r="A298" s="59">
        <v>2017</v>
      </c>
      <c r="B298" s="58">
        <v>16.100000000000001</v>
      </c>
      <c r="C298" s="56" t="s">
        <v>23</v>
      </c>
      <c r="D298" s="115" t="s">
        <v>1148</v>
      </c>
      <c r="E298" s="105">
        <v>1.6E-2</v>
      </c>
      <c r="F298" s="32" t="s">
        <v>1443</v>
      </c>
      <c r="G298" s="134" t="s">
        <v>1444</v>
      </c>
      <c r="H298" s="102" t="s">
        <v>1445</v>
      </c>
      <c r="I298" s="142" t="s">
        <v>2391</v>
      </c>
      <c r="J298" s="148" t="str">
        <f t="shared" si="57"/>
        <v>https://doi.org/10.1109/ISSCC.2017.7870368</v>
      </c>
      <c r="K298" s="102" t="s">
        <v>1050</v>
      </c>
      <c r="L298" s="68"/>
      <c r="M298" s="68"/>
      <c r="N298" s="68"/>
      <c r="P298" s="88">
        <v>1.04</v>
      </c>
      <c r="Q298" s="87">
        <v>63.8</v>
      </c>
      <c r="R298" s="63">
        <v>1900000000</v>
      </c>
      <c r="S298" s="60">
        <v>57.3</v>
      </c>
      <c r="T298" s="60"/>
      <c r="U298" s="60"/>
      <c r="V298" s="60"/>
      <c r="W298" s="60">
        <v>67</v>
      </c>
      <c r="X298" s="29">
        <f t="shared" si="62"/>
        <v>57.3</v>
      </c>
      <c r="Y298" s="89">
        <v>0.51300000000000001</v>
      </c>
      <c r="Z298" s="66">
        <v>4000000000</v>
      </c>
      <c r="AA298" s="101">
        <v>1</v>
      </c>
      <c r="AB298" s="89">
        <f t="shared" ref="AB298:AB304" si="71">Z298/AA298</f>
        <v>4000000000</v>
      </c>
      <c r="AC298" s="89" t="s">
        <v>2096</v>
      </c>
      <c r="AD298" s="65">
        <f t="shared" si="68"/>
        <v>128.25</v>
      </c>
      <c r="AE298" s="29">
        <f t="shared" si="58"/>
        <v>101.33238139086345</v>
      </c>
      <c r="AF298" s="29">
        <f t="shared" si="56"/>
        <v>214.18084930947501</v>
      </c>
      <c r="AG298" s="54">
        <f t="shared" si="59"/>
        <v>159.70912630552164</v>
      </c>
      <c r="AH298" s="54">
        <f t="shared" si="69"/>
        <v>153.20912630552164</v>
      </c>
      <c r="AI298" s="89">
        <f>AF298/AB298</f>
        <v>5.3545212327368753E-8</v>
      </c>
      <c r="AJ298" s="67">
        <f>AH298+10*LOG10(AB298)</f>
        <v>249.22972621880126</v>
      </c>
    </row>
    <row r="299" spans="1:36" x14ac:dyDescent="0.3">
      <c r="A299" s="64">
        <v>2017</v>
      </c>
      <c r="B299" s="58">
        <v>16.2</v>
      </c>
      <c r="C299" s="56" t="s">
        <v>22</v>
      </c>
      <c r="D299" s="115" t="s">
        <v>26</v>
      </c>
      <c r="E299" s="105">
        <v>2.8000000000000001E-2</v>
      </c>
      <c r="F299" s="32" t="s">
        <v>1446</v>
      </c>
      <c r="G299" s="32" t="s">
        <v>1447</v>
      </c>
      <c r="H299" s="86" t="s">
        <v>1454</v>
      </c>
      <c r="I299" s="140" t="s">
        <v>2392</v>
      </c>
      <c r="J299" s="148" t="str">
        <f t="shared" si="57"/>
        <v>https://doi.org/10.1109/ISSCC.2017.7870369</v>
      </c>
      <c r="K299" s="102" t="s">
        <v>1050</v>
      </c>
      <c r="L299" s="68"/>
      <c r="M299" s="68"/>
      <c r="N299" s="68"/>
      <c r="O299" s="56" t="s">
        <v>1233</v>
      </c>
      <c r="P299" s="88">
        <v>5.0999999999999996</v>
      </c>
      <c r="R299" s="63">
        <v>1000000000</v>
      </c>
      <c r="S299" s="60"/>
      <c r="T299" s="60">
        <v>66</v>
      </c>
      <c r="U299" s="60">
        <v>73</v>
      </c>
      <c r="V299" s="60"/>
      <c r="W299" s="60">
        <v>79</v>
      </c>
      <c r="X299" s="29">
        <f t="shared" si="62"/>
        <v>66</v>
      </c>
      <c r="Y299" s="89">
        <v>2.33</v>
      </c>
      <c r="Z299" s="66">
        <v>9000000000</v>
      </c>
      <c r="AA299" s="101">
        <v>4.5</v>
      </c>
      <c r="AB299" s="89">
        <f t="shared" si="71"/>
        <v>2000000000</v>
      </c>
      <c r="AC299" s="89" t="s">
        <v>2096</v>
      </c>
      <c r="AD299" s="65">
        <f t="shared" si="68"/>
        <v>1165</v>
      </c>
      <c r="AE299" s="29" t="str">
        <f t="shared" si="58"/>
        <v/>
      </c>
      <c r="AF299" s="29">
        <f t="shared" si="56"/>
        <v>714.50593197138357</v>
      </c>
      <c r="AG299" s="54" t="str">
        <f t="shared" si="59"/>
        <v/>
      </c>
      <c r="AH299" s="54">
        <f t="shared" si="69"/>
        <v>152.32644078973982</v>
      </c>
      <c r="AI299" s="89">
        <f>AF299/AB299</f>
        <v>3.5725296598569177E-7</v>
      </c>
      <c r="AJ299" s="67">
        <f>AH299+10*LOG10(AB299)</f>
        <v>245.33674074637963</v>
      </c>
    </row>
    <row r="300" spans="1:36" x14ac:dyDescent="0.3">
      <c r="A300" s="64">
        <v>2017</v>
      </c>
      <c r="B300" s="58">
        <v>16.399999999999999</v>
      </c>
      <c r="C300" s="56" t="s">
        <v>23</v>
      </c>
      <c r="D300" s="115" t="s">
        <v>31</v>
      </c>
      <c r="E300" s="105">
        <v>2.8000000000000001E-2</v>
      </c>
      <c r="F300" s="32" t="s">
        <v>1448</v>
      </c>
      <c r="G300" s="32" t="s">
        <v>1449</v>
      </c>
      <c r="H300" s="86" t="s">
        <v>1455</v>
      </c>
      <c r="I300" s="140" t="s">
        <v>2393</v>
      </c>
      <c r="J300" s="148" t="str">
        <f t="shared" si="57"/>
        <v>https://doi.org/10.1109/ISSCC.2017.7870371</v>
      </c>
      <c r="K300" s="102" t="s">
        <v>1050</v>
      </c>
      <c r="L300" s="68"/>
      <c r="M300" s="68"/>
      <c r="N300" s="68"/>
      <c r="O300" s="58">
        <v>6.4000000000000001E-2</v>
      </c>
      <c r="P300" s="88">
        <v>4.3E-3</v>
      </c>
      <c r="Q300" s="87">
        <v>40.1</v>
      </c>
      <c r="R300" s="63">
        <v>1200000000</v>
      </c>
      <c r="S300" s="60">
        <v>40.049999999999997</v>
      </c>
      <c r="T300" s="60">
        <v>40.4</v>
      </c>
      <c r="U300" s="60"/>
      <c r="V300" s="60"/>
      <c r="W300" s="60">
        <v>54.3</v>
      </c>
      <c r="X300" s="29">
        <f t="shared" si="62"/>
        <v>40.049999999999997</v>
      </c>
      <c r="Y300" s="89">
        <v>5.0000000000000001E-3</v>
      </c>
      <c r="Z300" s="66">
        <v>2400000000</v>
      </c>
      <c r="AA300" s="101">
        <v>1</v>
      </c>
      <c r="AB300" s="89">
        <f t="shared" si="71"/>
        <v>2400000000</v>
      </c>
      <c r="AC300" s="89" t="s">
        <v>2096</v>
      </c>
      <c r="AD300" s="65">
        <f t="shared" si="68"/>
        <v>2.0833333333333335</v>
      </c>
      <c r="AE300" s="29">
        <f t="shared" si="58"/>
        <v>25.20970287871776</v>
      </c>
      <c r="AF300" s="29">
        <f t="shared" si="56"/>
        <v>25.355254626752252</v>
      </c>
      <c r="AG300" s="54">
        <f t="shared" si="59"/>
        <v>153.90211241711606</v>
      </c>
      <c r="AH300" s="54">
        <f t="shared" si="69"/>
        <v>153.85211241711607</v>
      </c>
      <c r="AI300" s="89">
        <f>AF300/AB300</f>
        <v>1.0564689427813438E-8</v>
      </c>
      <c r="AJ300" s="67">
        <f>AH300+10*LOG10(AB300)</f>
        <v>247.65422483423214</v>
      </c>
    </row>
    <row r="301" spans="1:36" x14ac:dyDescent="0.3">
      <c r="A301" s="64">
        <v>2017</v>
      </c>
      <c r="B301" s="58">
        <v>16.5</v>
      </c>
      <c r="C301" s="56" t="s">
        <v>23</v>
      </c>
      <c r="D301" s="115" t="s">
        <v>592</v>
      </c>
      <c r="E301" s="105">
        <v>2.8000000000000001E-2</v>
      </c>
      <c r="F301" s="32" t="s">
        <v>1450</v>
      </c>
      <c r="G301" s="32" t="s">
        <v>1451</v>
      </c>
      <c r="H301" s="86" t="s">
        <v>1456</v>
      </c>
      <c r="I301" s="140" t="s">
        <v>2394</v>
      </c>
      <c r="J301" s="148" t="str">
        <f t="shared" si="57"/>
        <v>https://doi.org/10.1109/ISSCC.2017.7870372</v>
      </c>
      <c r="K301" s="102" t="s">
        <v>1050</v>
      </c>
      <c r="L301" s="68"/>
      <c r="M301" s="68"/>
      <c r="N301" s="68"/>
      <c r="P301" s="88">
        <v>0.184</v>
      </c>
      <c r="Q301" s="87">
        <f>8.8*6.02+1.76</f>
        <v>54.735999999999997</v>
      </c>
      <c r="R301" s="63">
        <v>3820000000</v>
      </c>
      <c r="S301" s="60">
        <v>49</v>
      </c>
      <c r="T301" s="60">
        <v>52</v>
      </c>
      <c r="U301" s="60"/>
      <c r="V301" s="60"/>
      <c r="W301" s="60">
        <v>60.3</v>
      </c>
      <c r="X301" s="29">
        <f t="shared" si="62"/>
        <v>49</v>
      </c>
      <c r="Y301" s="89">
        <v>0.3</v>
      </c>
      <c r="Z301" s="66">
        <v>8000000000</v>
      </c>
      <c r="AA301" s="101">
        <v>1</v>
      </c>
      <c r="AB301" s="89">
        <f t="shared" si="71"/>
        <v>8000000000</v>
      </c>
      <c r="AC301" s="89" t="s">
        <v>2096</v>
      </c>
      <c r="AD301" s="65">
        <f t="shared" si="68"/>
        <v>37.5</v>
      </c>
      <c r="AE301" s="29">
        <f t="shared" si="58"/>
        <v>84.133180297634411</v>
      </c>
      <c r="AF301" s="29">
        <f t="shared" si="56"/>
        <v>162.85304617210741</v>
      </c>
      <c r="AG301" s="54">
        <f t="shared" si="59"/>
        <v>155.98538736608299</v>
      </c>
      <c r="AH301" s="54">
        <f t="shared" si="69"/>
        <v>150.249387366083</v>
      </c>
      <c r="AI301" s="89">
        <f>AF301/AB301</f>
        <v>2.0356630771513428E-8</v>
      </c>
      <c r="AJ301" s="67">
        <f>AH301+10*LOG10(AB301)</f>
        <v>249.28028723600244</v>
      </c>
    </row>
    <row r="302" spans="1:36" x14ac:dyDescent="0.3">
      <c r="A302" s="64">
        <v>2017</v>
      </c>
      <c r="B302" s="58">
        <v>16.7</v>
      </c>
      <c r="C302" s="56" t="s">
        <v>23</v>
      </c>
      <c r="D302" s="115" t="s">
        <v>260</v>
      </c>
      <c r="E302" s="105">
        <v>2.8000000000000001E-2</v>
      </c>
      <c r="F302" s="32" t="s">
        <v>1452</v>
      </c>
      <c r="G302" s="32" t="s">
        <v>1453</v>
      </c>
      <c r="H302" s="86" t="s">
        <v>1457</v>
      </c>
      <c r="I302" s="140" t="s">
        <v>2395</v>
      </c>
      <c r="J302" s="148" t="str">
        <f t="shared" si="57"/>
        <v>https://doi.org/10.1109/ISSCC.2017.7870374</v>
      </c>
      <c r="K302" s="102" t="s">
        <v>1050</v>
      </c>
      <c r="L302" s="68"/>
      <c r="M302" s="68"/>
      <c r="N302" s="68"/>
      <c r="P302" s="88">
        <v>7.4</v>
      </c>
      <c r="Q302" s="87">
        <v>58.5</v>
      </c>
      <c r="R302" s="63">
        <v>4000000000</v>
      </c>
      <c r="S302" s="60">
        <v>55</v>
      </c>
      <c r="T302" s="60">
        <v>56</v>
      </c>
      <c r="U302" s="60"/>
      <c r="V302" s="60"/>
      <c r="W302" s="60">
        <v>66</v>
      </c>
      <c r="X302" s="29">
        <f t="shared" ref="X302:X332" si="72">+IF(ISNUMBER($S302),$S302,MIN($V302,$T302,$U302,$W302))</f>
        <v>55</v>
      </c>
      <c r="Y302" s="89">
        <v>2.9</v>
      </c>
      <c r="Z302" s="66">
        <v>10000000000</v>
      </c>
      <c r="AA302" s="101">
        <v>1</v>
      </c>
      <c r="AB302" s="89">
        <f t="shared" si="71"/>
        <v>10000000000</v>
      </c>
      <c r="AC302" s="89" t="s">
        <v>2096</v>
      </c>
      <c r="AD302" s="65">
        <f t="shared" si="68"/>
        <v>290</v>
      </c>
      <c r="AE302" s="29">
        <f t="shared" si="58"/>
        <v>421.8084555082159</v>
      </c>
      <c r="AF302" s="29">
        <f t="shared" si="56"/>
        <v>631.15019485621724</v>
      </c>
      <c r="AG302" s="54">
        <f t="shared" si="59"/>
        <v>150.86572006437063</v>
      </c>
      <c r="AH302" s="54">
        <f t="shared" si="69"/>
        <v>147.36572006437063</v>
      </c>
      <c r="AI302" s="89">
        <f t="shared" ref="AI302:AI312" si="73">AF302/AB302</f>
        <v>6.3115019485621719E-8</v>
      </c>
      <c r="AJ302" s="67">
        <f t="shared" ref="AJ302:AJ312" si="74">AH302+10*LOG10(AB302)</f>
        <v>247.36572006437063</v>
      </c>
    </row>
    <row r="303" spans="1:36" x14ac:dyDescent="0.3">
      <c r="A303" s="64">
        <v>2017</v>
      </c>
      <c r="B303" s="58">
        <v>21.6</v>
      </c>
      <c r="C303" s="56" t="s">
        <v>23</v>
      </c>
      <c r="D303" s="115" t="s">
        <v>31</v>
      </c>
      <c r="E303" s="84">
        <v>0.18</v>
      </c>
      <c r="F303" s="32" t="s">
        <v>1458</v>
      </c>
      <c r="G303" s="32" t="s">
        <v>1460</v>
      </c>
      <c r="H303" s="102" t="s">
        <v>1459</v>
      </c>
      <c r="I303" s="142" t="s">
        <v>2396</v>
      </c>
      <c r="J303" s="148" t="str">
        <f t="shared" si="57"/>
        <v>https://doi.org/10.1109/ISSCC.2017.7870411</v>
      </c>
      <c r="K303" s="102" t="s">
        <v>1050</v>
      </c>
      <c r="L303" s="68"/>
      <c r="M303" s="68"/>
      <c r="N303" s="68"/>
      <c r="O303" s="58">
        <v>0.05</v>
      </c>
      <c r="R303" s="63">
        <v>500</v>
      </c>
      <c r="S303" s="60">
        <v>48.3</v>
      </c>
      <c r="T303" s="60"/>
      <c r="U303" s="60"/>
      <c r="V303" s="60">
        <v>58</v>
      </c>
      <c r="W303" s="60">
        <v>60</v>
      </c>
      <c r="X303" s="29">
        <f t="shared" si="72"/>
        <v>48.3</v>
      </c>
      <c r="Y303" s="89">
        <v>2.7000000000000002E-9</v>
      </c>
      <c r="Z303" s="66">
        <v>1000</v>
      </c>
      <c r="AA303" s="101">
        <v>1</v>
      </c>
      <c r="AB303" s="89">
        <f t="shared" si="71"/>
        <v>1000</v>
      </c>
      <c r="AC303" s="89" t="s">
        <v>2096</v>
      </c>
      <c r="AD303" s="65">
        <f t="shared" si="68"/>
        <v>2.7</v>
      </c>
      <c r="AE303" s="29" t="str">
        <f t="shared" si="58"/>
        <v/>
      </c>
      <c r="AF303" s="29">
        <f t="shared" si="56"/>
        <v>12.709599655709148</v>
      </c>
      <c r="AG303" s="54" t="str">
        <f t="shared" si="59"/>
        <v/>
      </c>
      <c r="AH303" s="54">
        <f t="shared" si="69"/>
        <v>160.97606240177032</v>
      </c>
      <c r="AI303" s="89">
        <f t="shared" si="73"/>
        <v>1.2709599655709149E-2</v>
      </c>
      <c r="AJ303" s="67">
        <f t="shared" si="74"/>
        <v>190.97606240177032</v>
      </c>
    </row>
    <row r="304" spans="1:36" x14ac:dyDescent="0.3">
      <c r="A304" s="64">
        <v>2017</v>
      </c>
      <c r="B304" s="58">
        <v>27.5</v>
      </c>
      <c r="C304" s="56" t="s">
        <v>22</v>
      </c>
      <c r="D304" s="115" t="s">
        <v>25</v>
      </c>
      <c r="E304" s="105">
        <v>2.8000000000000001E-2</v>
      </c>
      <c r="F304" s="32" t="s">
        <v>1415</v>
      </c>
      <c r="G304" s="32" t="s">
        <v>1418</v>
      </c>
      <c r="H304" s="102" t="s">
        <v>1417</v>
      </c>
      <c r="I304" s="144" t="s">
        <v>2782</v>
      </c>
      <c r="J304" s="148" t="str">
        <f t="shared" si="57"/>
        <v>https://doi.org/10.1109/ISSCC.2017.7870458</v>
      </c>
      <c r="K304" s="102" t="s">
        <v>1050</v>
      </c>
      <c r="L304" s="68"/>
      <c r="M304" s="68"/>
      <c r="N304" s="68"/>
      <c r="O304" s="58">
        <v>0.06</v>
      </c>
      <c r="P304" s="88">
        <f>0.25*0.25/4</f>
        <v>1.5625E-2</v>
      </c>
      <c r="R304" s="63">
        <v>2000000</v>
      </c>
      <c r="S304" s="60">
        <v>58.9</v>
      </c>
      <c r="T304" s="60">
        <v>59.9</v>
      </c>
      <c r="U304" s="60"/>
      <c r="V304" s="60"/>
      <c r="W304" s="60"/>
      <c r="X304" s="29">
        <f t="shared" si="72"/>
        <v>58.9</v>
      </c>
      <c r="Y304" s="89">
        <v>6.6499999999999997E-3</v>
      </c>
      <c r="Z304" s="66">
        <v>960000000</v>
      </c>
      <c r="AA304" s="101">
        <v>48</v>
      </c>
      <c r="AB304" s="89">
        <f t="shared" si="71"/>
        <v>20000000</v>
      </c>
      <c r="AC304" s="89" t="s">
        <v>2096</v>
      </c>
      <c r="AD304" s="65">
        <f t="shared" si="68"/>
        <v>332.5</v>
      </c>
      <c r="AE304" s="29" t="str">
        <f t="shared" si="58"/>
        <v/>
      </c>
      <c r="AF304" s="29">
        <f t="shared" si="56"/>
        <v>461.85637223613446</v>
      </c>
      <c r="AG304" s="54" t="str">
        <f t="shared" si="59"/>
        <v/>
      </c>
      <c r="AH304" s="54">
        <f t="shared" si="69"/>
        <v>150.67178354696895</v>
      </c>
      <c r="AI304" s="89">
        <f t="shared" si="73"/>
        <v>2.3092818611806724E-5</v>
      </c>
      <c r="AJ304" s="67">
        <f t="shared" si="74"/>
        <v>223.68208350360877</v>
      </c>
    </row>
    <row r="305" spans="1:36" x14ac:dyDescent="0.3">
      <c r="A305" s="64">
        <v>2017</v>
      </c>
      <c r="B305" s="58">
        <v>28.1</v>
      </c>
      <c r="C305" s="56" t="s">
        <v>22</v>
      </c>
      <c r="D305" s="115" t="s">
        <v>31</v>
      </c>
      <c r="E305" s="84">
        <v>2.8000000000000001E-2</v>
      </c>
      <c r="F305" s="32" t="s">
        <v>1423</v>
      </c>
      <c r="G305" s="32" t="s">
        <v>1421</v>
      </c>
      <c r="H305" s="86" t="s">
        <v>1427</v>
      </c>
      <c r="I305" s="140" t="s">
        <v>2781</v>
      </c>
      <c r="J305" s="148" t="str">
        <f t="shared" si="57"/>
        <v>https://doi.org/10.1109/ISSCC.2017.7870463</v>
      </c>
      <c r="K305" s="102" t="s">
        <v>1440</v>
      </c>
      <c r="L305" s="68"/>
      <c r="M305" s="68"/>
      <c r="N305" s="68"/>
      <c r="O305" s="58">
        <v>1.6</v>
      </c>
      <c r="P305" s="88">
        <v>4.8999999999999998E-3</v>
      </c>
      <c r="R305" s="63">
        <v>5000000</v>
      </c>
      <c r="S305" s="60">
        <v>79.7</v>
      </c>
      <c r="T305" s="60"/>
      <c r="U305" s="60">
        <v>81.8</v>
      </c>
      <c r="V305" s="60"/>
      <c r="W305" s="60"/>
      <c r="X305" s="29">
        <f t="shared" si="72"/>
        <v>79.7</v>
      </c>
      <c r="Y305" s="89">
        <v>4.6000000000000001E-4</v>
      </c>
      <c r="Z305" s="89">
        <f>AA305*AB305</f>
        <v>132000000</v>
      </c>
      <c r="AA305" s="104">
        <v>13.2</v>
      </c>
      <c r="AB305" s="89">
        <v>10000000</v>
      </c>
      <c r="AC305" s="89" t="s">
        <v>2096</v>
      </c>
      <c r="AD305" s="65">
        <f t="shared" si="68"/>
        <v>46</v>
      </c>
      <c r="AE305" s="29" t="str">
        <f t="shared" si="58"/>
        <v/>
      </c>
      <c r="AF305" s="29">
        <f t="shared" si="56"/>
        <v>5.825986614829235</v>
      </c>
      <c r="AG305" s="54" t="str">
        <f t="shared" si="59"/>
        <v/>
      </c>
      <c r="AH305" s="54">
        <f t="shared" si="69"/>
        <v>180.06212172654443</v>
      </c>
      <c r="AI305" s="89">
        <f t="shared" si="73"/>
        <v>5.825986614829235E-7</v>
      </c>
      <c r="AJ305" s="67">
        <f t="shared" si="74"/>
        <v>250.06212172654443</v>
      </c>
    </row>
    <row r="306" spans="1:36" x14ac:dyDescent="0.3">
      <c r="A306" s="64">
        <v>2017</v>
      </c>
      <c r="B306" s="58">
        <v>28.2</v>
      </c>
      <c r="C306" s="56" t="s">
        <v>22</v>
      </c>
      <c r="D306" s="115" t="s">
        <v>30</v>
      </c>
      <c r="E306" s="84">
        <v>0.13</v>
      </c>
      <c r="F306" s="32" t="s">
        <v>1424</v>
      </c>
      <c r="G306" s="32" t="s">
        <v>1422</v>
      </c>
      <c r="H306" s="86" t="s">
        <v>1428</v>
      </c>
      <c r="I306" s="140" t="s">
        <v>2780</v>
      </c>
      <c r="J306" s="148" t="str">
        <f t="shared" si="57"/>
        <v>https://doi.org/10.1109/ISSCC.2017.7870464</v>
      </c>
      <c r="K306" s="102" t="s">
        <v>1050</v>
      </c>
      <c r="L306" s="68"/>
      <c r="M306" s="68"/>
      <c r="N306" s="68"/>
      <c r="O306" s="56" t="s">
        <v>1233</v>
      </c>
      <c r="P306" s="88">
        <v>0.17</v>
      </c>
      <c r="R306" s="63">
        <v>15000000</v>
      </c>
      <c r="S306" s="60">
        <v>80.400000000000006</v>
      </c>
      <c r="T306" s="60">
        <v>81.7</v>
      </c>
      <c r="U306" s="60">
        <v>82.9</v>
      </c>
      <c r="V306" s="60"/>
      <c r="W306" s="60">
        <v>87.8</v>
      </c>
      <c r="X306" s="29">
        <f t="shared" si="72"/>
        <v>80.400000000000006</v>
      </c>
      <c r="Y306" s="89">
        <v>1.14E-2</v>
      </c>
      <c r="Z306" s="89">
        <v>640000000</v>
      </c>
      <c r="AA306" s="108">
        <f>Z306/AB306</f>
        <v>21.333333333333332</v>
      </c>
      <c r="AB306" s="89">
        <v>30000000</v>
      </c>
      <c r="AC306" s="89" t="s">
        <v>2096</v>
      </c>
      <c r="AD306" s="65">
        <f t="shared" si="68"/>
        <v>380.00000000000006</v>
      </c>
      <c r="AE306" s="29" t="str">
        <f t="shared" si="58"/>
        <v/>
      </c>
      <c r="AF306" s="29">
        <f t="shared" si="56"/>
        <v>44.400898597221001</v>
      </c>
      <c r="AG306" s="54" t="str">
        <f t="shared" si="59"/>
        <v/>
      </c>
      <c r="AH306" s="54">
        <f t="shared" si="69"/>
        <v>171.5918640771921</v>
      </c>
      <c r="AI306" s="89">
        <f t="shared" si="73"/>
        <v>1.4800299532407E-6</v>
      </c>
      <c r="AJ306" s="67">
        <f t="shared" si="74"/>
        <v>246.36307662438873</v>
      </c>
    </row>
    <row r="307" spans="1:36" x14ac:dyDescent="0.3">
      <c r="A307" s="64">
        <v>2017</v>
      </c>
      <c r="B307" s="58">
        <v>28.3</v>
      </c>
      <c r="C307" s="56" t="s">
        <v>22</v>
      </c>
      <c r="D307" s="115" t="s">
        <v>1302</v>
      </c>
      <c r="E307" s="84">
        <v>1.6E-2</v>
      </c>
      <c r="F307" s="32" t="s">
        <v>1425</v>
      </c>
      <c r="G307" s="32" t="s">
        <v>1426</v>
      </c>
      <c r="H307" s="102" t="s">
        <v>1434</v>
      </c>
      <c r="I307" s="142" t="s">
        <v>2397</v>
      </c>
      <c r="J307" s="148" t="str">
        <f t="shared" si="57"/>
        <v>https://doi.org/10.1109/ISSCC.2017.7870465</v>
      </c>
      <c r="K307" s="102" t="s">
        <v>1050</v>
      </c>
      <c r="L307" s="68"/>
      <c r="M307" s="68"/>
      <c r="N307" s="68"/>
      <c r="O307" s="56" t="s">
        <v>1233</v>
      </c>
      <c r="P307" s="88">
        <v>0.217</v>
      </c>
      <c r="R307" s="63">
        <f>0.32*125000000</f>
        <v>40000000</v>
      </c>
      <c r="S307" s="60">
        <v>71.900000000000006</v>
      </c>
      <c r="T307" s="60">
        <v>72.599999999999994</v>
      </c>
      <c r="U307" s="60">
        <v>74.8</v>
      </c>
      <c r="V307" s="60">
        <v>80</v>
      </c>
      <c r="W307" s="60"/>
      <c r="X307" s="29">
        <f t="shared" si="72"/>
        <v>71.900000000000006</v>
      </c>
      <c r="Y307" s="89">
        <v>5.3999999999999999E-2</v>
      </c>
      <c r="Z307" s="89">
        <v>2150000000</v>
      </c>
      <c r="AA307" s="109">
        <f>Z307/AB307</f>
        <v>8.6</v>
      </c>
      <c r="AB307" s="89">
        <v>250000000</v>
      </c>
      <c r="AC307" s="89" t="s">
        <v>2096</v>
      </c>
      <c r="AD307" s="65">
        <f t="shared" si="68"/>
        <v>216</v>
      </c>
      <c r="AE307" s="29" t="str">
        <f t="shared" si="58"/>
        <v/>
      </c>
      <c r="AF307" s="29">
        <f t="shared" si="56"/>
        <v>67.159007103148866</v>
      </c>
      <c r="AG307" s="54" t="str">
        <f t="shared" si="59"/>
        <v/>
      </c>
      <c r="AH307" s="54">
        <f t="shared" si="69"/>
        <v>165.54516253185088</v>
      </c>
      <c r="AI307" s="89">
        <f t="shared" si="73"/>
        <v>2.6863602841259546E-7</v>
      </c>
      <c r="AJ307" s="67">
        <f t="shared" si="74"/>
        <v>249.52456261857125</v>
      </c>
    </row>
    <row r="308" spans="1:36" x14ac:dyDescent="0.3">
      <c r="A308" s="64">
        <v>2017</v>
      </c>
      <c r="B308" s="58">
        <v>28.4</v>
      </c>
      <c r="C308" s="56" t="s">
        <v>23</v>
      </c>
      <c r="D308" s="115" t="s">
        <v>745</v>
      </c>
      <c r="E308" s="105">
        <v>6.5000000000000002E-2</v>
      </c>
      <c r="F308" s="32" t="s">
        <v>1429</v>
      </c>
      <c r="G308" s="32" t="s">
        <v>1430</v>
      </c>
      <c r="H308" s="102" t="s">
        <v>1435</v>
      </c>
      <c r="I308" s="142" t="s">
        <v>2398</v>
      </c>
      <c r="J308" s="148" t="str">
        <f t="shared" si="57"/>
        <v>https://doi.org/10.1109/ISSCC.2017.7870466</v>
      </c>
      <c r="K308" s="102" t="s">
        <v>1050</v>
      </c>
      <c r="L308" s="68"/>
      <c r="M308" s="68"/>
      <c r="N308" s="68"/>
      <c r="O308" s="58">
        <v>1</v>
      </c>
      <c r="P308" s="88">
        <v>0.08</v>
      </c>
      <c r="Q308" s="87">
        <v>67.7</v>
      </c>
      <c r="R308" s="63">
        <v>165000000</v>
      </c>
      <c r="S308" s="60">
        <v>63.5</v>
      </c>
      <c r="T308" s="60"/>
      <c r="U308" s="60"/>
      <c r="V308" s="60"/>
      <c r="W308" s="60">
        <v>83.4</v>
      </c>
      <c r="X308" s="29">
        <f t="shared" si="72"/>
        <v>63.5</v>
      </c>
      <c r="Y308" s="89">
        <v>6.2300000000000003E-3</v>
      </c>
      <c r="Z308" s="89">
        <v>330000000</v>
      </c>
      <c r="AA308" s="110">
        <v>1</v>
      </c>
      <c r="AB308" s="89">
        <f>Z308/AA308</f>
        <v>330000000</v>
      </c>
      <c r="AC308" s="89" t="s">
        <v>2096</v>
      </c>
      <c r="AD308" s="65">
        <f t="shared" si="68"/>
        <v>18.878787878787879</v>
      </c>
      <c r="AE308" s="29">
        <f t="shared" si="58"/>
        <v>9.5201885462992433</v>
      </c>
      <c r="AF308" s="29">
        <f t="shared" si="56"/>
        <v>15.440681930358231</v>
      </c>
      <c r="AG308" s="54">
        <f t="shared" si="59"/>
        <v>171.92995897554738</v>
      </c>
      <c r="AH308" s="54">
        <f t="shared" si="69"/>
        <v>167.72995897554736</v>
      </c>
      <c r="AI308" s="89">
        <f t="shared" si="73"/>
        <v>4.6789945243509793E-8</v>
      </c>
      <c r="AJ308" s="67">
        <f t="shared" si="74"/>
        <v>252.91509837432625</v>
      </c>
    </row>
    <row r="309" spans="1:36" x14ac:dyDescent="0.3">
      <c r="A309" s="64">
        <v>2017</v>
      </c>
      <c r="B309" s="58">
        <v>28.5</v>
      </c>
      <c r="C309" s="56" t="s">
        <v>23</v>
      </c>
      <c r="D309" s="115" t="s">
        <v>745</v>
      </c>
      <c r="E309" s="105">
        <v>1.4E-2</v>
      </c>
      <c r="F309" s="32" t="s">
        <v>1436</v>
      </c>
      <c r="G309" s="32" t="s">
        <v>2084</v>
      </c>
      <c r="H309" s="102" t="s">
        <v>1431</v>
      </c>
      <c r="I309" s="142" t="s">
        <v>2399</v>
      </c>
      <c r="J309" s="148" t="str">
        <f t="shared" si="57"/>
        <v>https://doi.org/10.1109/ISSCC.2017.7870467</v>
      </c>
      <c r="K309" s="102" t="s">
        <v>1050</v>
      </c>
      <c r="L309" s="68"/>
      <c r="M309" s="68"/>
      <c r="N309" s="68"/>
      <c r="P309" s="88">
        <v>1.6000000000000001E-3</v>
      </c>
      <c r="R309" s="63">
        <v>750000000</v>
      </c>
      <c r="S309" s="60">
        <v>50.1</v>
      </c>
      <c r="T309" s="60">
        <v>50.88</v>
      </c>
      <c r="U309" s="60"/>
      <c r="V309" s="60">
        <v>58.24</v>
      </c>
      <c r="W309" s="60">
        <v>58.39</v>
      </c>
      <c r="X309" s="29">
        <f t="shared" si="72"/>
        <v>50.1</v>
      </c>
      <c r="Y309" s="89">
        <v>6.9199999999999999E-3</v>
      </c>
      <c r="Z309" s="89">
        <v>1500000000</v>
      </c>
      <c r="AA309" s="110">
        <v>1</v>
      </c>
      <c r="AB309" s="89">
        <f>Z309/AA309</f>
        <v>1500000000</v>
      </c>
      <c r="AC309" s="89" t="s">
        <v>2096</v>
      </c>
      <c r="AD309" s="65">
        <f t="shared" si="68"/>
        <v>4.6133333333333333</v>
      </c>
      <c r="AE309" s="29" t="str">
        <f t="shared" si="58"/>
        <v/>
      </c>
      <c r="AF309" s="29">
        <f t="shared" si="56"/>
        <v>17.65118932644711</v>
      </c>
      <c r="AG309" s="54" t="str">
        <f t="shared" si="59"/>
        <v/>
      </c>
      <c r="AH309" s="54">
        <f t="shared" si="69"/>
        <v>160.44955168934942</v>
      </c>
      <c r="AI309" s="89">
        <f t="shared" si="73"/>
        <v>1.176745955096474E-8</v>
      </c>
      <c r="AJ309" s="67">
        <f t="shared" si="74"/>
        <v>252.21046427990623</v>
      </c>
    </row>
    <row r="310" spans="1:36" x14ac:dyDescent="0.3">
      <c r="A310" s="64">
        <v>2017</v>
      </c>
      <c r="B310" s="58">
        <v>28.6</v>
      </c>
      <c r="C310" s="56" t="s">
        <v>23</v>
      </c>
      <c r="D310" s="115" t="s">
        <v>31</v>
      </c>
      <c r="E310" s="105">
        <v>6.5000000000000002E-2</v>
      </c>
      <c r="F310" s="32" t="s">
        <v>1439</v>
      </c>
      <c r="G310" s="32" t="s">
        <v>1441</v>
      </c>
      <c r="H310" s="102" t="s">
        <v>1432</v>
      </c>
      <c r="I310" s="142" t="s">
        <v>2779</v>
      </c>
      <c r="J310" s="148" t="str">
        <f t="shared" si="57"/>
        <v>https://doi.org/10.1109/ISSCC.2017.7870468</v>
      </c>
      <c r="K310" s="102" t="s">
        <v>1050</v>
      </c>
      <c r="L310" s="68"/>
      <c r="M310" s="68"/>
      <c r="N310" s="68"/>
      <c r="P310" s="88">
        <v>0.34</v>
      </c>
      <c r="Q310" s="87">
        <v>77.8</v>
      </c>
      <c r="R310" s="63">
        <v>37500000</v>
      </c>
      <c r="S310" s="60">
        <v>70.8</v>
      </c>
      <c r="T310" s="60"/>
      <c r="U310" s="60"/>
      <c r="V310" s="60"/>
      <c r="W310" s="60">
        <v>89.6</v>
      </c>
      <c r="X310" s="29">
        <f t="shared" si="72"/>
        <v>70.8</v>
      </c>
      <c r="Y310" s="89">
        <v>2.4899999999999999E-2</v>
      </c>
      <c r="Z310" s="89">
        <v>75000000</v>
      </c>
      <c r="AA310" s="110">
        <v>1</v>
      </c>
      <c r="AB310" s="89">
        <f>Z310/AA310</f>
        <v>75000000</v>
      </c>
      <c r="AC310" s="89" t="s">
        <v>2096</v>
      </c>
      <c r="AD310" s="65">
        <f t="shared" si="68"/>
        <v>332</v>
      </c>
      <c r="AE310" s="29">
        <f t="shared" si="58"/>
        <v>52.331020217710112</v>
      </c>
      <c r="AF310" s="29">
        <f t="shared" si="56"/>
        <v>117.16397035683583</v>
      </c>
      <c r="AG310" s="54">
        <f t="shared" si="59"/>
        <v>169.5783192063198</v>
      </c>
      <c r="AH310" s="54">
        <f t="shared" si="69"/>
        <v>162.5783192063198</v>
      </c>
      <c r="AI310" s="89">
        <f t="shared" si="73"/>
        <v>1.5621862714244778E-6</v>
      </c>
      <c r="AJ310" s="67">
        <f t="shared" si="74"/>
        <v>241.32893184023681</v>
      </c>
    </row>
    <row r="311" spans="1:36" x14ac:dyDescent="0.3">
      <c r="A311" s="64">
        <v>2017</v>
      </c>
      <c r="B311" s="58">
        <v>28.7</v>
      </c>
      <c r="C311" s="56" t="s">
        <v>23</v>
      </c>
      <c r="D311" s="115" t="s">
        <v>745</v>
      </c>
      <c r="E311" s="105">
        <v>2.8000000000000001E-2</v>
      </c>
      <c r="F311" s="32" t="s">
        <v>1437</v>
      </c>
      <c r="G311" s="32" t="s">
        <v>1438</v>
      </c>
      <c r="H311" s="102" t="s">
        <v>1433</v>
      </c>
      <c r="I311" s="142" t="s">
        <v>2400</v>
      </c>
      <c r="J311" s="148" t="str">
        <f t="shared" si="57"/>
        <v>https://doi.org/10.1109/ISSCC.2017.7870469</v>
      </c>
      <c r="K311" s="102" t="s">
        <v>1050</v>
      </c>
      <c r="L311" s="68">
        <v>0.7</v>
      </c>
      <c r="M311" s="68"/>
      <c r="N311" s="68"/>
      <c r="P311" s="88">
        <v>9.7000000000000003E-2</v>
      </c>
      <c r="Q311" s="87">
        <v>62</v>
      </c>
      <c r="R311" s="63">
        <v>80000000</v>
      </c>
      <c r="S311" s="60">
        <v>61.1</v>
      </c>
      <c r="T311" s="60">
        <v>63</v>
      </c>
      <c r="U311" s="60"/>
      <c r="V311" s="60"/>
      <c r="W311" s="60">
        <v>72.7</v>
      </c>
      <c r="X311" s="29">
        <f t="shared" si="72"/>
        <v>61.1</v>
      </c>
      <c r="Y311" s="89">
        <v>1.9E-3</v>
      </c>
      <c r="Z311" s="89">
        <v>160000000</v>
      </c>
      <c r="AA311" s="110">
        <v>1</v>
      </c>
      <c r="AB311" s="89">
        <f>Z311/AA311</f>
        <v>160000000</v>
      </c>
      <c r="AC311" s="89" t="s">
        <v>2096</v>
      </c>
      <c r="AD311" s="65">
        <f t="shared" si="68"/>
        <v>11.875</v>
      </c>
      <c r="AE311" s="29">
        <f t="shared" si="58"/>
        <v>11.543392486724677</v>
      </c>
      <c r="AF311" s="29">
        <f t="shared" si="56"/>
        <v>12.803772436402847</v>
      </c>
      <c r="AG311" s="54">
        <f t="shared" si="59"/>
        <v>168.24336386039116</v>
      </c>
      <c r="AH311" s="54">
        <f t="shared" si="69"/>
        <v>167.34336386039115</v>
      </c>
      <c r="AI311" s="89">
        <f t="shared" si="73"/>
        <v>8.0023577727517793E-8</v>
      </c>
      <c r="AJ311" s="67">
        <f t="shared" si="74"/>
        <v>249.3845636869504</v>
      </c>
    </row>
    <row r="312" spans="1:36" x14ac:dyDescent="0.3">
      <c r="A312" s="64">
        <v>2017</v>
      </c>
      <c r="B312" s="58">
        <v>29.2</v>
      </c>
      <c r="C312" s="56" t="s">
        <v>23</v>
      </c>
      <c r="D312" s="115" t="s">
        <v>592</v>
      </c>
      <c r="E312" s="84">
        <v>0.02</v>
      </c>
      <c r="F312" s="32" t="s">
        <v>1419</v>
      </c>
      <c r="G312" s="32" t="s">
        <v>1416</v>
      </c>
      <c r="H312" s="102" t="s">
        <v>1414</v>
      </c>
      <c r="I312" s="142" t="s">
        <v>2401</v>
      </c>
      <c r="J312" s="148" t="str">
        <f t="shared" si="57"/>
        <v>https://doi.org/10.1109/ISSCC.2017.7870472</v>
      </c>
      <c r="K312" s="102" t="s">
        <v>1420</v>
      </c>
      <c r="L312" s="68"/>
      <c r="M312" s="68"/>
      <c r="N312" s="68"/>
      <c r="Q312" s="87">
        <f>6.3*6.02+1.76</f>
        <v>39.685999999999993</v>
      </c>
      <c r="R312" s="63">
        <v>8000000000</v>
      </c>
      <c r="S312" s="60">
        <f>5.95*6.02+1.76</f>
        <v>37.578999999999994</v>
      </c>
      <c r="T312" s="60"/>
      <c r="U312" s="60"/>
      <c r="V312" s="60"/>
      <c r="W312" s="60"/>
      <c r="X312" s="29">
        <f t="shared" si="72"/>
        <v>37.578999999999994</v>
      </c>
      <c r="Y312" s="89">
        <v>0.95</v>
      </c>
      <c r="Z312" s="66">
        <v>64000000000</v>
      </c>
      <c r="AA312" s="101">
        <v>1</v>
      </c>
      <c r="AB312" s="89">
        <f>Z312/AA312</f>
        <v>64000000000</v>
      </c>
      <c r="AC312" s="89" t="s">
        <v>2096</v>
      </c>
      <c r="AD312" s="65">
        <f t="shared" si="68"/>
        <v>14.84375</v>
      </c>
      <c r="AE312" s="29">
        <f t="shared" si="58"/>
        <v>188.38861731895116</v>
      </c>
      <c r="AF312" s="29">
        <f t="shared" si="56"/>
        <v>240.11271426985093</v>
      </c>
      <c r="AG312" s="54">
        <f t="shared" si="59"/>
        <v>144.9602637303106</v>
      </c>
      <c r="AH312" s="54">
        <f t="shared" si="69"/>
        <v>142.85326373031057</v>
      </c>
      <c r="AI312" s="89">
        <f t="shared" si="73"/>
        <v>3.7517611604664208E-9</v>
      </c>
      <c r="AJ312" s="67">
        <f t="shared" si="74"/>
        <v>250.91506347014945</v>
      </c>
    </row>
    <row r="313" spans="1:36" x14ac:dyDescent="0.3">
      <c r="A313" s="152">
        <v>2018</v>
      </c>
      <c r="B313" s="58">
        <v>5.7</v>
      </c>
      <c r="C313" s="3" t="s">
        <v>22</v>
      </c>
      <c r="D313" s="8" t="s">
        <v>31</v>
      </c>
      <c r="E313" s="58">
        <v>2.8000000000000001E-2</v>
      </c>
      <c r="F313" s="116" t="s">
        <v>1532</v>
      </c>
      <c r="G313" s="116" t="s">
        <v>1533</v>
      </c>
      <c r="H313" s="116" t="s">
        <v>1534</v>
      </c>
      <c r="I313" s="143" t="s">
        <v>2402</v>
      </c>
      <c r="J313" s="148" t="str">
        <f t="shared" si="57"/>
        <v>https://doi.org/10.1109/ISSCC.2018.8310199</v>
      </c>
      <c r="K313" s="3" t="s">
        <v>1050</v>
      </c>
      <c r="L313" s="139"/>
      <c r="M313" s="139"/>
      <c r="N313" s="139"/>
      <c r="P313" s="118">
        <v>1.0999999999999999E-2</v>
      </c>
      <c r="Q313" s="58"/>
      <c r="R313" s="89">
        <v>100000000</v>
      </c>
      <c r="S313" s="58">
        <v>37.700000000000003</v>
      </c>
      <c r="T313" s="58"/>
      <c r="U313" s="58"/>
      <c r="V313" s="58"/>
      <c r="X313" s="29">
        <f t="shared" si="72"/>
        <v>37.700000000000003</v>
      </c>
      <c r="Y313" s="89">
        <v>1E-3</v>
      </c>
      <c r="Z313" s="89">
        <v>400000000</v>
      </c>
      <c r="AA313" s="117">
        <f>Z313/AB313</f>
        <v>2</v>
      </c>
      <c r="AB313" s="89">
        <v>200000000</v>
      </c>
      <c r="AC313" s="89" t="s">
        <v>2096</v>
      </c>
      <c r="AD313" s="65">
        <f t="shared" si="68"/>
        <v>5.0000000000000009</v>
      </c>
      <c r="AE313" s="29" t="str">
        <f t="shared" si="58"/>
        <v/>
      </c>
      <c r="AF313" s="29">
        <f t="shared" si="56"/>
        <v>79.761061882511044</v>
      </c>
      <c r="AG313" s="54" t="str">
        <f t="shared" si="59"/>
        <v/>
      </c>
      <c r="AH313" s="54">
        <f t="shared" si="69"/>
        <v>147.69999999999999</v>
      </c>
      <c r="AI313" s="89">
        <f t="shared" ref="AI313:AI324" si="75">AF313/AB313</f>
        <v>3.9880530941255522E-7</v>
      </c>
      <c r="AJ313" s="67">
        <f t="shared" ref="AJ313:AJ324" si="76">AH313+10*LOG10(AB313)</f>
        <v>230.7102999566398</v>
      </c>
    </row>
    <row r="314" spans="1:36" x14ac:dyDescent="0.3">
      <c r="A314" s="94">
        <v>2018</v>
      </c>
      <c r="B314" s="58">
        <v>14.1</v>
      </c>
      <c r="C314" s="8" t="s">
        <v>22</v>
      </c>
      <c r="D314" s="115" t="s">
        <v>30</v>
      </c>
      <c r="E314" s="105">
        <v>2.8000000000000001E-2</v>
      </c>
      <c r="F314" s="114" t="s">
        <v>1525</v>
      </c>
      <c r="G314" s="113" t="s">
        <v>1524</v>
      </c>
      <c r="H314" s="113" t="s">
        <v>1523</v>
      </c>
      <c r="I314" s="144" t="s">
        <v>2403</v>
      </c>
      <c r="J314" s="148" t="str">
        <f t="shared" si="57"/>
        <v>https://doi.org/10.1109/ISSCC.2018.8310268</v>
      </c>
      <c r="K314" s="116" t="s">
        <v>1050</v>
      </c>
      <c r="L314" s="139"/>
      <c r="M314" s="139"/>
      <c r="N314" s="139"/>
      <c r="P314">
        <v>0.25</v>
      </c>
      <c r="R314" s="63">
        <v>50000000</v>
      </c>
      <c r="S314" s="60">
        <v>79.8</v>
      </c>
      <c r="T314" s="60">
        <v>80</v>
      </c>
      <c r="U314" s="60">
        <v>82.8</v>
      </c>
      <c r="V314" s="60">
        <v>94.1</v>
      </c>
      <c r="W314" s="60"/>
      <c r="X314" s="29">
        <f t="shared" si="72"/>
        <v>79.8</v>
      </c>
      <c r="Y314" s="89">
        <v>6.4299999999999996E-2</v>
      </c>
      <c r="Z314" s="89">
        <v>2000000000</v>
      </c>
      <c r="AA314" s="110">
        <f>Z314/AB314</f>
        <v>20</v>
      </c>
      <c r="AB314" s="89">
        <v>100000000</v>
      </c>
      <c r="AC314" s="89" t="s">
        <v>2096</v>
      </c>
      <c r="AD314" s="65">
        <f t="shared" ref="AD314:AD345" si="77">IF(AB314&gt;0, Y314/AB314*1000000000000, 0)</f>
        <v>643</v>
      </c>
      <c r="AE314" s="29" t="str">
        <f t="shared" si="58"/>
        <v/>
      </c>
      <c r="AF314" s="29">
        <f t="shared" si="56"/>
        <v>80.504864891025207</v>
      </c>
      <c r="AG314" s="54" t="str">
        <f t="shared" si="59"/>
        <v/>
      </c>
      <c r="AH314" s="54">
        <f t="shared" ref="AH314:AH345" si="78">IF($Y314&gt;0, $X314+10*LOG10($AB314/2/$Y314), 0)</f>
        <v>168.70759031411797</v>
      </c>
      <c r="AI314" s="89">
        <f t="shared" si="75"/>
        <v>8.0504864891025209E-7</v>
      </c>
      <c r="AJ314" s="67">
        <f t="shared" si="76"/>
        <v>248.70759031411797</v>
      </c>
    </row>
    <row r="315" spans="1:36" x14ac:dyDescent="0.3">
      <c r="A315" s="94">
        <v>2018</v>
      </c>
      <c r="B315" s="58">
        <v>14.2</v>
      </c>
      <c r="C315" s="8" t="s">
        <v>22</v>
      </c>
      <c r="D315" s="115" t="s">
        <v>30</v>
      </c>
      <c r="E315" s="84">
        <v>0.04</v>
      </c>
      <c r="F315" s="114" t="s">
        <v>1522</v>
      </c>
      <c r="G315" s="113" t="s">
        <v>1521</v>
      </c>
      <c r="H315" s="113" t="s">
        <v>1520</v>
      </c>
      <c r="I315" s="144" t="s">
        <v>2404</v>
      </c>
      <c r="J315" s="148" t="str">
        <f t="shared" si="57"/>
        <v>https://doi.org/10.1109/ISSCC.2018.8310269</v>
      </c>
      <c r="K315" s="116" t="s">
        <v>1050</v>
      </c>
      <c r="L315" s="139"/>
      <c r="M315" s="139"/>
      <c r="N315" s="139"/>
      <c r="P315" s="88">
        <v>5.2999999999999999E-2</v>
      </c>
      <c r="R315" s="63">
        <v>1000</v>
      </c>
      <c r="S315" s="60">
        <v>93.5</v>
      </c>
      <c r="T315" s="60">
        <v>94.3</v>
      </c>
      <c r="U315" s="60">
        <v>103</v>
      </c>
      <c r="V315" s="60"/>
      <c r="W315" s="60">
        <v>106</v>
      </c>
      <c r="X315" s="29">
        <f t="shared" si="72"/>
        <v>93.5</v>
      </c>
      <c r="Y315" s="89">
        <v>4.5000000000000001E-6</v>
      </c>
      <c r="Z315" s="89">
        <f>AA315*AB315</f>
        <v>400000</v>
      </c>
      <c r="AA315" s="110">
        <v>40</v>
      </c>
      <c r="AB315" s="89">
        <v>10000</v>
      </c>
      <c r="AC315" s="89" t="s">
        <v>2096</v>
      </c>
      <c r="AD315" s="65">
        <f t="shared" si="77"/>
        <v>450</v>
      </c>
      <c r="AE315" s="29" t="str">
        <f t="shared" si="58"/>
        <v/>
      </c>
      <c r="AF315" s="29">
        <f t="shared" si="56"/>
        <v>11.634705740044655</v>
      </c>
      <c r="AG315" s="54" t="str">
        <f t="shared" si="59"/>
        <v/>
      </c>
      <c r="AH315" s="54">
        <f t="shared" si="78"/>
        <v>183.95757490560675</v>
      </c>
      <c r="AI315" s="89">
        <f t="shared" si="75"/>
        <v>1.1634705740044655E-3</v>
      </c>
      <c r="AJ315" s="67">
        <f t="shared" si="76"/>
        <v>223.95757490560675</v>
      </c>
    </row>
    <row r="316" spans="1:36" x14ac:dyDescent="0.3">
      <c r="A316" s="94">
        <v>2018</v>
      </c>
      <c r="B316" s="58">
        <v>14.3</v>
      </c>
      <c r="C316" s="8" t="s">
        <v>22</v>
      </c>
      <c r="D316" s="115" t="s">
        <v>31</v>
      </c>
      <c r="E316" s="84">
        <v>0.04</v>
      </c>
      <c r="F316" s="114" t="s">
        <v>1519</v>
      </c>
      <c r="G316" s="113" t="s">
        <v>1518</v>
      </c>
      <c r="H316" s="113" t="s">
        <v>1517</v>
      </c>
      <c r="I316" s="144" t="s">
        <v>2778</v>
      </c>
      <c r="J316" s="148" t="str">
        <f t="shared" si="57"/>
        <v>https://doi.org/10.1109/ISSCC.2018.8310270</v>
      </c>
      <c r="K316" s="32" t="s">
        <v>1526</v>
      </c>
      <c r="L316" s="40"/>
      <c r="M316" s="40"/>
      <c r="N316" s="40"/>
      <c r="P316" s="88">
        <v>2.4E-2</v>
      </c>
      <c r="R316" s="63">
        <v>625000</v>
      </c>
      <c r="S316" s="60">
        <v>79</v>
      </c>
      <c r="T316" s="60"/>
      <c r="U316" s="60">
        <v>80.5</v>
      </c>
      <c r="V316" s="60"/>
      <c r="W316" s="60">
        <v>89</v>
      </c>
      <c r="X316" s="29">
        <f t="shared" si="72"/>
        <v>79</v>
      </c>
      <c r="Y316" s="89">
        <v>8.3999999999999995E-5</v>
      </c>
      <c r="Z316" s="89">
        <v>10000000</v>
      </c>
      <c r="AA316" s="110">
        <v>8</v>
      </c>
      <c r="AB316" s="89">
        <f>Z316/AA316</f>
        <v>1250000</v>
      </c>
      <c r="AC316" s="89" t="s">
        <v>2096</v>
      </c>
      <c r="AD316" s="65">
        <f t="shared" si="77"/>
        <v>67.2</v>
      </c>
      <c r="AE316" s="29" t="str">
        <f t="shared" si="58"/>
        <v/>
      </c>
      <c r="AF316" s="29">
        <f t="shared" si="56"/>
        <v>9.2253831362878653</v>
      </c>
      <c r="AG316" s="54" t="str">
        <f t="shared" si="59"/>
        <v/>
      </c>
      <c r="AH316" s="54">
        <f t="shared" si="78"/>
        <v>177.71600731282194</v>
      </c>
      <c r="AI316" s="89">
        <f t="shared" si="75"/>
        <v>7.3803065090302925E-6</v>
      </c>
      <c r="AJ316" s="67">
        <f t="shared" si="76"/>
        <v>238.68510744290251</v>
      </c>
    </row>
    <row r="317" spans="1:36" x14ac:dyDescent="0.3">
      <c r="A317" s="94">
        <v>2018</v>
      </c>
      <c r="B317" s="58">
        <v>14.4</v>
      </c>
      <c r="C317" s="8" t="s">
        <v>22</v>
      </c>
      <c r="D317" s="115" t="s">
        <v>1527</v>
      </c>
      <c r="E317" s="84">
        <v>0.18</v>
      </c>
      <c r="F317" s="114" t="s">
        <v>1516</v>
      </c>
      <c r="G317" s="113" t="s">
        <v>1515</v>
      </c>
      <c r="H317" s="113" t="s">
        <v>1514</v>
      </c>
      <c r="I317" s="144" t="s">
        <v>2405</v>
      </c>
      <c r="J317" s="148" t="str">
        <f t="shared" si="57"/>
        <v>https://doi.org/10.1109/ISSCC.2018.8310271</v>
      </c>
      <c r="K317" s="32" t="s">
        <v>1050</v>
      </c>
      <c r="L317" s="40">
        <v>3</v>
      </c>
      <c r="M317" s="40"/>
      <c r="N317" s="40"/>
      <c r="O317" s="58">
        <v>0.7</v>
      </c>
      <c r="P317" s="88">
        <v>0.36299999999999999</v>
      </c>
      <c r="R317" s="63">
        <v>100000</v>
      </c>
      <c r="S317" s="60">
        <v>86.6</v>
      </c>
      <c r="T317" s="60">
        <v>88.2</v>
      </c>
      <c r="U317" s="60">
        <v>91.5</v>
      </c>
      <c r="V317" s="60"/>
      <c r="W317" s="60">
        <v>101.3</v>
      </c>
      <c r="X317" s="29">
        <f t="shared" si="72"/>
        <v>86.6</v>
      </c>
      <c r="Y317" s="89">
        <v>1.1000000000000001E-3</v>
      </c>
      <c r="Z317" s="89">
        <v>30000000</v>
      </c>
      <c r="AA317" s="110">
        <f>Z317/AB317</f>
        <v>150</v>
      </c>
      <c r="AB317" s="89">
        <v>200000</v>
      </c>
      <c r="AC317" s="89" t="s">
        <v>2096</v>
      </c>
      <c r="AD317" s="65">
        <f t="shared" si="77"/>
        <v>5500</v>
      </c>
      <c r="AE317" s="29" t="str">
        <f t="shared" si="58"/>
        <v/>
      </c>
      <c r="AF317" s="29">
        <f t="shared" si="56"/>
        <v>314.73131760668912</v>
      </c>
      <c r="AG317" s="54" t="str">
        <f t="shared" si="59"/>
        <v/>
      </c>
      <c r="AH317" s="54">
        <f t="shared" si="78"/>
        <v>166.18607314841773</v>
      </c>
      <c r="AI317" s="89">
        <f t="shared" si="75"/>
        <v>1.5736565880334456E-3</v>
      </c>
      <c r="AJ317" s="67">
        <f t="shared" si="76"/>
        <v>219.19637310505755</v>
      </c>
    </row>
    <row r="318" spans="1:36" x14ac:dyDescent="0.3">
      <c r="A318" s="94">
        <v>2018</v>
      </c>
      <c r="B318" s="58">
        <v>14.5</v>
      </c>
      <c r="C318" s="8" t="s">
        <v>22</v>
      </c>
      <c r="D318" s="115" t="s">
        <v>25</v>
      </c>
      <c r="E318" s="84">
        <v>0.16</v>
      </c>
      <c r="F318" s="114" t="s">
        <v>1513</v>
      </c>
      <c r="G318" s="113" t="s">
        <v>1512</v>
      </c>
      <c r="H318" s="113" t="s">
        <v>1511</v>
      </c>
      <c r="I318" s="144" t="s">
        <v>2406</v>
      </c>
      <c r="J318" s="148" t="str">
        <f t="shared" si="57"/>
        <v>https://doi.org/10.1109/ISSCC.2018.8310272</v>
      </c>
      <c r="K318" s="116" t="s">
        <v>1050</v>
      </c>
      <c r="L318" s="139"/>
      <c r="M318" s="139"/>
      <c r="N318" s="139"/>
      <c r="O318" s="58">
        <v>13</v>
      </c>
      <c r="P318" s="88">
        <v>0.25</v>
      </c>
      <c r="R318" s="63">
        <v>1000</v>
      </c>
      <c r="S318" s="60">
        <v>118.1</v>
      </c>
      <c r="T318" s="60">
        <v>119.1</v>
      </c>
      <c r="U318" s="60">
        <v>120.3</v>
      </c>
      <c r="V318" s="60">
        <v>125.9</v>
      </c>
      <c r="W318" s="60"/>
      <c r="X318" s="29">
        <f t="shared" si="72"/>
        <v>118.1</v>
      </c>
      <c r="Y318" s="89">
        <v>2.7809999999999998E-4</v>
      </c>
      <c r="Z318" s="89">
        <v>2000000</v>
      </c>
      <c r="AA318" s="110">
        <f>Z318/AB318</f>
        <v>1000</v>
      </c>
      <c r="AB318" s="89">
        <v>2000</v>
      </c>
      <c r="AC318" s="89" t="s">
        <v>2096</v>
      </c>
      <c r="AD318" s="65">
        <f t="shared" si="77"/>
        <v>139050</v>
      </c>
      <c r="AE318" s="29" t="str">
        <f t="shared" si="58"/>
        <v/>
      </c>
      <c r="AF318" s="29">
        <f t="shared" si="56"/>
        <v>211.63686007733961</v>
      </c>
      <c r="AG318" s="54" t="str">
        <f t="shared" si="59"/>
        <v/>
      </c>
      <c r="AH318" s="54">
        <f t="shared" si="78"/>
        <v>183.6579901113584</v>
      </c>
      <c r="AI318" s="89">
        <f t="shared" si="75"/>
        <v>0.10581843003866981</v>
      </c>
      <c r="AJ318" s="67">
        <f t="shared" si="76"/>
        <v>216.66829006799821</v>
      </c>
    </row>
    <row r="319" spans="1:36" x14ac:dyDescent="0.3">
      <c r="A319" s="94">
        <v>2018</v>
      </c>
      <c r="B319" s="58">
        <v>14.6</v>
      </c>
      <c r="C319" s="8" t="s">
        <v>23</v>
      </c>
      <c r="D319" s="115" t="s">
        <v>31</v>
      </c>
      <c r="E319" s="84">
        <v>0.09</v>
      </c>
      <c r="F319" s="114" t="s">
        <v>1510</v>
      </c>
      <c r="G319" s="113" t="s">
        <v>1509</v>
      </c>
      <c r="H319" s="113" t="s">
        <v>1395</v>
      </c>
      <c r="I319" s="144" t="s">
        <v>2407</v>
      </c>
      <c r="J319" s="148" t="str">
        <f t="shared" si="57"/>
        <v>https://doi.org/10.1109/ISSCC.2018.8310273</v>
      </c>
      <c r="K319" s="116" t="s">
        <v>1050</v>
      </c>
      <c r="L319" s="139"/>
      <c r="M319" s="139"/>
      <c r="N319" s="139"/>
      <c r="O319" s="58">
        <v>2.8</v>
      </c>
      <c r="P319" s="88">
        <v>5.8999999999999997E-2</v>
      </c>
      <c r="R319" s="63">
        <v>135000</v>
      </c>
      <c r="S319" s="60">
        <v>73.569999999999993</v>
      </c>
      <c r="T319" s="60"/>
      <c r="U319" s="60"/>
      <c r="V319" s="60"/>
      <c r="W319" s="60">
        <v>90.38</v>
      </c>
      <c r="X319" s="29">
        <f t="shared" si="72"/>
        <v>73.569999999999993</v>
      </c>
      <c r="Y319" s="89">
        <v>6.3799999999999997E-7</v>
      </c>
      <c r="Z319" s="89">
        <v>270000</v>
      </c>
      <c r="AA319" s="110">
        <v>1</v>
      </c>
      <c r="AB319" s="89">
        <f>Z319/AA319</f>
        <v>270000</v>
      </c>
      <c r="AC319" s="89" t="s">
        <v>2096</v>
      </c>
      <c r="AD319" s="65">
        <f t="shared" si="77"/>
        <v>2.3629629629629632</v>
      </c>
      <c r="AE319" s="29" t="str">
        <f t="shared" si="58"/>
        <v/>
      </c>
      <c r="AF319" s="29">
        <f t="shared" si="56"/>
        <v>0.60617651860962363</v>
      </c>
      <c r="AG319" s="54" t="str">
        <f t="shared" si="59"/>
        <v/>
      </c>
      <c r="AH319" s="54">
        <f t="shared" si="78"/>
        <v>186.82513089773843</v>
      </c>
      <c r="AI319" s="89">
        <f t="shared" si="75"/>
        <v>2.2450982170726802E-6</v>
      </c>
      <c r="AJ319" s="67">
        <f t="shared" si="76"/>
        <v>241.13876853932831</v>
      </c>
    </row>
    <row r="320" spans="1:36" x14ac:dyDescent="0.3">
      <c r="A320" s="94">
        <v>2018</v>
      </c>
      <c r="B320" s="58">
        <v>14.7</v>
      </c>
      <c r="C320" s="8" t="s">
        <v>23</v>
      </c>
      <c r="D320" s="115" t="s">
        <v>1494</v>
      </c>
      <c r="E320" s="84">
        <v>0.18</v>
      </c>
      <c r="F320" s="114" t="s">
        <v>1508</v>
      </c>
      <c r="G320" s="113" t="s">
        <v>1507</v>
      </c>
      <c r="H320" s="113" t="s">
        <v>1506</v>
      </c>
      <c r="I320" s="144" t="s">
        <v>2777</v>
      </c>
      <c r="J320" s="148" t="str">
        <f t="shared" si="57"/>
        <v>https://doi.org/10.1109/ISSCC.2018.8310274</v>
      </c>
      <c r="K320" s="32" t="s">
        <v>1528</v>
      </c>
      <c r="L320" s="40"/>
      <c r="M320" s="40"/>
      <c r="N320" s="40"/>
      <c r="P320" s="17">
        <v>4</v>
      </c>
      <c r="R320" s="63">
        <v>1000</v>
      </c>
      <c r="S320" s="60">
        <v>101.5</v>
      </c>
      <c r="T320" s="60"/>
      <c r="U320" s="60">
        <v>102.7</v>
      </c>
      <c r="V320" s="60"/>
      <c r="W320" s="60"/>
      <c r="X320" s="29">
        <f t="shared" si="72"/>
        <v>101.5</v>
      </c>
      <c r="Y320" s="89">
        <v>1.9699999999999999E-2</v>
      </c>
      <c r="Z320" s="89">
        <v>1000000</v>
      </c>
      <c r="AA320" s="110">
        <v>1</v>
      </c>
      <c r="AB320" s="89">
        <f>Z320/AA320</f>
        <v>1000000</v>
      </c>
      <c r="AC320" s="89" t="s">
        <v>2096</v>
      </c>
      <c r="AD320" s="65">
        <f t="shared" si="77"/>
        <v>19699.999999999996</v>
      </c>
      <c r="AE320" s="29" t="str">
        <f t="shared" si="58"/>
        <v/>
      </c>
      <c r="AF320" s="29">
        <f t="shared" si="56"/>
        <v>202.75391780242197</v>
      </c>
      <c r="AG320" s="54" t="str">
        <f t="shared" si="59"/>
        <v/>
      </c>
      <c r="AH320" s="54">
        <f t="shared" si="78"/>
        <v>175.54503778174427</v>
      </c>
      <c r="AI320" s="89">
        <f t="shared" si="75"/>
        <v>2.0275391780242197E-4</v>
      </c>
      <c r="AJ320" s="67">
        <f t="shared" si="76"/>
        <v>235.54503778174427</v>
      </c>
    </row>
    <row r="321" spans="1:36" x14ac:dyDescent="0.3">
      <c r="A321" s="94">
        <v>2018</v>
      </c>
      <c r="B321" s="58">
        <v>17.3</v>
      </c>
      <c r="C321" s="3" t="s">
        <v>22</v>
      </c>
      <c r="D321" s="115" t="s">
        <v>25</v>
      </c>
      <c r="E321" s="105">
        <v>6.5000000000000002E-2</v>
      </c>
      <c r="F321" s="114" t="s">
        <v>1536</v>
      </c>
      <c r="G321" s="113" t="s">
        <v>1537</v>
      </c>
      <c r="H321" s="113" t="s">
        <v>1535</v>
      </c>
      <c r="I321" s="144" t="s">
        <v>2408</v>
      </c>
      <c r="J321" s="148" t="str">
        <f t="shared" si="57"/>
        <v>https://doi.org/10.1109/ISSCC.2018.8310295</v>
      </c>
      <c r="K321" s="32" t="s">
        <v>1050</v>
      </c>
      <c r="L321" s="40"/>
      <c r="M321" s="40"/>
      <c r="N321" s="40"/>
      <c r="R321" s="89">
        <v>3000</v>
      </c>
      <c r="S321" s="87">
        <v>60</v>
      </c>
      <c r="T321" s="40">
        <v>64</v>
      </c>
      <c r="X321" s="29">
        <f t="shared" si="72"/>
        <v>60</v>
      </c>
      <c r="Y321" s="89">
        <v>1.8E-7</v>
      </c>
      <c r="Z321" s="89">
        <v>256000</v>
      </c>
      <c r="AA321" s="109">
        <f>Z321/AB321</f>
        <v>42.666666666666664</v>
      </c>
      <c r="AB321" s="89">
        <f>6000</f>
        <v>6000</v>
      </c>
      <c r="AC321" s="89" t="s">
        <v>2096</v>
      </c>
      <c r="AD321" s="65">
        <f t="shared" si="77"/>
        <v>30</v>
      </c>
      <c r="AE321" s="29" t="str">
        <f t="shared" si="58"/>
        <v/>
      </c>
      <c r="AF321" s="29">
        <f t="shared" si="56"/>
        <v>36.71394594106853</v>
      </c>
      <c r="AG321" s="54" t="str">
        <f t="shared" si="59"/>
        <v/>
      </c>
      <c r="AH321" s="54">
        <f t="shared" si="78"/>
        <v>162.21848749616356</v>
      </c>
      <c r="AI321" s="89">
        <f>AF321/AB321</f>
        <v>6.1189909901780883E-3</v>
      </c>
      <c r="AJ321" s="67">
        <f>AH321+10*LOG10(AB321)</f>
        <v>200</v>
      </c>
    </row>
    <row r="322" spans="1:36" x14ac:dyDescent="0.3">
      <c r="A322" s="94">
        <v>2018</v>
      </c>
      <c r="B322" s="58">
        <v>17.5</v>
      </c>
      <c r="C322" s="8" t="s">
        <v>22</v>
      </c>
      <c r="D322" s="115" t="s">
        <v>25</v>
      </c>
      <c r="E322" s="84">
        <v>0.13</v>
      </c>
      <c r="F322" s="114" t="s">
        <v>1539</v>
      </c>
      <c r="G322" s="113" t="s">
        <v>1540</v>
      </c>
      <c r="H322" s="113" t="s">
        <v>1538</v>
      </c>
      <c r="I322" s="144" t="s">
        <v>2409</v>
      </c>
      <c r="J322" s="148" t="str">
        <f t="shared" si="57"/>
        <v>https://doi.org/10.1109/ISSCC.2018.8310297</v>
      </c>
      <c r="K322" s="32" t="s">
        <v>1050</v>
      </c>
      <c r="L322" s="87"/>
      <c r="M322" s="87"/>
      <c r="N322" s="87"/>
      <c r="P322" s="17">
        <v>3.8999999999999998E-3</v>
      </c>
      <c r="R322" s="89">
        <v>5000</v>
      </c>
      <c r="S322" s="87">
        <v>50.3</v>
      </c>
      <c r="X322" s="29">
        <f t="shared" si="72"/>
        <v>50.3</v>
      </c>
      <c r="Y322" s="89">
        <v>4.9999999999999998E-8</v>
      </c>
      <c r="Z322" s="89">
        <v>846000</v>
      </c>
      <c r="AA322" s="109">
        <f>Z322/AB322</f>
        <v>84.6</v>
      </c>
      <c r="AB322" s="89">
        <v>10000</v>
      </c>
      <c r="AC322" s="89" t="s">
        <v>2096</v>
      </c>
      <c r="AD322" s="65">
        <f t="shared" si="77"/>
        <v>5</v>
      </c>
      <c r="AE322" s="29" t="str">
        <f t="shared" si="58"/>
        <v/>
      </c>
      <c r="AF322" s="29">
        <f t="shared" ref="AF322:AF390" si="79">$AD322*1000/2^(($X322-1.76)/6.02)</f>
        <v>18.695115198829903</v>
      </c>
      <c r="AG322" s="54" t="str">
        <f t="shared" si="59"/>
        <v/>
      </c>
      <c r="AH322" s="54">
        <f t="shared" si="78"/>
        <v>160.30000000000001</v>
      </c>
      <c r="AI322" s="89">
        <f>AF322/AB322</f>
        <v>1.8695115198829903E-3</v>
      </c>
      <c r="AJ322" s="67">
        <f>AH322+10*LOG10(AB322)</f>
        <v>200.3</v>
      </c>
    </row>
    <row r="323" spans="1:36" x14ac:dyDescent="0.3">
      <c r="A323" s="94">
        <v>2018</v>
      </c>
      <c r="B323" s="58">
        <v>22.1</v>
      </c>
      <c r="C323" s="8" t="s">
        <v>23</v>
      </c>
      <c r="D323" s="115" t="s">
        <v>592</v>
      </c>
      <c r="E323" s="105">
        <v>1.4E-2</v>
      </c>
      <c r="F323" s="114" t="s">
        <v>1529</v>
      </c>
      <c r="G323" s="113" t="s">
        <v>1530</v>
      </c>
      <c r="H323" s="113" t="s">
        <v>1531</v>
      </c>
      <c r="I323" s="144" t="s">
        <v>2410</v>
      </c>
      <c r="J323" s="148" t="str">
        <f t="shared" ref="J323:J386" si="80">IF(I323&lt;&gt;"?", HYPERLINK(CONCATENATE("https://doi.org/",I323)), "")</f>
        <v>https://doi.org/10.1109/ISSCC.2018.8310332</v>
      </c>
      <c r="K323" s="32" t="s">
        <v>1548</v>
      </c>
      <c r="L323" s="40"/>
      <c r="M323" s="40"/>
      <c r="N323" s="40"/>
      <c r="P323" s="88">
        <f>0.25*0.59</f>
        <v>0.14749999999999999</v>
      </c>
      <c r="Q323" s="87">
        <v>39.299999999999997</v>
      </c>
      <c r="R323" s="63">
        <v>20000000000</v>
      </c>
      <c r="S323" s="60">
        <v>34.200000000000003</v>
      </c>
      <c r="T323" s="60"/>
      <c r="U323" s="60"/>
      <c r="V323" s="60">
        <v>45.7</v>
      </c>
      <c r="W323" s="60">
        <v>44.12</v>
      </c>
      <c r="X323" s="29">
        <f>+IF(ISNUMBER($S323),$S323,MIN($V323,$T323,$U323,$W323))</f>
        <v>34.200000000000003</v>
      </c>
      <c r="Y323" s="89">
        <v>0.23499999999999999</v>
      </c>
      <c r="Z323" s="89">
        <v>72000000000</v>
      </c>
      <c r="AA323" s="110">
        <v>1</v>
      </c>
      <c r="AB323" s="89">
        <f>Z323/AA323</f>
        <v>72000000000</v>
      </c>
      <c r="AC323" s="89" t="s">
        <v>2096</v>
      </c>
      <c r="AD323" s="65">
        <f t="shared" si="77"/>
        <v>3.2638888888888888</v>
      </c>
      <c r="AE323" s="29">
        <f t="shared" ref="AE323:AE386" si="81">IF(ISNUMBER($Q323), $AD323*1000/2^(($Q323-1.76)/6.02), "")</f>
        <v>43.306024421310219</v>
      </c>
      <c r="AF323" s="29">
        <f t="shared" si="79"/>
        <v>77.906506144026437</v>
      </c>
      <c r="AG323" s="54">
        <f t="shared" ref="AG323:AG386" si="82">IF(ISNUMBER($Q323), $Q323+10*LOG10($AB323/2/$Y323), "")</f>
        <v>151.15234638495551</v>
      </c>
      <c r="AH323" s="54">
        <f t="shared" si="78"/>
        <v>146.05234638495551</v>
      </c>
      <c r="AI323" s="89">
        <f>AF323/AB323</f>
        <v>1.0820348075559228E-9</v>
      </c>
      <c r="AJ323" s="67">
        <f>AH323+10*LOG10(AB323)</f>
        <v>254.6256713492682</v>
      </c>
    </row>
    <row r="324" spans="1:36" ht="13.5" customHeight="1" x14ac:dyDescent="0.3">
      <c r="A324" s="94">
        <v>2018</v>
      </c>
      <c r="B324" s="58">
        <v>29.4</v>
      </c>
      <c r="C324" s="8" t="s">
        <v>22</v>
      </c>
      <c r="D324" s="115" t="s">
        <v>25</v>
      </c>
      <c r="E324" s="84">
        <v>0.13</v>
      </c>
      <c r="F324" s="114" t="s">
        <v>1541</v>
      </c>
      <c r="G324" s="113" t="s">
        <v>1542</v>
      </c>
      <c r="H324" s="113" t="s">
        <v>1543</v>
      </c>
      <c r="I324" s="144" t="s">
        <v>2411</v>
      </c>
      <c r="J324" s="148" t="str">
        <f t="shared" si="80"/>
        <v>https://doi.org/10.1109/ISSCC.2018.8310386</v>
      </c>
      <c r="K324" s="116" t="s">
        <v>1050</v>
      </c>
      <c r="L324" s="139"/>
      <c r="M324" s="139"/>
      <c r="N324" s="139"/>
      <c r="R324" s="63">
        <v>7000</v>
      </c>
      <c r="S324" s="60">
        <v>60.8</v>
      </c>
      <c r="T324" s="60"/>
      <c r="U324" s="60"/>
      <c r="V324" s="60"/>
      <c r="W324" s="60"/>
      <c r="X324" s="29">
        <f t="shared" si="72"/>
        <v>60.8</v>
      </c>
      <c r="Y324" s="89">
        <v>4.4000000000000002E-6</v>
      </c>
      <c r="Z324" s="89">
        <v>500000</v>
      </c>
      <c r="AA324" s="110">
        <v>25</v>
      </c>
      <c r="AB324" s="89">
        <f>Z324/AA324</f>
        <v>20000</v>
      </c>
      <c r="AC324" s="89" t="s">
        <v>2096</v>
      </c>
      <c r="AD324" s="65">
        <f t="shared" si="77"/>
        <v>220.00000000000003</v>
      </c>
      <c r="AE324" s="29" t="str">
        <f t="shared" si="81"/>
        <v/>
      </c>
      <c r="AF324" s="29">
        <f t="shared" si="79"/>
        <v>245.5435350837237</v>
      </c>
      <c r="AG324" s="54" t="str">
        <f t="shared" si="82"/>
        <v/>
      </c>
      <c r="AH324" s="54">
        <f t="shared" si="78"/>
        <v>154.3654732351381</v>
      </c>
      <c r="AI324" s="89">
        <f t="shared" si="75"/>
        <v>1.2277176754186185E-2</v>
      </c>
      <c r="AJ324" s="67">
        <f t="shared" si="76"/>
        <v>197.37577319177791</v>
      </c>
    </row>
    <row r="325" spans="1:36" x14ac:dyDescent="0.3">
      <c r="A325" s="94">
        <v>2018</v>
      </c>
      <c r="B325" s="58">
        <v>29.6</v>
      </c>
      <c r="C325" s="8" t="s">
        <v>22</v>
      </c>
      <c r="D325" s="115" t="s">
        <v>30</v>
      </c>
      <c r="E325" s="105">
        <v>6.5000000000000002E-2</v>
      </c>
      <c r="F325" s="114" t="s">
        <v>1545</v>
      </c>
      <c r="G325" s="113" t="s">
        <v>1544</v>
      </c>
      <c r="H325" s="113" t="s">
        <v>1546</v>
      </c>
      <c r="I325" s="144" t="s">
        <v>2412</v>
      </c>
      <c r="J325" s="148" t="str">
        <f t="shared" si="80"/>
        <v>https://doi.org/10.1109/ISSCC.2018.8310388</v>
      </c>
      <c r="K325" s="116" t="s">
        <v>1050</v>
      </c>
      <c r="L325" s="139">
        <v>0.8</v>
      </c>
      <c r="M325" s="139"/>
      <c r="N325" s="139"/>
      <c r="R325" s="63">
        <v>500</v>
      </c>
      <c r="S325" s="60">
        <f>10.7*6.02+1.76</f>
        <v>66.173999999999992</v>
      </c>
      <c r="T325" s="60"/>
      <c r="U325" s="60">
        <v>92</v>
      </c>
      <c r="V325" s="60"/>
      <c r="W325" s="60"/>
      <c r="X325" s="29">
        <f t="shared" si="72"/>
        <v>66.173999999999992</v>
      </c>
      <c r="Y325" s="89">
        <v>7.9999999999999996E-7</v>
      </c>
      <c r="Z325" s="89">
        <f>AA325*AB325</f>
        <v>32000</v>
      </c>
      <c r="AA325" s="110">
        <v>32</v>
      </c>
      <c r="AB325" s="89">
        <v>1000</v>
      </c>
      <c r="AC325" s="89" t="s">
        <v>2096</v>
      </c>
      <c r="AD325" s="65">
        <f t="shared" si="77"/>
        <v>799.99999999999989</v>
      </c>
      <c r="AE325" s="29" t="str">
        <f t="shared" si="81"/>
        <v/>
      </c>
      <c r="AF325" s="29">
        <f t="shared" si="79"/>
        <v>480.91578646285825</v>
      </c>
      <c r="AG325" s="54" t="str">
        <f t="shared" si="82"/>
        <v/>
      </c>
      <c r="AH325" s="54">
        <f t="shared" si="78"/>
        <v>154.13280017344073</v>
      </c>
      <c r="AI325" s="89">
        <f>AF325/AB325</f>
        <v>0.48091578646285826</v>
      </c>
      <c r="AJ325" s="67">
        <f>AH325+10*LOG10(AB325)</f>
        <v>184.13280017344073</v>
      </c>
    </row>
    <row r="326" spans="1:36" x14ac:dyDescent="0.3">
      <c r="A326" s="152">
        <v>2019</v>
      </c>
      <c r="B326" s="58">
        <v>3.1</v>
      </c>
      <c r="C326" s="8" t="s">
        <v>23</v>
      </c>
      <c r="D326" s="115" t="s">
        <v>260</v>
      </c>
      <c r="E326" s="105">
        <v>1.6E-2</v>
      </c>
      <c r="F326" s="114" t="s">
        <v>1590</v>
      </c>
      <c r="G326" s="113" t="s">
        <v>1583</v>
      </c>
      <c r="H326" s="113" t="s">
        <v>1596</v>
      </c>
      <c r="I326" s="144" t="s">
        <v>2413</v>
      </c>
      <c r="J326" s="148" t="str">
        <f t="shared" si="80"/>
        <v>https://doi.org/10.1109/ISSCC.2019.8662290</v>
      </c>
      <c r="K326" s="32" t="s">
        <v>1050</v>
      </c>
      <c r="L326" s="40">
        <v>1.8</v>
      </c>
      <c r="M326" s="48">
        <v>0.85</v>
      </c>
      <c r="N326" s="40"/>
      <c r="P326" s="88">
        <v>0.19400000000000001</v>
      </c>
      <c r="Q326" s="87">
        <v>62.9</v>
      </c>
      <c r="R326" s="63">
        <v>1600000000</v>
      </c>
      <c r="S326" s="60">
        <v>61.7</v>
      </c>
      <c r="T326" s="60"/>
      <c r="U326" s="60"/>
      <c r="V326" s="60">
        <v>71.400000000000006</v>
      </c>
      <c r="W326" s="60">
        <v>73.3</v>
      </c>
      <c r="X326" s="29">
        <f t="shared" si="72"/>
        <v>61.7</v>
      </c>
      <c r="Y326" s="89">
        <v>6.13E-2</v>
      </c>
      <c r="Z326" s="89">
        <v>3200000000</v>
      </c>
      <c r="AA326" s="110">
        <v>1</v>
      </c>
      <c r="AB326" s="89">
        <f t="shared" ref="AB326:AB344" si="83">Z326/AA326</f>
        <v>3200000000</v>
      </c>
      <c r="AC326" s="89" t="s">
        <v>2096</v>
      </c>
      <c r="AD326" s="65">
        <f t="shared" si="77"/>
        <v>19.15625</v>
      </c>
      <c r="AE326" s="29">
        <f t="shared" si="81"/>
        <v>16.788266545865596</v>
      </c>
      <c r="AF326" s="29">
        <f t="shared" si="79"/>
        <v>19.275774413033329</v>
      </c>
      <c r="AG326" s="54">
        <f t="shared" si="82"/>
        <v>167.06659508137511</v>
      </c>
      <c r="AH326" s="54">
        <f t="shared" si="78"/>
        <v>165.86659508137512</v>
      </c>
      <c r="AI326" s="89">
        <f t="shared" ref="AI326:AI332" si="84">AF326/AB326</f>
        <v>6.0236795040729152E-9</v>
      </c>
      <c r="AJ326" s="67">
        <f t="shared" ref="AJ326:AJ332" si="85">AH326+10*LOG10(AB326)</f>
        <v>260.91809486457419</v>
      </c>
    </row>
    <row r="327" spans="1:36" x14ac:dyDescent="0.3">
      <c r="A327" s="94">
        <v>2019</v>
      </c>
      <c r="B327" s="58">
        <v>3.2</v>
      </c>
      <c r="C327" s="8" t="s">
        <v>23</v>
      </c>
      <c r="D327" s="115" t="s">
        <v>745</v>
      </c>
      <c r="E327" s="105">
        <v>2.8000000000000001E-2</v>
      </c>
      <c r="F327" s="114" t="s">
        <v>1591</v>
      </c>
      <c r="G327" s="113" t="s">
        <v>1584</v>
      </c>
      <c r="H327" s="113" t="s">
        <v>1597</v>
      </c>
      <c r="I327" s="144" t="s">
        <v>2414</v>
      </c>
      <c r="J327" s="148" t="str">
        <f t="shared" si="80"/>
        <v>https://doi.org/10.1109/ISSCC.2019.8662524</v>
      </c>
      <c r="K327" s="116" t="s">
        <v>1050</v>
      </c>
      <c r="L327" s="139"/>
      <c r="M327" s="139"/>
      <c r="N327" s="139"/>
      <c r="P327" s="88">
        <v>9.1000000000000004E-3</v>
      </c>
      <c r="Q327" s="87">
        <v>61.36</v>
      </c>
      <c r="R327" s="63">
        <v>500000000</v>
      </c>
      <c r="S327" s="60">
        <v>60.002000000000002</v>
      </c>
      <c r="T327" s="60"/>
      <c r="U327" s="60"/>
      <c r="V327" s="60"/>
      <c r="W327" s="60">
        <v>74.56</v>
      </c>
      <c r="X327" s="29">
        <f t="shared" si="72"/>
        <v>60.002000000000002</v>
      </c>
      <c r="Y327" s="89">
        <v>7.6E-3</v>
      </c>
      <c r="Z327" s="89">
        <v>1000000000</v>
      </c>
      <c r="AA327" s="110">
        <v>1</v>
      </c>
      <c r="AB327" s="89">
        <f t="shared" si="83"/>
        <v>1000000000</v>
      </c>
      <c r="AC327" s="89" t="s">
        <v>2096</v>
      </c>
      <c r="AD327" s="65">
        <f t="shared" si="77"/>
        <v>7.6</v>
      </c>
      <c r="AE327" s="29">
        <f t="shared" si="81"/>
        <v>7.9527370885096831</v>
      </c>
      <c r="AF327" s="29">
        <f t="shared" si="79"/>
        <v>9.298724734633522</v>
      </c>
      <c r="AG327" s="54">
        <f t="shared" si="82"/>
        <v>169.54156412055227</v>
      </c>
      <c r="AH327" s="54">
        <f t="shared" si="78"/>
        <v>168.18356412055229</v>
      </c>
      <c r="AI327" s="89">
        <f t="shared" si="84"/>
        <v>9.2987247346335222E-9</v>
      </c>
      <c r="AJ327" s="67">
        <f t="shared" si="85"/>
        <v>258.18356412055232</v>
      </c>
    </row>
    <row r="328" spans="1:36" x14ac:dyDescent="0.3">
      <c r="A328" s="94">
        <v>2019</v>
      </c>
      <c r="B328" s="58">
        <v>3.3</v>
      </c>
      <c r="C328" s="8" t="s">
        <v>23</v>
      </c>
      <c r="D328" s="115" t="s">
        <v>1148</v>
      </c>
      <c r="E328" s="105">
        <v>2.8000000000000001E-2</v>
      </c>
      <c r="F328" s="114" t="s">
        <v>1592</v>
      </c>
      <c r="G328" s="113" t="s">
        <v>1585</v>
      </c>
      <c r="H328" s="113" t="s">
        <v>1598</v>
      </c>
      <c r="I328" s="144" t="s">
        <v>2415</v>
      </c>
      <c r="J328" s="148" t="str">
        <f t="shared" si="80"/>
        <v>https://doi.org/10.1109/ISSCC.2019.8662490</v>
      </c>
      <c r="K328" s="116" t="s">
        <v>1050</v>
      </c>
      <c r="L328" s="139"/>
      <c r="M328" s="139"/>
      <c r="N328" s="139"/>
      <c r="O328" s="58">
        <v>0.25600000000000001</v>
      </c>
      <c r="P328" s="88">
        <f>1.13*1.6</f>
        <v>1.8079999999999998</v>
      </c>
      <c r="Q328" s="87">
        <v>61.3</v>
      </c>
      <c r="R328" s="63">
        <v>2400000000</v>
      </c>
      <c r="S328" s="60">
        <v>58.5</v>
      </c>
      <c r="T328" s="60"/>
      <c r="U328" s="60"/>
      <c r="V328" s="60"/>
      <c r="W328" s="60">
        <v>65.400000000000006</v>
      </c>
      <c r="X328" s="29">
        <f t="shared" si="72"/>
        <v>58.5</v>
      </c>
      <c r="Y328" s="89">
        <v>0.15859999999999999</v>
      </c>
      <c r="Z328" s="89">
        <v>5000000000</v>
      </c>
      <c r="AA328" s="110">
        <v>1</v>
      </c>
      <c r="AB328" s="89">
        <f t="shared" si="83"/>
        <v>5000000000</v>
      </c>
      <c r="AC328" s="89" t="s">
        <v>2096</v>
      </c>
      <c r="AD328" s="65">
        <f t="shared" si="77"/>
        <v>31.720000000000002</v>
      </c>
      <c r="AE328" s="29">
        <f t="shared" si="81"/>
        <v>33.422313654537703</v>
      </c>
      <c r="AF328" s="29">
        <f t="shared" si="79"/>
        <v>46.137117961105545</v>
      </c>
      <c r="AG328" s="54">
        <f t="shared" si="82"/>
        <v>163.2763682569045</v>
      </c>
      <c r="AH328" s="54">
        <f t="shared" si="78"/>
        <v>160.47636825690452</v>
      </c>
      <c r="AI328" s="89">
        <f t="shared" si="84"/>
        <v>9.227423592221109E-9</v>
      </c>
      <c r="AJ328" s="67">
        <f t="shared" si="85"/>
        <v>257.46606830026474</v>
      </c>
    </row>
    <row r="329" spans="1:36" x14ac:dyDescent="0.3">
      <c r="A329" s="94">
        <v>2019</v>
      </c>
      <c r="B329" s="58">
        <v>3.4</v>
      </c>
      <c r="C329" s="8" t="s">
        <v>23</v>
      </c>
      <c r="D329" s="115" t="s">
        <v>745</v>
      </c>
      <c r="E329" s="105">
        <v>0.04</v>
      </c>
      <c r="F329" s="114" t="s">
        <v>2085</v>
      </c>
      <c r="G329" s="113" t="s">
        <v>1586</v>
      </c>
      <c r="H329" s="113" t="s">
        <v>1599</v>
      </c>
      <c r="I329" s="144" t="s">
        <v>2416</v>
      </c>
      <c r="J329" s="148" t="str">
        <f t="shared" si="80"/>
        <v>https://doi.org/10.1109/ISSCC.2019.8662406</v>
      </c>
      <c r="K329" s="116" t="s">
        <v>1050</v>
      </c>
      <c r="L329" s="139"/>
      <c r="M329" s="139"/>
      <c r="N329" s="139"/>
      <c r="O329" s="58">
        <v>0.12</v>
      </c>
      <c r="P329" s="88">
        <v>0.01</v>
      </c>
      <c r="Q329" s="87">
        <v>73.5</v>
      </c>
      <c r="R329" s="63">
        <v>1000000</v>
      </c>
      <c r="S329" s="60">
        <v>71.7</v>
      </c>
      <c r="T329" s="60"/>
      <c r="U329" s="60">
        <v>73.599999999999994</v>
      </c>
      <c r="V329" s="60"/>
      <c r="W329" s="60">
        <v>79.400000000000006</v>
      </c>
      <c r="X329" s="29">
        <f t="shared" si="72"/>
        <v>71.7</v>
      </c>
      <c r="Y329" s="89">
        <v>2.5199999999999999E-5</v>
      </c>
      <c r="Z329" s="89">
        <v>2000000</v>
      </c>
      <c r="AA329" s="110">
        <v>1</v>
      </c>
      <c r="AB329" s="89">
        <f t="shared" si="83"/>
        <v>2000000</v>
      </c>
      <c r="AC329" s="89" t="s">
        <v>2096</v>
      </c>
      <c r="AD329" s="65">
        <f t="shared" si="77"/>
        <v>12.6</v>
      </c>
      <c r="AE329" s="29">
        <f t="shared" si="81"/>
        <v>3.2584652100408489</v>
      </c>
      <c r="AF329" s="29">
        <f t="shared" si="79"/>
        <v>4.0088707767613165</v>
      </c>
      <c r="AG329" s="54">
        <f t="shared" si="82"/>
        <v>179.48599459218457</v>
      </c>
      <c r="AH329" s="54">
        <f t="shared" si="78"/>
        <v>177.68599459218456</v>
      </c>
      <c r="AI329" s="89">
        <f t="shared" si="84"/>
        <v>2.0044353883806582E-6</v>
      </c>
      <c r="AJ329" s="67">
        <f t="shared" si="85"/>
        <v>240.69629454882437</v>
      </c>
    </row>
    <row r="330" spans="1:36" x14ac:dyDescent="0.3">
      <c r="A330" s="94">
        <v>2019</v>
      </c>
      <c r="B330" s="58">
        <v>3.5</v>
      </c>
      <c r="C330" s="8" t="s">
        <v>23</v>
      </c>
      <c r="D330" s="115" t="s">
        <v>745</v>
      </c>
      <c r="E330" s="105">
        <v>6.5000000000000002E-2</v>
      </c>
      <c r="F330" s="114" t="s">
        <v>1593</v>
      </c>
      <c r="G330" s="113" t="s">
        <v>1587</v>
      </c>
      <c r="H330" s="113" t="s">
        <v>1600</v>
      </c>
      <c r="I330" s="144" t="s">
        <v>2417</v>
      </c>
      <c r="J330" s="148" t="str">
        <f t="shared" si="80"/>
        <v>https://doi.org/10.1109/ISSCC.2019.8662350</v>
      </c>
      <c r="K330" s="32" t="s">
        <v>1050</v>
      </c>
      <c r="L330" s="40">
        <v>0.6</v>
      </c>
      <c r="M330" s="40"/>
      <c r="N330" s="40"/>
      <c r="P330" s="17">
        <v>5.2999999999999999E-2</v>
      </c>
      <c r="Q330" s="87">
        <v>71.5</v>
      </c>
      <c r="R330" s="63">
        <v>10000000</v>
      </c>
      <c r="S330" s="60">
        <v>71</v>
      </c>
      <c r="T330" s="60"/>
      <c r="U330" s="60"/>
      <c r="V330" s="60"/>
      <c r="W330" s="60">
        <v>89.5</v>
      </c>
      <c r="X330" s="29">
        <f t="shared" si="72"/>
        <v>71</v>
      </c>
      <c r="Y330" s="89">
        <v>8.2000000000000001E-5</v>
      </c>
      <c r="Z330" s="89">
        <v>20000000</v>
      </c>
      <c r="AA330" s="110">
        <v>1</v>
      </c>
      <c r="AB330" s="89">
        <f t="shared" si="83"/>
        <v>20000000</v>
      </c>
      <c r="AC330" s="89" t="s">
        <v>2096</v>
      </c>
      <c r="AD330" s="65">
        <f t="shared" si="77"/>
        <v>4.0999999999999996</v>
      </c>
      <c r="AE330" s="29">
        <f t="shared" si="81"/>
        <v>1.3348619858770259</v>
      </c>
      <c r="AF330" s="29">
        <f t="shared" si="79"/>
        <v>1.4139656423412064</v>
      </c>
      <c r="AG330" s="54">
        <f t="shared" si="82"/>
        <v>182.36186147616283</v>
      </c>
      <c r="AH330" s="54">
        <f t="shared" si="78"/>
        <v>181.86186147616283</v>
      </c>
      <c r="AI330" s="89">
        <f t="shared" si="84"/>
        <v>7.0698282117060317E-8</v>
      </c>
      <c r="AJ330" s="67">
        <f t="shared" si="85"/>
        <v>254.87216143280264</v>
      </c>
    </row>
    <row r="331" spans="1:36" x14ac:dyDescent="0.3">
      <c r="A331" s="94">
        <v>2019</v>
      </c>
      <c r="B331" s="58">
        <v>3.6</v>
      </c>
      <c r="C331" s="8" t="s">
        <v>23</v>
      </c>
      <c r="D331" s="115" t="s">
        <v>26</v>
      </c>
      <c r="E331" s="105">
        <v>1.6E-2</v>
      </c>
      <c r="F331" s="114" t="s">
        <v>1594</v>
      </c>
      <c r="G331" s="113" t="s">
        <v>1588</v>
      </c>
      <c r="H331" s="113" t="s">
        <v>1601</v>
      </c>
      <c r="I331" s="144" t="s">
        <v>2418</v>
      </c>
      <c r="J331" s="148" t="str">
        <f t="shared" si="80"/>
        <v>https://doi.org/10.1109/ISSCC.2019.8662319</v>
      </c>
      <c r="K331" s="116" t="s">
        <v>1050</v>
      </c>
      <c r="L331" s="139"/>
      <c r="M331" s="139"/>
      <c r="N331" s="139"/>
      <c r="Q331" s="87">
        <v>60.4</v>
      </c>
      <c r="R331" s="63">
        <v>300000000</v>
      </c>
      <c r="S331" s="60">
        <v>60.2</v>
      </c>
      <c r="T331" s="60"/>
      <c r="U331" s="60"/>
      <c r="V331" s="60"/>
      <c r="W331" s="60">
        <v>78.3</v>
      </c>
      <c r="X331" s="29">
        <f t="shared" si="72"/>
        <v>60.2</v>
      </c>
      <c r="Y331" s="89">
        <v>6.0000000000000001E-3</v>
      </c>
      <c r="Z331" s="89">
        <v>600000000</v>
      </c>
      <c r="AA331" s="110">
        <v>1</v>
      </c>
      <c r="AB331" s="89">
        <f t="shared" si="83"/>
        <v>600000000</v>
      </c>
      <c r="AC331" s="89" t="s">
        <v>2096</v>
      </c>
      <c r="AD331" s="65">
        <f t="shared" si="77"/>
        <v>10.000000000000002</v>
      </c>
      <c r="AE331" s="29">
        <f t="shared" si="81"/>
        <v>11.68712842432682</v>
      </c>
      <c r="AF331" s="29">
        <f t="shared" si="79"/>
        <v>11.959384058513221</v>
      </c>
      <c r="AG331" s="54">
        <f t="shared" si="82"/>
        <v>167.38970004336019</v>
      </c>
      <c r="AH331" s="54">
        <f t="shared" si="78"/>
        <v>167.18970004336018</v>
      </c>
      <c r="AI331" s="89">
        <f t="shared" si="84"/>
        <v>1.9932306764188702E-8</v>
      </c>
      <c r="AJ331" s="67">
        <f t="shared" si="85"/>
        <v>254.97121254719661</v>
      </c>
    </row>
    <row r="332" spans="1:36" x14ac:dyDescent="0.3">
      <c r="A332" s="94">
        <v>2019</v>
      </c>
      <c r="B332" s="58">
        <v>3.7</v>
      </c>
      <c r="C332" s="8" t="s">
        <v>23</v>
      </c>
      <c r="D332" s="115" t="s">
        <v>1494</v>
      </c>
      <c r="E332" s="105">
        <v>0.18</v>
      </c>
      <c r="F332" s="114" t="s">
        <v>1595</v>
      </c>
      <c r="G332" s="113" t="s">
        <v>1589</v>
      </c>
      <c r="H332" s="113" t="s">
        <v>1602</v>
      </c>
      <c r="I332" s="144" t="s">
        <v>2419</v>
      </c>
      <c r="J332" s="148" t="str">
        <f t="shared" si="80"/>
        <v>https://doi.org/10.1109/ISSCC.2019.8662400</v>
      </c>
      <c r="K332" s="116" t="s">
        <v>1050</v>
      </c>
      <c r="L332" s="139"/>
      <c r="M332" s="139"/>
      <c r="N332" s="139"/>
      <c r="P332" s="17">
        <v>16</v>
      </c>
      <c r="Q332" s="87">
        <v>91</v>
      </c>
      <c r="R332" s="63">
        <v>4000000</v>
      </c>
      <c r="S332" s="60">
        <v>88</v>
      </c>
      <c r="T332" s="60"/>
      <c r="U332" s="60">
        <v>93.9</v>
      </c>
      <c r="V332" s="60"/>
      <c r="W332" s="60">
        <v>96.5</v>
      </c>
      <c r="X332" s="29">
        <f t="shared" si="72"/>
        <v>88</v>
      </c>
      <c r="Y332" s="89">
        <v>9.7999999999999997E-3</v>
      </c>
      <c r="Z332" s="89">
        <v>15000000</v>
      </c>
      <c r="AA332" s="110">
        <v>1</v>
      </c>
      <c r="AB332" s="89">
        <f t="shared" si="83"/>
        <v>15000000</v>
      </c>
      <c r="AC332" s="89" t="s">
        <v>2096</v>
      </c>
      <c r="AD332" s="65">
        <f t="shared" si="77"/>
        <v>653.33333333333337</v>
      </c>
      <c r="AE332" s="29">
        <f t="shared" si="81"/>
        <v>22.526315542852998</v>
      </c>
      <c r="AF332" s="29">
        <f t="shared" si="79"/>
        <v>31.820361654202916</v>
      </c>
      <c r="AG332" s="54">
        <f t="shared" si="82"/>
        <v>179.83835187699205</v>
      </c>
      <c r="AH332" s="54">
        <f t="shared" si="78"/>
        <v>176.83835187699205</v>
      </c>
      <c r="AI332" s="89">
        <f t="shared" si="84"/>
        <v>2.1213574436135276E-6</v>
      </c>
      <c r="AJ332" s="67">
        <f t="shared" si="85"/>
        <v>248.59926446754886</v>
      </c>
    </row>
    <row r="333" spans="1:36" x14ac:dyDescent="0.3">
      <c r="A333" s="94">
        <v>2019</v>
      </c>
      <c r="B333" s="58">
        <v>6.3</v>
      </c>
      <c r="C333" s="3" t="s">
        <v>23</v>
      </c>
      <c r="D333" s="115" t="s">
        <v>592</v>
      </c>
      <c r="E333" s="105">
        <v>7.0000000000000001E-3</v>
      </c>
      <c r="F333" s="114" t="s">
        <v>1661</v>
      </c>
      <c r="G333" s="113" t="s">
        <v>1663</v>
      </c>
      <c r="H333" s="113" t="s">
        <v>1662</v>
      </c>
      <c r="I333" s="144" t="s">
        <v>2420</v>
      </c>
      <c r="J333" s="148" t="str">
        <f t="shared" si="80"/>
        <v>https://doi.org/10.1109/ISSCC.2019.8662428</v>
      </c>
      <c r="K333" s="32" t="s">
        <v>1664</v>
      </c>
      <c r="L333" s="40"/>
      <c r="M333" s="40"/>
      <c r="N333" s="40"/>
      <c r="O333" s="8"/>
      <c r="R333" s="89">
        <v>14000000000</v>
      </c>
      <c r="S333" s="87">
        <v>32</v>
      </c>
      <c r="T333" s="60">
        <v>33.5</v>
      </c>
      <c r="V333" s="40">
        <v>39.799999999999997</v>
      </c>
      <c r="W333" s="58">
        <v>40</v>
      </c>
      <c r="X333" s="29">
        <f t="shared" ref="X333:X343" si="86">+IF(ISNUMBER($S333),$S333,MIN($V333,$T333,$U333,$W333))</f>
        <v>32</v>
      </c>
      <c r="Y333" s="89">
        <v>5.3499999999999999E-2</v>
      </c>
      <c r="Z333" s="89">
        <v>30000000000</v>
      </c>
      <c r="AA333" s="110">
        <v>1</v>
      </c>
      <c r="AB333" s="89">
        <f t="shared" si="83"/>
        <v>30000000000</v>
      </c>
      <c r="AC333" s="89" t="s">
        <v>2096</v>
      </c>
      <c r="AD333" s="65">
        <f t="shared" si="77"/>
        <v>1.7833333333333332</v>
      </c>
      <c r="AE333" s="29" t="str">
        <f t="shared" si="81"/>
        <v/>
      </c>
      <c r="AF333" s="29">
        <f t="shared" si="79"/>
        <v>54.838030832661879</v>
      </c>
      <c r="AG333" s="54" t="str">
        <f t="shared" si="82"/>
        <v/>
      </c>
      <c r="AH333" s="54">
        <f t="shared" si="78"/>
        <v>146.47737477034451</v>
      </c>
      <c r="AI333" s="89">
        <f t="shared" ref="AI333:AI348" si="87">AF333/AB333</f>
        <v>1.8279343610887292E-9</v>
      </c>
      <c r="AJ333" s="67">
        <f t="shared" ref="AJ333:AJ348" si="88">AH333+10*LOG10(AB333)</f>
        <v>251.24858731754114</v>
      </c>
    </row>
    <row r="334" spans="1:36" x14ac:dyDescent="0.3">
      <c r="A334" s="94">
        <v>2019</v>
      </c>
      <c r="B334" s="58">
        <v>11.1</v>
      </c>
      <c r="C334" s="8" t="s">
        <v>23</v>
      </c>
      <c r="D334" s="115" t="s">
        <v>31</v>
      </c>
      <c r="E334" s="105">
        <v>0.18</v>
      </c>
      <c r="F334" s="114" t="s">
        <v>1625</v>
      </c>
      <c r="G334" s="113" t="s">
        <v>1627</v>
      </c>
      <c r="H334" s="113" t="s">
        <v>1626</v>
      </c>
      <c r="I334" s="144" t="s">
        <v>2421</v>
      </c>
      <c r="J334" s="148" t="str">
        <f t="shared" si="80"/>
        <v>https://doi.org/10.1109/ISSCC.2019.8662531</v>
      </c>
      <c r="K334" s="116" t="s">
        <v>1050</v>
      </c>
      <c r="L334" s="139"/>
      <c r="M334" s="139"/>
      <c r="N334" s="139"/>
      <c r="P334" s="17">
        <v>2.8000000000000001E-2</v>
      </c>
      <c r="R334" s="63">
        <v>5000000</v>
      </c>
      <c r="S334" s="60">
        <v>56.85</v>
      </c>
      <c r="T334" s="60"/>
      <c r="U334" s="60"/>
      <c r="V334" s="60"/>
      <c r="W334" s="60"/>
      <c r="X334" s="29">
        <f t="shared" si="86"/>
        <v>56.85</v>
      </c>
      <c r="Y334" s="89">
        <v>1.23E-3</v>
      </c>
      <c r="Z334" s="89">
        <v>20000000</v>
      </c>
      <c r="AA334" s="110">
        <v>1</v>
      </c>
      <c r="AB334" s="89">
        <f t="shared" si="83"/>
        <v>20000000</v>
      </c>
      <c r="AC334" s="89" t="s">
        <v>2096</v>
      </c>
      <c r="AD334" s="65">
        <f t="shared" si="77"/>
        <v>61.499999999999993</v>
      </c>
      <c r="AE334" s="29" t="str">
        <f t="shared" si="81"/>
        <v/>
      </c>
      <c r="AF334" s="29">
        <f t="shared" si="79"/>
        <v>108.16845349755975</v>
      </c>
      <c r="AG334" s="54" t="str">
        <f t="shared" si="82"/>
        <v/>
      </c>
      <c r="AH334" s="54">
        <f t="shared" si="78"/>
        <v>155.95094888560601</v>
      </c>
      <c r="AI334" s="89">
        <f t="shared" si="87"/>
        <v>5.4084226748779874E-6</v>
      </c>
      <c r="AJ334" s="67">
        <f t="shared" si="88"/>
        <v>228.96124884224582</v>
      </c>
    </row>
    <row r="335" spans="1:36" x14ac:dyDescent="0.3">
      <c r="A335" s="94">
        <v>2019</v>
      </c>
      <c r="B335" s="58">
        <v>20.100000000000001</v>
      </c>
      <c r="C335" s="8" t="s">
        <v>23</v>
      </c>
      <c r="D335" s="115" t="s">
        <v>1617</v>
      </c>
      <c r="E335" s="105">
        <v>2.8000000000000001E-2</v>
      </c>
      <c r="F335" s="114" t="s">
        <v>1607</v>
      </c>
      <c r="G335" s="113" t="s">
        <v>1608</v>
      </c>
      <c r="H335" s="113" t="s">
        <v>1618</v>
      </c>
      <c r="I335" s="144" t="s">
        <v>2422</v>
      </c>
      <c r="J335" s="148" t="str">
        <f t="shared" si="80"/>
        <v>https://doi.org/10.1109/ISSCC.2019.8662412</v>
      </c>
      <c r="K335" s="116" t="s">
        <v>1050</v>
      </c>
      <c r="L335" s="139"/>
      <c r="M335" s="139"/>
      <c r="N335" s="139"/>
      <c r="P335" s="17">
        <v>2.3E-2</v>
      </c>
      <c r="Q335" s="87">
        <v>46.7</v>
      </c>
      <c r="R335" s="63">
        <v>2500000000</v>
      </c>
      <c r="S335" s="60">
        <v>45.2</v>
      </c>
      <c r="T335" s="60"/>
      <c r="U335" s="60"/>
      <c r="V335" s="60"/>
      <c r="W335" s="60">
        <v>57.1</v>
      </c>
      <c r="X335" s="29">
        <f t="shared" si="86"/>
        <v>45.2</v>
      </c>
      <c r="Y335" s="89">
        <v>2.2700000000000001E-2</v>
      </c>
      <c r="Z335" s="89">
        <v>5000000000</v>
      </c>
      <c r="AA335" s="110">
        <v>1</v>
      </c>
      <c r="AB335" s="89">
        <f t="shared" si="83"/>
        <v>5000000000</v>
      </c>
      <c r="AC335" s="89" t="s">
        <v>2096</v>
      </c>
      <c r="AD335" s="65">
        <f t="shared" si="77"/>
        <v>4.54</v>
      </c>
      <c r="AE335" s="29">
        <f t="shared" si="81"/>
        <v>25.694012539615869</v>
      </c>
      <c r="AF335" s="29">
        <f t="shared" si="79"/>
        <v>30.537916673710392</v>
      </c>
      <c r="AG335" s="54">
        <f t="shared" si="82"/>
        <v>157.11914151478913</v>
      </c>
      <c r="AH335" s="54">
        <f t="shared" si="78"/>
        <v>155.61914151478913</v>
      </c>
      <c r="AI335" s="89">
        <f t="shared" si="87"/>
        <v>6.1075833347420782E-9</v>
      </c>
      <c r="AJ335" s="67">
        <f t="shared" si="88"/>
        <v>252.60884155814932</v>
      </c>
    </row>
    <row r="336" spans="1:36" x14ac:dyDescent="0.3">
      <c r="A336" s="94">
        <v>2019</v>
      </c>
      <c r="B336" s="58">
        <v>20.2</v>
      </c>
      <c r="C336" s="8" t="s">
        <v>22</v>
      </c>
      <c r="D336" s="115" t="s">
        <v>31</v>
      </c>
      <c r="E336" s="105">
        <v>1.4E-2</v>
      </c>
      <c r="F336" s="114" t="s">
        <v>1609</v>
      </c>
      <c r="G336" s="113" t="s">
        <v>1611</v>
      </c>
      <c r="H336" s="113" t="s">
        <v>1619</v>
      </c>
      <c r="I336" s="144" t="s">
        <v>2710</v>
      </c>
      <c r="J336" s="148" t="str">
        <f t="shared" si="80"/>
        <v>https://doi.org/10.1109/ISSCC.2019.8662299</v>
      </c>
      <c r="K336" s="116" t="s">
        <v>1050</v>
      </c>
      <c r="L336" s="139">
        <v>0.9</v>
      </c>
      <c r="M336" s="139"/>
      <c r="N336" s="139"/>
      <c r="P336" s="17">
        <v>2.0999999999999999E-3</v>
      </c>
      <c r="R336" s="63">
        <v>9.9610000000000003</v>
      </c>
      <c r="S336" s="60">
        <v>66.599999999999994</v>
      </c>
      <c r="T336" s="60">
        <v>66.989999999999995</v>
      </c>
      <c r="U336" s="60"/>
      <c r="V336" s="60"/>
      <c r="W336" s="60">
        <v>77.44</v>
      </c>
      <c r="X336" s="29">
        <f t="shared" si="86"/>
        <v>66.599999999999994</v>
      </c>
      <c r="Y336" s="89">
        <v>1.25E-3</v>
      </c>
      <c r="Z336" s="89">
        <v>320000000</v>
      </c>
      <c r="AA336" s="110">
        <v>4</v>
      </c>
      <c r="AB336" s="89">
        <f t="shared" si="83"/>
        <v>80000000</v>
      </c>
      <c r="AC336" s="89" t="s">
        <v>2096</v>
      </c>
      <c r="AD336" s="65">
        <f t="shared" si="77"/>
        <v>15.625000000000002</v>
      </c>
      <c r="AE336" s="29" t="str">
        <f t="shared" si="81"/>
        <v/>
      </c>
      <c r="AF336" s="29">
        <f t="shared" si="79"/>
        <v>8.9432825072381927</v>
      </c>
      <c r="AG336" s="54" t="str">
        <f t="shared" si="82"/>
        <v/>
      </c>
      <c r="AH336" s="54">
        <f t="shared" si="78"/>
        <v>171.65149978319906</v>
      </c>
      <c r="AI336" s="89">
        <f t="shared" si="87"/>
        <v>1.117910313404774E-7</v>
      </c>
      <c r="AJ336" s="67">
        <f t="shared" si="88"/>
        <v>250.68239965311849</v>
      </c>
    </row>
    <row r="337" spans="1:36" x14ac:dyDescent="0.3">
      <c r="A337" s="94">
        <v>2019</v>
      </c>
      <c r="B337" s="58">
        <v>20.3</v>
      </c>
      <c r="C337" s="8" t="s">
        <v>22</v>
      </c>
      <c r="D337" s="115" t="s">
        <v>592</v>
      </c>
      <c r="E337" s="105">
        <v>0.04</v>
      </c>
      <c r="F337" s="114" t="s">
        <v>1610</v>
      </c>
      <c r="G337" s="113" t="s">
        <v>1612</v>
      </c>
      <c r="H337" s="113" t="s">
        <v>1621</v>
      </c>
      <c r="I337" s="144" t="s">
        <v>2423</v>
      </c>
      <c r="J337" s="148" t="str">
        <f t="shared" si="80"/>
        <v>https://doi.org/10.1109/ISSCC.2019.8662313</v>
      </c>
      <c r="K337" s="116" t="s">
        <v>1050</v>
      </c>
      <c r="L337" s="139"/>
      <c r="M337" s="139"/>
      <c r="N337" s="139"/>
      <c r="P337" s="17">
        <v>0.06</v>
      </c>
      <c r="R337" s="63">
        <v>6000000</v>
      </c>
      <c r="S337" s="60">
        <v>70.400000000000006</v>
      </c>
      <c r="T337" s="60"/>
      <c r="U337" s="60"/>
      <c r="V337" s="60"/>
      <c r="W337" s="60">
        <v>88</v>
      </c>
      <c r="X337" s="29">
        <f t="shared" si="86"/>
        <v>70.400000000000006</v>
      </c>
      <c r="Y337" s="89">
        <v>1.2999999999999999E-2</v>
      </c>
      <c r="Z337" s="89">
        <v>400000000</v>
      </c>
      <c r="AA337" s="110">
        <v>4</v>
      </c>
      <c r="AB337" s="89">
        <f t="shared" si="83"/>
        <v>100000000</v>
      </c>
      <c r="AC337" s="89" t="s">
        <v>2096</v>
      </c>
      <c r="AD337" s="65">
        <f t="shared" si="77"/>
        <v>130</v>
      </c>
      <c r="AE337" s="29" t="str">
        <f t="shared" si="81"/>
        <v/>
      </c>
      <c r="AF337" s="29">
        <f t="shared" si="79"/>
        <v>48.039816733060249</v>
      </c>
      <c r="AG337" s="54" t="str">
        <f t="shared" si="82"/>
        <v/>
      </c>
      <c r="AH337" s="54">
        <f t="shared" si="78"/>
        <v>166.25026652029183</v>
      </c>
      <c r="AI337" s="89">
        <f t="shared" si="87"/>
        <v>4.8039816733060247E-7</v>
      </c>
      <c r="AJ337" s="67">
        <f t="shared" si="88"/>
        <v>246.25026652029183</v>
      </c>
    </row>
    <row r="338" spans="1:36" x14ac:dyDescent="0.3">
      <c r="A338" s="94">
        <v>2019</v>
      </c>
      <c r="B338" s="58">
        <v>20.399999999999999</v>
      </c>
      <c r="C338" s="8" t="s">
        <v>22</v>
      </c>
      <c r="D338" s="115" t="s">
        <v>30</v>
      </c>
      <c r="E338" s="105">
        <v>7.0000000000000001E-3</v>
      </c>
      <c r="F338" s="114" t="s">
        <v>1603</v>
      </c>
      <c r="G338" s="113" t="s">
        <v>1604</v>
      </c>
      <c r="H338" s="113" t="s">
        <v>1620</v>
      </c>
      <c r="I338" s="144" t="s">
        <v>2711</v>
      </c>
      <c r="J338" s="148" t="str">
        <f t="shared" si="80"/>
        <v>https://doi.org/10.1109/ISSCC.2019.8662371</v>
      </c>
      <c r="K338" s="116" t="s">
        <v>1050</v>
      </c>
      <c r="L338" s="139">
        <v>1.3</v>
      </c>
      <c r="M338" s="139">
        <v>1</v>
      </c>
      <c r="N338" s="139"/>
      <c r="P338" s="17">
        <v>5.6000000000000001E-2</v>
      </c>
      <c r="R338" s="63">
        <v>7000000</v>
      </c>
      <c r="S338" s="60">
        <v>74</v>
      </c>
      <c r="T338" s="60"/>
      <c r="U338" s="60">
        <v>79.400000000000006</v>
      </c>
      <c r="V338" s="60"/>
      <c r="W338" s="60"/>
      <c r="X338" s="29">
        <f t="shared" si="86"/>
        <v>74</v>
      </c>
      <c r="Y338" s="89">
        <v>3.8E-3</v>
      </c>
      <c r="Z338" s="89">
        <v>400000000</v>
      </c>
      <c r="AA338" s="110">
        <v>8</v>
      </c>
      <c r="AB338" s="89">
        <f t="shared" si="83"/>
        <v>50000000</v>
      </c>
      <c r="AC338" s="89" t="s">
        <v>2096</v>
      </c>
      <c r="AD338" s="65">
        <f t="shared" si="77"/>
        <v>76</v>
      </c>
      <c r="AE338" s="29" t="str">
        <f t="shared" si="81"/>
        <v/>
      </c>
      <c r="AF338" s="29">
        <f t="shared" si="79"/>
        <v>18.5546875</v>
      </c>
      <c r="AG338" s="54" t="str">
        <f t="shared" si="82"/>
        <v/>
      </c>
      <c r="AH338" s="54">
        <f t="shared" si="78"/>
        <v>172.18156412055228</v>
      </c>
      <c r="AI338" s="89">
        <f t="shared" si="87"/>
        <v>3.7109375000000002E-7</v>
      </c>
      <c r="AJ338" s="67">
        <f t="shared" si="88"/>
        <v>249.17126416391247</v>
      </c>
    </row>
    <row r="339" spans="1:36" x14ac:dyDescent="0.3">
      <c r="A339" s="94">
        <v>2019</v>
      </c>
      <c r="B339" s="58">
        <v>20.5</v>
      </c>
      <c r="C339" s="8" t="s">
        <v>22</v>
      </c>
      <c r="D339" s="115" t="s">
        <v>30</v>
      </c>
      <c r="E339" s="105">
        <v>2.8000000000000001E-2</v>
      </c>
      <c r="F339" s="114" t="s">
        <v>1605</v>
      </c>
      <c r="G339" s="113" t="s">
        <v>1606</v>
      </c>
      <c r="H339" s="119" t="s">
        <v>1622</v>
      </c>
      <c r="I339" s="144" t="s">
        <v>2712</v>
      </c>
      <c r="J339" s="148" t="str">
        <f t="shared" si="80"/>
        <v>https://doi.org/10.1109/ISSCC.2019.8662529</v>
      </c>
      <c r="K339" s="116" t="s">
        <v>1050</v>
      </c>
      <c r="L339" s="139">
        <v>1.5</v>
      </c>
      <c r="M339" s="139">
        <v>1.2</v>
      </c>
      <c r="N339" s="139"/>
      <c r="P339" s="17">
        <v>8.5000000000000006E-2</v>
      </c>
      <c r="R339" s="63">
        <v>6000000</v>
      </c>
      <c r="S339" s="60">
        <v>76.599999999999994</v>
      </c>
      <c r="T339" s="60">
        <v>77.400000000000006</v>
      </c>
      <c r="U339" s="60"/>
      <c r="V339" s="60"/>
      <c r="W339" s="60">
        <v>87.8</v>
      </c>
      <c r="X339" s="29">
        <f t="shared" si="86"/>
        <v>76.599999999999994</v>
      </c>
      <c r="Y339" s="89">
        <v>2.92E-2</v>
      </c>
      <c r="Z339" s="89">
        <v>1200000000</v>
      </c>
      <c r="AA339" s="110">
        <v>12</v>
      </c>
      <c r="AB339" s="89">
        <f t="shared" si="83"/>
        <v>100000000</v>
      </c>
      <c r="AC339" s="89" t="s">
        <v>2096</v>
      </c>
      <c r="AD339" s="65">
        <f t="shared" si="77"/>
        <v>292</v>
      </c>
      <c r="AE339" s="29" t="str">
        <f t="shared" si="81"/>
        <v/>
      </c>
      <c r="AF339" s="29">
        <f t="shared" si="79"/>
        <v>52.845735720270227</v>
      </c>
      <c r="AG339" s="54" t="str">
        <f t="shared" si="82"/>
        <v/>
      </c>
      <c r="AH339" s="54">
        <f t="shared" si="78"/>
        <v>168.93587152887602</v>
      </c>
      <c r="AI339" s="89">
        <f t="shared" si="87"/>
        <v>5.2845735720270229E-7</v>
      </c>
      <c r="AJ339" s="67">
        <f t="shared" si="88"/>
        <v>248.93587152887602</v>
      </c>
    </row>
    <row r="340" spans="1:36" x14ac:dyDescent="0.3">
      <c r="A340" s="94">
        <v>2019</v>
      </c>
      <c r="B340" s="58">
        <v>20.6</v>
      </c>
      <c r="C340" s="8" t="s">
        <v>22</v>
      </c>
      <c r="D340" s="115" t="s">
        <v>30</v>
      </c>
      <c r="E340" s="105">
        <v>2.8000000000000001E-2</v>
      </c>
      <c r="F340" s="114" t="s">
        <v>1613</v>
      </c>
      <c r="G340" s="113" t="s">
        <v>1614</v>
      </c>
      <c r="H340" s="113" t="s">
        <v>1623</v>
      </c>
      <c r="I340" s="144" t="s">
        <v>2713</v>
      </c>
      <c r="J340" s="148" t="str">
        <f t="shared" si="80"/>
        <v>https://doi.org/10.1109/ISSCC.2019.8662416</v>
      </c>
      <c r="K340" s="116" t="s">
        <v>1050</v>
      </c>
      <c r="L340" s="139">
        <v>2</v>
      </c>
      <c r="M340" s="139">
        <v>1.1499999999999999</v>
      </c>
      <c r="N340" s="139"/>
      <c r="P340" s="17">
        <v>0.06</v>
      </c>
      <c r="R340" s="63">
        <v>10000000</v>
      </c>
      <c r="S340" s="60">
        <v>64.900000000000006</v>
      </c>
      <c r="T340" s="60">
        <v>65.7</v>
      </c>
      <c r="U340" s="60">
        <v>68</v>
      </c>
      <c r="V340" s="60"/>
      <c r="W340" s="60"/>
      <c r="X340" s="29">
        <f t="shared" si="86"/>
        <v>64.900000000000006</v>
      </c>
      <c r="Y340" s="89">
        <v>7.3299999999999997E-3</v>
      </c>
      <c r="Z340" s="89">
        <v>960000000</v>
      </c>
      <c r="AA340" s="110">
        <v>6</v>
      </c>
      <c r="AB340" s="89">
        <f t="shared" si="83"/>
        <v>160000000</v>
      </c>
      <c r="AC340" s="89" t="s">
        <v>2096</v>
      </c>
      <c r="AD340" s="65">
        <f t="shared" si="77"/>
        <v>45.8125</v>
      </c>
      <c r="AE340" s="29" t="str">
        <f t="shared" si="81"/>
        <v/>
      </c>
      <c r="AF340" s="29">
        <f t="shared" si="79"/>
        <v>31.89109169835211</v>
      </c>
      <c r="AG340" s="54" t="str">
        <f t="shared" si="82"/>
        <v/>
      </c>
      <c r="AH340" s="54">
        <f t="shared" si="78"/>
        <v>165.27986012350817</v>
      </c>
      <c r="AI340" s="89">
        <f t="shared" si="87"/>
        <v>1.993193231147007E-7</v>
      </c>
      <c r="AJ340" s="67">
        <f t="shared" si="88"/>
        <v>247.32105995006742</v>
      </c>
    </row>
    <row r="341" spans="1:36" x14ac:dyDescent="0.3">
      <c r="A341" s="94">
        <v>2019</v>
      </c>
      <c r="B341" s="58">
        <v>20.7</v>
      </c>
      <c r="C341" s="8" t="s">
        <v>22</v>
      </c>
      <c r="D341" s="115" t="s">
        <v>30</v>
      </c>
      <c r="E341" s="105">
        <v>2.8000000000000001E-2</v>
      </c>
      <c r="F341" s="135" t="s">
        <v>1615</v>
      </c>
      <c r="G341" s="113" t="s">
        <v>1616</v>
      </c>
      <c r="H341" s="113" t="s">
        <v>1624</v>
      </c>
      <c r="I341" s="144" t="s">
        <v>2424</v>
      </c>
      <c r="J341" s="148" t="str">
        <f t="shared" si="80"/>
        <v>https://doi.org/10.1109/ISSCC.2019.8662317</v>
      </c>
      <c r="K341" s="116" t="s">
        <v>1050</v>
      </c>
      <c r="L341" s="139"/>
      <c r="M341" s="139"/>
      <c r="N341" s="139"/>
      <c r="P341" s="17">
        <v>1.9E-2</v>
      </c>
      <c r="R341" s="63">
        <v>18000000</v>
      </c>
      <c r="S341" s="60">
        <v>72.599999999999994</v>
      </c>
      <c r="T341" s="60"/>
      <c r="U341" s="60"/>
      <c r="V341" s="60"/>
      <c r="W341" s="60">
        <v>76.3</v>
      </c>
      <c r="X341" s="29">
        <f t="shared" si="86"/>
        <v>72.599999999999994</v>
      </c>
      <c r="Y341" s="89">
        <v>1.6299999999999999E-2</v>
      </c>
      <c r="Z341" s="89">
        <v>2000000000</v>
      </c>
      <c r="AA341" s="110">
        <v>10</v>
      </c>
      <c r="AB341" s="89">
        <f t="shared" si="83"/>
        <v>200000000</v>
      </c>
      <c r="AC341" s="89" t="s">
        <v>2096</v>
      </c>
      <c r="AD341" s="65">
        <f t="shared" si="77"/>
        <v>81.499999999999986</v>
      </c>
      <c r="AE341" s="29" t="str">
        <f t="shared" si="81"/>
        <v/>
      </c>
      <c r="AF341" s="29">
        <f t="shared" si="79"/>
        <v>23.377853702310805</v>
      </c>
      <c r="AG341" s="54" t="str">
        <f t="shared" si="82"/>
        <v/>
      </c>
      <c r="AH341" s="54">
        <f t="shared" si="78"/>
        <v>170.47812395596043</v>
      </c>
      <c r="AI341" s="89">
        <f t="shared" si="87"/>
        <v>1.1688926851155402E-7</v>
      </c>
      <c r="AJ341" s="67">
        <f t="shared" si="88"/>
        <v>253.48842391260024</v>
      </c>
    </row>
    <row r="342" spans="1:36" x14ac:dyDescent="0.3">
      <c r="A342" s="94">
        <v>2019</v>
      </c>
      <c r="B342" s="58">
        <v>22.1</v>
      </c>
      <c r="C342" s="8" t="s">
        <v>22</v>
      </c>
      <c r="D342" s="115" t="s">
        <v>31</v>
      </c>
      <c r="E342" s="105">
        <v>5.5E-2</v>
      </c>
      <c r="F342" s="114" t="s">
        <v>1628</v>
      </c>
      <c r="G342" s="113" t="s">
        <v>1629</v>
      </c>
      <c r="H342" s="113" t="s">
        <v>1630</v>
      </c>
      <c r="I342" s="144" t="s">
        <v>2425</v>
      </c>
      <c r="J342" s="148" t="str">
        <f t="shared" si="80"/>
        <v>https://doi.org/10.1109/ISSCC.2019.8662520</v>
      </c>
      <c r="K342" s="116" t="s">
        <v>1050</v>
      </c>
      <c r="L342" s="139"/>
      <c r="M342" s="139"/>
      <c r="N342" s="139"/>
      <c r="R342" s="63">
        <v>150</v>
      </c>
      <c r="S342" s="60">
        <f>12.8*6.02+1.76</f>
        <v>78.816000000000003</v>
      </c>
      <c r="T342" s="60"/>
      <c r="U342" s="60"/>
      <c r="V342" s="60"/>
      <c r="W342" s="60"/>
      <c r="X342" s="29">
        <f t="shared" si="86"/>
        <v>78.816000000000003</v>
      </c>
      <c r="Y342" s="89">
        <v>8.9999999999999996E-7</v>
      </c>
      <c r="Z342" s="89">
        <v>32000</v>
      </c>
      <c r="AA342" s="110">
        <f>32000/300</f>
        <v>106.66666666666667</v>
      </c>
      <c r="AB342" s="89">
        <f t="shared" si="83"/>
        <v>300</v>
      </c>
      <c r="AC342" s="89" t="s">
        <v>2096</v>
      </c>
      <c r="AD342" s="65">
        <f t="shared" si="77"/>
        <v>3000</v>
      </c>
      <c r="AE342" s="29" t="str">
        <f t="shared" si="81"/>
        <v/>
      </c>
      <c r="AF342" s="29">
        <f t="shared" si="79"/>
        <v>420.66590148817227</v>
      </c>
      <c r="AG342" s="54" t="str">
        <f t="shared" si="82"/>
        <v/>
      </c>
      <c r="AH342" s="54">
        <f t="shared" si="78"/>
        <v>161.03448749616356</v>
      </c>
      <c r="AI342" s="89">
        <f t="shared" si="87"/>
        <v>1.4022196716272408</v>
      </c>
      <c r="AJ342" s="67">
        <f t="shared" si="88"/>
        <v>185.80570004336019</v>
      </c>
    </row>
    <row r="343" spans="1:36" x14ac:dyDescent="0.3">
      <c r="A343" s="152">
        <v>2020</v>
      </c>
      <c r="B343" s="58">
        <v>5.0999999999999996</v>
      </c>
      <c r="C343" s="8" t="s">
        <v>22</v>
      </c>
      <c r="D343" s="115" t="s">
        <v>782</v>
      </c>
      <c r="E343" s="105">
        <v>2.8000000000000001E-2</v>
      </c>
      <c r="F343" s="114" t="s">
        <v>2086</v>
      </c>
      <c r="G343" s="113" t="s">
        <v>1711</v>
      </c>
      <c r="H343" s="113" t="s">
        <v>1710</v>
      </c>
      <c r="I343" s="144" t="s">
        <v>2426</v>
      </c>
      <c r="J343" s="148" t="str">
        <f t="shared" si="80"/>
        <v>https://doi.org/10.1109/ISSCC19947.2020.9063148</v>
      </c>
      <c r="K343" s="116" t="s">
        <v>1050</v>
      </c>
      <c r="L343" s="139"/>
      <c r="M343" s="139"/>
      <c r="N343" s="139"/>
      <c r="P343" s="17">
        <v>3.0000000000000001E-3</v>
      </c>
      <c r="R343" s="63">
        <v>10000000</v>
      </c>
      <c r="S343" s="60">
        <v>39.299999999999997</v>
      </c>
      <c r="T343" s="60"/>
      <c r="U343" s="60"/>
      <c r="V343" s="60"/>
      <c r="W343" s="60">
        <v>49.8</v>
      </c>
      <c r="X343" s="29">
        <f t="shared" si="86"/>
        <v>39.299999999999997</v>
      </c>
      <c r="Y343" s="89">
        <v>1.3799999999999999E-3</v>
      </c>
      <c r="Z343" s="89">
        <v>400000000</v>
      </c>
      <c r="AA343" s="110">
        <v>2</v>
      </c>
      <c r="AB343" s="89">
        <f t="shared" si="83"/>
        <v>200000000</v>
      </c>
      <c r="AC343" s="89" t="s">
        <v>2096</v>
      </c>
      <c r="AD343" s="65">
        <f t="shared" si="77"/>
        <v>6.8999999999999995</v>
      </c>
      <c r="AE343" s="29" t="str">
        <f t="shared" si="81"/>
        <v/>
      </c>
      <c r="AF343" s="29">
        <f t="shared" si="79"/>
        <v>91.550778436199636</v>
      </c>
      <c r="AG343" s="54" t="str">
        <f t="shared" si="82"/>
        <v/>
      </c>
      <c r="AH343" s="54">
        <f t="shared" si="78"/>
        <v>147.90120913598764</v>
      </c>
      <c r="AI343" s="89">
        <f t="shared" si="87"/>
        <v>4.577538921809982E-7</v>
      </c>
      <c r="AJ343" s="67">
        <f t="shared" si="88"/>
        <v>230.91150909262745</v>
      </c>
    </row>
    <row r="344" spans="1:36" x14ac:dyDescent="0.3">
      <c r="A344" s="115">
        <v>2020</v>
      </c>
      <c r="B344" s="58">
        <v>9.1</v>
      </c>
      <c r="C344" s="3" t="s">
        <v>22</v>
      </c>
      <c r="D344" s="115" t="s">
        <v>1665</v>
      </c>
      <c r="E344" s="105">
        <v>5.5E-2</v>
      </c>
      <c r="F344" s="114" t="s">
        <v>1666</v>
      </c>
      <c r="G344" s="113" t="s">
        <v>1674</v>
      </c>
      <c r="H344" s="113" t="s">
        <v>1682</v>
      </c>
      <c r="I344" s="144" t="s">
        <v>2689</v>
      </c>
      <c r="J344" s="148" t="str">
        <f t="shared" si="80"/>
        <v>https://doi.org/10.1109/ISSCC19947.2020.9062990</v>
      </c>
      <c r="K344" s="116" t="s">
        <v>1050</v>
      </c>
      <c r="L344" s="139"/>
      <c r="M344" s="139"/>
      <c r="N344" s="139"/>
      <c r="P344" s="88">
        <f>0.77*0.76</f>
        <v>0.58520000000000005</v>
      </c>
      <c r="R344" s="63">
        <v>2000</v>
      </c>
      <c r="S344" s="60">
        <v>101.9</v>
      </c>
      <c r="T344" s="60"/>
      <c r="U344" s="60">
        <v>140</v>
      </c>
      <c r="V344" s="60"/>
      <c r="W344" s="60"/>
      <c r="X344" s="29">
        <f t="shared" ref="X344:X358" si="89">+IF(ISNUMBER($S344),$S344,MIN($V344,$T344,$U344,$W344))</f>
        <v>101.9</v>
      </c>
      <c r="Y344" s="89">
        <v>1.011E-3</v>
      </c>
      <c r="Z344" s="89">
        <v>2048000</v>
      </c>
      <c r="AA344" s="110">
        <v>512</v>
      </c>
      <c r="AB344" s="89">
        <f t="shared" si="83"/>
        <v>4000</v>
      </c>
      <c r="AC344" s="89" t="s">
        <v>2096</v>
      </c>
      <c r="AD344" s="65">
        <f t="shared" si="77"/>
        <v>252749.99999999997</v>
      </c>
      <c r="AE344" s="29" t="str">
        <f t="shared" si="81"/>
        <v/>
      </c>
      <c r="AF344" s="29">
        <f t="shared" si="79"/>
        <v>2484.2322751963397</v>
      </c>
      <c r="AG344" s="54" t="str">
        <f t="shared" si="82"/>
        <v/>
      </c>
      <c r="AH344" s="54">
        <f t="shared" si="78"/>
        <v>164.86278840072981</v>
      </c>
      <c r="AI344" s="89">
        <f t="shared" si="87"/>
        <v>0.62105806879908498</v>
      </c>
      <c r="AJ344" s="67">
        <f t="shared" si="88"/>
        <v>200.88338831400944</v>
      </c>
    </row>
    <row r="345" spans="1:36" x14ac:dyDescent="0.3">
      <c r="A345" s="94">
        <v>2020</v>
      </c>
      <c r="B345" s="58">
        <v>9.1999999999999993</v>
      </c>
      <c r="C345" s="3" t="s">
        <v>22</v>
      </c>
      <c r="D345" s="115" t="s">
        <v>30</v>
      </c>
      <c r="E345" s="105">
        <v>6.5000000000000002E-2</v>
      </c>
      <c r="F345" s="114" t="s">
        <v>1667</v>
      </c>
      <c r="G345" s="113" t="s">
        <v>1675</v>
      </c>
      <c r="H345" s="113" t="s">
        <v>1683</v>
      </c>
      <c r="I345" s="144" t="s">
        <v>2688</v>
      </c>
      <c r="J345" s="148" t="str">
        <f t="shared" si="80"/>
        <v>https://doi.org/10.1109/ISSCC19947.2020.9062904</v>
      </c>
      <c r="K345" s="116" t="s">
        <v>1050</v>
      </c>
      <c r="L345" s="139"/>
      <c r="M345" s="139"/>
      <c r="N345" s="139"/>
      <c r="P345" s="17">
        <v>0.28000000000000003</v>
      </c>
      <c r="R345" s="63">
        <v>12000</v>
      </c>
      <c r="S345" s="60">
        <v>99.4</v>
      </c>
      <c r="T345" s="60">
        <v>101</v>
      </c>
      <c r="U345" s="60">
        <v>103.5</v>
      </c>
      <c r="V345" s="60"/>
      <c r="W345" s="60"/>
      <c r="X345" s="29">
        <f t="shared" si="89"/>
        <v>99.4</v>
      </c>
      <c r="Y345" s="89">
        <v>1.34E-4</v>
      </c>
      <c r="Z345" s="89">
        <v>8000000</v>
      </c>
      <c r="AA345" s="110">
        <f>Z345/AB345</f>
        <v>166.66666666666666</v>
      </c>
      <c r="AB345" s="89">
        <v>48000</v>
      </c>
      <c r="AC345" s="89" t="s">
        <v>2096</v>
      </c>
      <c r="AD345" s="65">
        <f t="shared" si="77"/>
        <v>2791.666666666667</v>
      </c>
      <c r="AE345" s="29" t="str">
        <f t="shared" si="81"/>
        <v/>
      </c>
      <c r="AF345" s="29">
        <f t="shared" si="79"/>
        <v>36.591233780554667</v>
      </c>
      <c r="AG345" s="54" t="str">
        <f t="shared" si="82"/>
        <v/>
      </c>
      <c r="AH345" s="54">
        <f t="shared" si="78"/>
        <v>181.93106443346798</v>
      </c>
      <c r="AI345" s="89">
        <f t="shared" si="87"/>
        <v>7.6231737042822226E-4</v>
      </c>
      <c r="AJ345" s="67">
        <f t="shared" si="88"/>
        <v>228.74347680722386</v>
      </c>
    </row>
    <row r="346" spans="1:36" x14ac:dyDescent="0.3">
      <c r="A346" s="94">
        <v>2020</v>
      </c>
      <c r="B346" s="58">
        <v>9.3000000000000007</v>
      </c>
      <c r="C346" s="3" t="s">
        <v>22</v>
      </c>
      <c r="D346" s="115" t="s">
        <v>31</v>
      </c>
      <c r="E346" s="105">
        <v>0.04</v>
      </c>
      <c r="F346" s="114" t="s">
        <v>1668</v>
      </c>
      <c r="G346" s="113" t="s">
        <v>1676</v>
      </c>
      <c r="H346" s="113" t="s">
        <v>1684</v>
      </c>
      <c r="I346" s="144" t="s">
        <v>2687</v>
      </c>
      <c r="J346" s="148" t="str">
        <f t="shared" si="80"/>
        <v>https://doi.org/10.1109/ISSCC19947.2020.9063159</v>
      </c>
      <c r="K346" s="116" t="s">
        <v>1050</v>
      </c>
      <c r="L346" s="139"/>
      <c r="M346" s="139"/>
      <c r="N346" s="139"/>
      <c r="P346" s="88">
        <v>6.0999999999999999E-2</v>
      </c>
      <c r="R346" s="63">
        <v>40000</v>
      </c>
      <c r="S346" s="60">
        <v>90.5</v>
      </c>
      <c r="T346" s="60">
        <v>90.9</v>
      </c>
      <c r="U346" s="60">
        <v>94.3</v>
      </c>
      <c r="V346" s="60"/>
      <c r="W346" s="60">
        <v>102.2</v>
      </c>
      <c r="X346" s="29">
        <f t="shared" si="89"/>
        <v>90.5</v>
      </c>
      <c r="Y346" s="89">
        <v>6.7399999999999998E-5</v>
      </c>
      <c r="Z346" s="89">
        <v>2000000</v>
      </c>
      <c r="AA346" s="110">
        <v>25</v>
      </c>
      <c r="AB346" s="89">
        <v>80000</v>
      </c>
      <c r="AC346" s="89" t="s">
        <v>2096</v>
      </c>
      <c r="AD346" s="65">
        <f t="shared" ref="AD346:AD377" si="90">IF(AB346&gt;0, Y346/AB346*1000000000000, 0)</f>
        <v>842.49999999999989</v>
      </c>
      <c r="AE346" s="29" t="str">
        <f t="shared" si="81"/>
        <v/>
      </c>
      <c r="AF346" s="29">
        <f t="shared" si="79"/>
        <v>30.770017804672932</v>
      </c>
      <c r="AG346" s="54" t="str">
        <f t="shared" si="82"/>
        <v/>
      </c>
      <c r="AH346" s="54">
        <f t="shared" ref="AH346:AH377" si="91">IF($Y346&gt;0, $X346+10*LOG10($AB346/2/$Y346), 0)</f>
        <v>178.2340009479264</v>
      </c>
      <c r="AI346" s="89">
        <f t="shared" si="87"/>
        <v>3.8462522255841163E-4</v>
      </c>
      <c r="AJ346" s="67">
        <f t="shared" si="88"/>
        <v>227.26490081784584</v>
      </c>
    </row>
    <row r="347" spans="1:36" x14ac:dyDescent="0.3">
      <c r="A347" s="94">
        <v>2020</v>
      </c>
      <c r="B347" s="58">
        <v>9.4</v>
      </c>
      <c r="C347" s="3" t="s">
        <v>22</v>
      </c>
      <c r="D347" s="115" t="s">
        <v>31</v>
      </c>
      <c r="E347" s="105">
        <v>2.8000000000000001E-2</v>
      </c>
      <c r="F347" s="121" t="s">
        <v>1669</v>
      </c>
      <c r="G347" s="113" t="s">
        <v>1677</v>
      </c>
      <c r="H347" s="113" t="s">
        <v>1685</v>
      </c>
      <c r="I347" s="144" t="s">
        <v>2427</v>
      </c>
      <c r="J347" s="148" t="str">
        <f t="shared" si="80"/>
        <v>https://doi.org/10.1109/ISSCC19947.2020.9062905</v>
      </c>
      <c r="K347" s="116" t="s">
        <v>1050</v>
      </c>
      <c r="L347" s="139"/>
      <c r="M347" s="139"/>
      <c r="N347" s="139"/>
      <c r="P347" s="17">
        <v>0.02</v>
      </c>
      <c r="R347" s="63">
        <v>100000</v>
      </c>
      <c r="S347" s="60">
        <v>87.6</v>
      </c>
      <c r="T347" s="60">
        <v>87.9</v>
      </c>
      <c r="U347" s="60">
        <v>89</v>
      </c>
      <c r="V347" s="60"/>
      <c r="W347" s="60">
        <v>102.8</v>
      </c>
      <c r="X347" s="29">
        <f t="shared" si="89"/>
        <v>87.6</v>
      </c>
      <c r="Y347" s="89">
        <v>1.2E-4</v>
      </c>
      <c r="Z347" s="89">
        <v>2000000</v>
      </c>
      <c r="AA347" s="110">
        <v>10</v>
      </c>
      <c r="AB347" s="89">
        <f>Z347/AA347</f>
        <v>200000</v>
      </c>
      <c r="AC347" s="89" t="s">
        <v>2096</v>
      </c>
      <c r="AD347" s="65">
        <f t="shared" si="90"/>
        <v>600</v>
      </c>
      <c r="AE347" s="29" t="str">
        <f t="shared" si="81"/>
        <v/>
      </c>
      <c r="AF347" s="29">
        <f t="shared" si="79"/>
        <v>30.600148784875163</v>
      </c>
      <c r="AG347" s="54" t="str">
        <f t="shared" si="82"/>
        <v/>
      </c>
      <c r="AH347" s="54">
        <f t="shared" si="91"/>
        <v>176.80818753952374</v>
      </c>
      <c r="AI347" s="89">
        <f t="shared" si="87"/>
        <v>1.530007439243758E-4</v>
      </c>
      <c r="AJ347" s="67">
        <f t="shared" si="88"/>
        <v>229.81848749616356</v>
      </c>
    </row>
    <row r="348" spans="1:36" x14ac:dyDescent="0.3">
      <c r="A348" s="94">
        <v>2020</v>
      </c>
      <c r="B348" s="58">
        <v>9.5</v>
      </c>
      <c r="C348" s="3" t="s">
        <v>22</v>
      </c>
      <c r="D348" s="115" t="s">
        <v>31</v>
      </c>
      <c r="E348" s="105">
        <v>0.04</v>
      </c>
      <c r="F348" s="121" t="s">
        <v>1670</v>
      </c>
      <c r="G348" s="113" t="s">
        <v>1678</v>
      </c>
      <c r="H348" s="113" t="s">
        <v>1686</v>
      </c>
      <c r="I348" s="144" t="s">
        <v>2428</v>
      </c>
      <c r="J348" s="148" t="str">
        <f t="shared" si="80"/>
        <v>https://doi.org/10.1109/ISSCC19947.2020.9063058</v>
      </c>
      <c r="K348" s="116" t="s">
        <v>1050</v>
      </c>
      <c r="L348" s="139"/>
      <c r="M348" s="139"/>
      <c r="N348" s="139"/>
      <c r="P348" s="17">
        <v>3.6999999999999998E-2</v>
      </c>
      <c r="R348" s="63">
        <v>625000</v>
      </c>
      <c r="S348" s="60">
        <v>83.8</v>
      </c>
      <c r="T348" s="60"/>
      <c r="U348" s="60">
        <v>85.5</v>
      </c>
      <c r="V348" s="60"/>
      <c r="W348" s="60">
        <v>94.3</v>
      </c>
      <c r="X348" s="29">
        <f t="shared" si="89"/>
        <v>83.8</v>
      </c>
      <c r="Y348" s="89">
        <v>1.07E-4</v>
      </c>
      <c r="Z348" s="89">
        <v>10000000</v>
      </c>
      <c r="AA348" s="110">
        <v>8</v>
      </c>
      <c r="AB348" s="89">
        <f>Z348/AA348</f>
        <v>1250000</v>
      </c>
      <c r="AC348" s="89" t="s">
        <v>2096</v>
      </c>
      <c r="AD348" s="65">
        <f t="shared" si="90"/>
        <v>85.6</v>
      </c>
      <c r="AE348" s="29" t="str">
        <f t="shared" si="81"/>
        <v/>
      </c>
      <c r="AF348" s="29">
        <f t="shared" si="79"/>
        <v>6.7618415004471109</v>
      </c>
      <c r="AG348" s="54" t="str">
        <f t="shared" si="82"/>
        <v/>
      </c>
      <c r="AH348" s="54">
        <f t="shared" si="91"/>
        <v>181.46496239658865</v>
      </c>
      <c r="AI348" s="89">
        <f t="shared" si="87"/>
        <v>5.4094732003576883E-6</v>
      </c>
      <c r="AJ348" s="67">
        <f t="shared" si="88"/>
        <v>242.43406252666921</v>
      </c>
    </row>
    <row r="349" spans="1:36" x14ac:dyDescent="0.3">
      <c r="A349" s="94">
        <v>2020</v>
      </c>
      <c r="B349" s="58">
        <v>9.6</v>
      </c>
      <c r="C349" s="3" t="s">
        <v>22</v>
      </c>
      <c r="D349" s="115" t="s">
        <v>1494</v>
      </c>
      <c r="E349" s="105">
        <v>2.8000000000000001E-2</v>
      </c>
      <c r="F349" s="121" t="s">
        <v>1671</v>
      </c>
      <c r="G349" s="113" t="s">
        <v>1679</v>
      </c>
      <c r="H349" s="113" t="s">
        <v>1687</v>
      </c>
      <c r="I349" s="144" t="s">
        <v>2429</v>
      </c>
      <c r="J349" s="148" t="str">
        <f t="shared" si="80"/>
        <v>https://doi.org/10.1109/ISSCC19947.2020.9063047</v>
      </c>
      <c r="K349" s="32" t="s">
        <v>1050</v>
      </c>
      <c r="L349" s="40"/>
      <c r="M349" s="40"/>
      <c r="N349" s="40"/>
      <c r="P349" s="17">
        <v>1.6E-2</v>
      </c>
      <c r="R349" s="63">
        <v>2000000</v>
      </c>
      <c r="S349" s="60">
        <v>75.2</v>
      </c>
      <c r="T349" s="60"/>
      <c r="U349" s="60">
        <v>76.599999999999994</v>
      </c>
      <c r="V349" s="60"/>
      <c r="W349" s="60">
        <v>87.1</v>
      </c>
      <c r="X349" s="29">
        <f t="shared" si="89"/>
        <v>75.2</v>
      </c>
      <c r="Y349" s="89">
        <v>2.5600000000000002E-3</v>
      </c>
      <c r="Z349" s="89">
        <v>600000000</v>
      </c>
      <c r="AA349" s="109">
        <v>7.5</v>
      </c>
      <c r="AB349" s="89">
        <f>Z349/AA349</f>
        <v>80000000</v>
      </c>
      <c r="AC349" s="89" t="s">
        <v>2096</v>
      </c>
      <c r="AD349" s="65">
        <f t="shared" si="90"/>
        <v>32.000000000000007</v>
      </c>
      <c r="AE349" s="29" t="str">
        <f t="shared" si="81"/>
        <v/>
      </c>
      <c r="AF349" s="29">
        <f t="shared" si="79"/>
        <v>6.8043093667298811</v>
      </c>
      <c r="AG349" s="54" t="str">
        <f t="shared" si="82"/>
        <v/>
      </c>
      <c r="AH349" s="54">
        <f t="shared" si="91"/>
        <v>177.13820026016111</v>
      </c>
      <c r="AI349" s="89">
        <f t="shared" ref="AI349:AI358" si="92">AF349/AB349</f>
        <v>8.505386708412351E-8</v>
      </c>
      <c r="AJ349" s="67">
        <f t="shared" ref="AJ349:AJ358" si="93">AH349+10*LOG10(AB349)</f>
        <v>256.16910013008055</v>
      </c>
    </row>
    <row r="350" spans="1:36" x14ac:dyDescent="0.3">
      <c r="A350" s="94">
        <v>2020</v>
      </c>
      <c r="B350" s="58">
        <v>9.6999999999999993</v>
      </c>
      <c r="C350" s="3" t="s">
        <v>22</v>
      </c>
      <c r="D350" s="115" t="s">
        <v>30</v>
      </c>
      <c r="E350" s="105">
        <v>2.8000000000000001E-2</v>
      </c>
      <c r="F350" s="121" t="s">
        <v>1672</v>
      </c>
      <c r="G350" s="113" t="s">
        <v>1680</v>
      </c>
      <c r="H350" s="113" t="s">
        <v>1688</v>
      </c>
      <c r="I350" s="144" t="s">
        <v>2430</v>
      </c>
      <c r="J350" s="148" t="str">
        <f t="shared" si="80"/>
        <v>https://doi.org/10.1109/ISSCC19947.2020.9063026</v>
      </c>
      <c r="K350" s="32" t="s">
        <v>1050</v>
      </c>
      <c r="L350" s="40"/>
      <c r="M350" s="40"/>
      <c r="N350" s="40"/>
      <c r="P350" s="17">
        <v>0.28000000000000003</v>
      </c>
      <c r="R350" s="63">
        <v>168460</v>
      </c>
      <c r="S350" s="60">
        <v>67.5</v>
      </c>
      <c r="T350" s="60"/>
      <c r="U350" s="60">
        <v>74.3</v>
      </c>
      <c r="V350" s="60"/>
      <c r="W350" s="60"/>
      <c r="X350" s="29">
        <f t="shared" si="89"/>
        <v>67.5</v>
      </c>
      <c r="Y350" s="89">
        <v>1.9E-2</v>
      </c>
      <c r="Z350" s="89">
        <v>480000000</v>
      </c>
      <c r="AA350" s="110">
        <v>16</v>
      </c>
      <c r="AB350" s="89">
        <f>Z350/AA350</f>
        <v>30000000</v>
      </c>
      <c r="AC350" s="89" t="s">
        <v>2096</v>
      </c>
      <c r="AD350" s="65">
        <f t="shared" si="90"/>
        <v>633.33333333333337</v>
      </c>
      <c r="AE350" s="29" t="str">
        <f t="shared" si="81"/>
        <v/>
      </c>
      <c r="AF350" s="29">
        <f t="shared" si="79"/>
        <v>326.81711025924011</v>
      </c>
      <c r="AG350" s="54" t="str">
        <f t="shared" si="82"/>
        <v/>
      </c>
      <c r="AH350" s="54">
        <f t="shared" si="91"/>
        <v>156.47337658102853</v>
      </c>
      <c r="AI350" s="89">
        <f t="shared" si="92"/>
        <v>1.0893903675308004E-5</v>
      </c>
      <c r="AJ350" s="67">
        <f t="shared" si="93"/>
        <v>231.24458912822516</v>
      </c>
    </row>
    <row r="351" spans="1:36" x14ac:dyDescent="0.3">
      <c r="A351" s="94">
        <v>2020</v>
      </c>
      <c r="B351" s="58">
        <v>9.8000000000000007</v>
      </c>
      <c r="C351" s="3" t="s">
        <v>22</v>
      </c>
      <c r="D351" s="115" t="s">
        <v>30</v>
      </c>
      <c r="E351" s="105">
        <v>2.8000000000000001E-2</v>
      </c>
      <c r="F351" s="121" t="s">
        <v>1673</v>
      </c>
      <c r="G351" s="113" t="s">
        <v>1681</v>
      </c>
      <c r="H351" s="119" t="s">
        <v>1702</v>
      </c>
      <c r="I351" s="144" t="s">
        <v>2431</v>
      </c>
      <c r="J351" s="148" t="str">
        <f t="shared" si="80"/>
        <v>https://doi.org/10.1109/ISSCC19947.2020.9062936</v>
      </c>
      <c r="K351" s="32" t="s">
        <v>1050</v>
      </c>
      <c r="L351" s="40"/>
      <c r="M351" s="40"/>
      <c r="N351" s="40"/>
      <c r="P351" s="17">
        <v>0.3</v>
      </c>
      <c r="R351" s="63">
        <v>22.05</v>
      </c>
      <c r="S351" s="60"/>
      <c r="T351" s="60">
        <v>106</v>
      </c>
      <c r="U351" s="60"/>
      <c r="V351" s="60">
        <v>91</v>
      </c>
      <c r="W351" s="60"/>
      <c r="X351" s="29">
        <f t="shared" si="89"/>
        <v>91</v>
      </c>
      <c r="Y351" s="89">
        <v>6.0000000000000001E-3</v>
      </c>
      <c r="Z351" s="89">
        <v>135500</v>
      </c>
      <c r="AA351" s="110">
        <f>Z351/AB351</f>
        <v>3.0725623582766439</v>
      </c>
      <c r="AB351" s="89">
        <v>44100</v>
      </c>
      <c r="AC351" s="89" t="s">
        <v>2096</v>
      </c>
      <c r="AD351" s="65">
        <f t="shared" si="90"/>
        <v>136054.42176870749</v>
      </c>
      <c r="AE351" s="29" t="str">
        <f t="shared" si="81"/>
        <v/>
      </c>
      <c r="AF351" s="29">
        <f t="shared" si="79"/>
        <v>4691.0278098402741</v>
      </c>
      <c r="AG351" s="54" t="str">
        <f t="shared" si="82"/>
        <v/>
      </c>
      <c r="AH351" s="54">
        <f t="shared" si="91"/>
        <v>156.65257343420214</v>
      </c>
      <c r="AI351" s="89">
        <f t="shared" si="92"/>
        <v>0.1063725126947908</v>
      </c>
      <c r="AJ351" s="67">
        <f t="shared" si="93"/>
        <v>203.09695932888053</v>
      </c>
    </row>
    <row r="352" spans="1:36" x14ac:dyDescent="0.3">
      <c r="A352" s="94">
        <v>2020</v>
      </c>
      <c r="B352" s="58">
        <v>16.100000000000001</v>
      </c>
      <c r="C352" s="3" t="s">
        <v>23</v>
      </c>
      <c r="D352" s="115" t="s">
        <v>260</v>
      </c>
      <c r="E352" s="105">
        <v>1.6E-2</v>
      </c>
      <c r="F352" s="114" t="s">
        <v>1689</v>
      </c>
      <c r="G352" s="113" t="s">
        <v>1690</v>
      </c>
      <c r="H352" s="119" t="s">
        <v>1703</v>
      </c>
      <c r="I352" s="144" t="s">
        <v>2686</v>
      </c>
      <c r="J352" s="148" t="str">
        <f t="shared" si="80"/>
        <v>https://doi.org/10.1109/ISSCC19947.2020.9063011</v>
      </c>
      <c r="K352" s="32" t="s">
        <v>1050</v>
      </c>
      <c r="L352" s="40"/>
      <c r="M352" s="40"/>
      <c r="N352" s="40"/>
      <c r="P352" s="17">
        <v>2.6</v>
      </c>
      <c r="Q352" s="87">
        <v>53</v>
      </c>
      <c r="R352" s="63">
        <v>8000000000</v>
      </c>
      <c r="S352" s="60">
        <v>48</v>
      </c>
      <c r="T352" s="60"/>
      <c r="U352" s="60"/>
      <c r="V352" s="60"/>
      <c r="W352" s="60">
        <v>54</v>
      </c>
      <c r="X352" s="29">
        <f t="shared" si="89"/>
        <v>48</v>
      </c>
      <c r="Y352" s="89">
        <v>1.3</v>
      </c>
      <c r="Z352" s="89">
        <v>18000000000</v>
      </c>
      <c r="AA352" s="110">
        <v>1</v>
      </c>
      <c r="AB352" s="89">
        <f t="shared" ref="AB352:AB357" si="94">Z352/AA352</f>
        <v>18000000000</v>
      </c>
      <c r="AC352" s="89" t="s">
        <v>2096</v>
      </c>
      <c r="AD352" s="65">
        <f t="shared" si="90"/>
        <v>72.222222222222229</v>
      </c>
      <c r="AE352" s="29">
        <f t="shared" si="81"/>
        <v>197.88621204141066</v>
      </c>
      <c r="AF352" s="29">
        <f t="shared" si="79"/>
        <v>351.91716358468369</v>
      </c>
      <c r="AG352" s="54">
        <f t="shared" si="82"/>
        <v>151.40299157132489</v>
      </c>
      <c r="AH352" s="54">
        <f t="shared" si="91"/>
        <v>146.40299157132489</v>
      </c>
      <c r="AI352" s="89">
        <f t="shared" si="92"/>
        <v>1.9550953532482427E-8</v>
      </c>
      <c r="AJ352" s="67">
        <f t="shared" si="93"/>
        <v>248.95571662235795</v>
      </c>
    </row>
    <row r="353" spans="1:36" x14ac:dyDescent="0.3">
      <c r="A353" s="94">
        <v>2020</v>
      </c>
      <c r="B353" s="58">
        <v>16.2</v>
      </c>
      <c r="C353" s="3" t="s">
        <v>23</v>
      </c>
      <c r="D353" s="115" t="s">
        <v>1712</v>
      </c>
      <c r="E353" s="105">
        <v>6.5000000000000002E-2</v>
      </c>
      <c r="F353" s="121" t="s">
        <v>1691</v>
      </c>
      <c r="G353" s="113" t="s">
        <v>1692</v>
      </c>
      <c r="H353" s="119" t="s">
        <v>1704</v>
      </c>
      <c r="I353" s="144" t="s">
        <v>2432</v>
      </c>
      <c r="J353" s="148" t="str">
        <f t="shared" si="80"/>
        <v>https://doi.org/10.1109/ISSCC19947.2020.9062986</v>
      </c>
      <c r="K353" s="32" t="s">
        <v>1050</v>
      </c>
      <c r="L353" s="40"/>
      <c r="M353" s="40"/>
      <c r="N353" s="40"/>
      <c r="P353" s="17">
        <v>9.5000000000000001E-2</v>
      </c>
      <c r="R353" s="63">
        <v>5000000000</v>
      </c>
      <c r="S353" s="60">
        <v>40.1</v>
      </c>
      <c r="T353" s="60"/>
      <c r="U353" s="60"/>
      <c r="V353" s="60"/>
      <c r="W353" s="60">
        <v>52.8</v>
      </c>
      <c r="X353" s="29">
        <f t="shared" si="89"/>
        <v>40.1</v>
      </c>
      <c r="Y353" s="89">
        <v>5.0799999999999998E-2</v>
      </c>
      <c r="Z353" s="89">
        <v>10000000000</v>
      </c>
      <c r="AA353" s="110">
        <v>1</v>
      </c>
      <c r="AB353" s="89">
        <f t="shared" si="94"/>
        <v>10000000000</v>
      </c>
      <c r="AC353" s="89" t="s">
        <v>2096</v>
      </c>
      <c r="AD353" s="65">
        <f t="shared" si="90"/>
        <v>5.08</v>
      </c>
      <c r="AE353" s="29" t="str">
        <f t="shared" si="81"/>
        <v/>
      </c>
      <c r="AF353" s="29">
        <f t="shared" si="79"/>
        <v>61.47133949946538</v>
      </c>
      <c r="AG353" s="54" t="str">
        <f t="shared" si="82"/>
        <v/>
      </c>
      <c r="AH353" s="54">
        <f t="shared" si="91"/>
        <v>150.03106292052098</v>
      </c>
      <c r="AI353" s="89">
        <f t="shared" si="92"/>
        <v>6.1471339499465377E-9</v>
      </c>
      <c r="AJ353" s="67">
        <f t="shared" si="93"/>
        <v>250.03106292052098</v>
      </c>
    </row>
    <row r="354" spans="1:36" x14ac:dyDescent="0.3">
      <c r="A354" s="94">
        <v>2020</v>
      </c>
      <c r="B354" s="58">
        <v>16.3</v>
      </c>
      <c r="C354" s="3" t="s">
        <v>23</v>
      </c>
      <c r="D354" s="115" t="s">
        <v>26</v>
      </c>
      <c r="E354" s="105">
        <v>2.8000000000000001E-2</v>
      </c>
      <c r="F354" s="121" t="s">
        <v>1693</v>
      </c>
      <c r="G354" s="113" t="s">
        <v>1694</v>
      </c>
      <c r="H354" s="119" t="s">
        <v>1705</v>
      </c>
      <c r="I354" s="144" t="s">
        <v>2433</v>
      </c>
      <c r="J354" s="148" t="str">
        <f t="shared" si="80"/>
        <v>https://doi.org/10.1109/ISSCC19947.2020.9062895</v>
      </c>
      <c r="K354" s="32" t="s">
        <v>1050</v>
      </c>
      <c r="L354" s="40"/>
      <c r="M354" s="40"/>
      <c r="N354" s="40"/>
      <c r="P354" s="17">
        <v>1.66E-2</v>
      </c>
      <c r="R354" s="63">
        <v>1650000000</v>
      </c>
      <c r="S354" s="60">
        <v>34.159999999999997</v>
      </c>
      <c r="T354" s="60"/>
      <c r="U354" s="60"/>
      <c r="V354" s="60"/>
      <c r="W354" s="60">
        <v>45.45</v>
      </c>
      <c r="X354" s="29">
        <f t="shared" si="89"/>
        <v>34.159999999999997</v>
      </c>
      <c r="Y354" s="89">
        <v>5.4999999999999997E-3</v>
      </c>
      <c r="Z354" s="89">
        <v>3300000000</v>
      </c>
      <c r="AA354" s="110">
        <v>1</v>
      </c>
      <c r="AB354" s="89">
        <f t="shared" si="94"/>
        <v>3300000000</v>
      </c>
      <c r="AC354" s="89" t="s">
        <v>2096</v>
      </c>
      <c r="AD354" s="65">
        <f t="shared" si="90"/>
        <v>1.6666666666666665</v>
      </c>
      <c r="AE354" s="29" t="str">
        <f t="shared" si="81"/>
        <v/>
      </c>
      <c r="AF354" s="29">
        <f t="shared" si="79"/>
        <v>39.965689611398851</v>
      </c>
      <c r="AG354" s="54" t="str">
        <f t="shared" si="82"/>
        <v/>
      </c>
      <c r="AH354" s="54">
        <f t="shared" si="91"/>
        <v>148.93121254719662</v>
      </c>
      <c r="AI354" s="89">
        <f t="shared" si="92"/>
        <v>1.2110815033757228E-8</v>
      </c>
      <c r="AJ354" s="67">
        <f t="shared" si="93"/>
        <v>244.11635194597551</v>
      </c>
    </row>
    <row r="355" spans="1:36" x14ac:dyDescent="0.3">
      <c r="A355" s="94">
        <v>2020</v>
      </c>
      <c r="B355" s="58">
        <v>16.399999999999999</v>
      </c>
      <c r="C355" s="3" t="s">
        <v>23</v>
      </c>
      <c r="D355" s="115" t="s">
        <v>745</v>
      </c>
      <c r="E355" s="105">
        <v>2.8000000000000001E-2</v>
      </c>
      <c r="F355" s="121" t="s">
        <v>1695</v>
      </c>
      <c r="G355" s="113" t="s">
        <v>1696</v>
      </c>
      <c r="H355" s="119" t="s">
        <v>1706</v>
      </c>
      <c r="I355" s="144" t="s">
        <v>2434</v>
      </c>
      <c r="J355" s="148" t="str">
        <f t="shared" si="80"/>
        <v>https://doi.org/10.1109/ISSCC19947.2020.9063055</v>
      </c>
      <c r="K355" s="32" t="s">
        <v>1050</v>
      </c>
      <c r="L355" s="40"/>
      <c r="M355" s="40"/>
      <c r="N355" s="40"/>
      <c r="P355" s="17">
        <v>1.7999999999999999E-2</v>
      </c>
      <c r="R355" s="63">
        <v>50000000</v>
      </c>
      <c r="S355" s="60">
        <v>71.7</v>
      </c>
      <c r="T355" s="60"/>
      <c r="U355" s="60"/>
      <c r="V355" s="60"/>
      <c r="W355" s="60">
        <v>87</v>
      </c>
      <c r="X355" s="29">
        <f t="shared" si="89"/>
        <v>71.7</v>
      </c>
      <c r="Y355" s="89">
        <v>6.9999999999999999E-4</v>
      </c>
      <c r="Z355" s="89">
        <v>100000000</v>
      </c>
      <c r="AA355" s="110">
        <v>1</v>
      </c>
      <c r="AB355" s="89">
        <f t="shared" si="94"/>
        <v>100000000</v>
      </c>
      <c r="AC355" s="89" t="s">
        <v>2096</v>
      </c>
      <c r="AD355" s="65">
        <f t="shared" si="90"/>
        <v>7</v>
      </c>
      <c r="AE355" s="29" t="str">
        <f t="shared" si="81"/>
        <v/>
      </c>
      <c r="AF355" s="29">
        <f t="shared" si="79"/>
        <v>2.2271504315340644</v>
      </c>
      <c r="AG355" s="54" t="str">
        <f t="shared" si="82"/>
        <v/>
      </c>
      <c r="AH355" s="54">
        <f t="shared" si="91"/>
        <v>180.23871964321762</v>
      </c>
      <c r="AI355" s="89">
        <f t="shared" si="92"/>
        <v>2.2271504315340645E-8</v>
      </c>
      <c r="AJ355" s="67">
        <f t="shared" si="93"/>
        <v>260.23871964321762</v>
      </c>
    </row>
    <row r="356" spans="1:36" x14ac:dyDescent="0.3">
      <c r="A356" s="94">
        <v>2020</v>
      </c>
      <c r="B356" s="58">
        <v>16.5</v>
      </c>
      <c r="C356" s="3" t="s">
        <v>23</v>
      </c>
      <c r="D356" s="115" t="s">
        <v>31</v>
      </c>
      <c r="E356" s="105">
        <v>0.04</v>
      </c>
      <c r="F356" s="114" t="s">
        <v>2087</v>
      </c>
      <c r="G356" s="113" t="s">
        <v>1697</v>
      </c>
      <c r="H356" s="119" t="s">
        <v>1707</v>
      </c>
      <c r="I356" s="144" t="s">
        <v>2685</v>
      </c>
      <c r="J356" s="148" t="str">
        <f t="shared" si="80"/>
        <v>https://doi.org/10.1109/ISSCC19947.2020.9063156</v>
      </c>
      <c r="K356" s="32" t="s">
        <v>1050</v>
      </c>
      <c r="L356" s="40"/>
      <c r="M356" s="40"/>
      <c r="N356" s="40"/>
      <c r="O356" s="58">
        <v>0.24</v>
      </c>
      <c r="P356" s="17">
        <v>5.0000000000000001E-3</v>
      </c>
      <c r="R356" s="63">
        <v>19100000</v>
      </c>
      <c r="S356" s="60">
        <v>69</v>
      </c>
      <c r="T356" s="60"/>
      <c r="U356" s="60"/>
      <c r="V356" s="60"/>
      <c r="W356" s="60">
        <v>79.2</v>
      </c>
      <c r="X356" s="29">
        <f t="shared" si="89"/>
        <v>69</v>
      </c>
      <c r="Y356" s="89">
        <v>5.9100000000000005E-4</v>
      </c>
      <c r="Z356" s="89">
        <v>40000000</v>
      </c>
      <c r="AA356" s="110">
        <v>1</v>
      </c>
      <c r="AB356" s="89">
        <f t="shared" si="94"/>
        <v>40000000</v>
      </c>
      <c r="AC356" s="89" t="s">
        <v>2096</v>
      </c>
      <c r="AD356" s="65">
        <f t="shared" si="90"/>
        <v>14.775000000000002</v>
      </c>
      <c r="AE356" s="29" t="str">
        <f t="shared" si="81"/>
        <v/>
      </c>
      <c r="AF356" s="29">
        <f t="shared" si="79"/>
        <v>6.4149378763257578</v>
      </c>
      <c r="AG356" s="54" t="str">
        <f t="shared" si="82"/>
        <v/>
      </c>
      <c r="AH356" s="54">
        <f t="shared" si="91"/>
        <v>174.29442514782727</v>
      </c>
      <c r="AI356" s="89">
        <f t="shared" si="92"/>
        <v>1.6037344690814395E-7</v>
      </c>
      <c r="AJ356" s="67">
        <f t="shared" si="93"/>
        <v>250.31502506110689</v>
      </c>
    </row>
    <row r="357" spans="1:36" x14ac:dyDescent="0.3">
      <c r="A357" s="94">
        <v>2020</v>
      </c>
      <c r="B357" s="58">
        <v>16.600000000000001</v>
      </c>
      <c r="C357" s="8" t="s">
        <v>22</v>
      </c>
      <c r="D357" s="115" t="s">
        <v>1713</v>
      </c>
      <c r="E357" s="105">
        <v>1.6E-2</v>
      </c>
      <c r="F357" s="121" t="s">
        <v>1698</v>
      </c>
      <c r="G357" s="113" t="s">
        <v>1699</v>
      </c>
      <c r="H357" s="119" t="s">
        <v>1708</v>
      </c>
      <c r="I357" s="144" t="s">
        <v>2435</v>
      </c>
      <c r="J357" s="148" t="str">
        <f t="shared" si="80"/>
        <v>https://doi.org/10.1109/ISSCC19947.2020.9062917</v>
      </c>
      <c r="K357" s="32" t="s">
        <v>1050</v>
      </c>
      <c r="L357" s="40"/>
      <c r="M357" s="40"/>
      <c r="N357" s="40"/>
      <c r="P357" s="17">
        <v>0.34</v>
      </c>
      <c r="R357" s="63">
        <v>800000000</v>
      </c>
      <c r="S357" s="60">
        <v>58</v>
      </c>
      <c r="T357" s="60"/>
      <c r="U357" s="60">
        <v>60</v>
      </c>
      <c r="V357" s="60"/>
      <c r="W357" s="60">
        <v>73</v>
      </c>
      <c r="X357" s="29">
        <f t="shared" si="89"/>
        <v>58</v>
      </c>
      <c r="Y357" s="89">
        <v>0.28000000000000003</v>
      </c>
      <c r="Z357" s="89">
        <v>6400000000</v>
      </c>
      <c r="AA357" s="110">
        <v>4</v>
      </c>
      <c r="AB357" s="89">
        <f t="shared" si="94"/>
        <v>1600000000</v>
      </c>
      <c r="AC357" s="89" t="s">
        <v>2096</v>
      </c>
      <c r="AD357" s="65">
        <f t="shared" si="90"/>
        <v>175.00000000000003</v>
      </c>
      <c r="AE357" s="29" t="str">
        <f t="shared" si="81"/>
        <v/>
      </c>
      <c r="AF357" s="29">
        <f t="shared" si="79"/>
        <v>269.62355054336689</v>
      </c>
      <c r="AG357" s="54" t="str">
        <f t="shared" si="82"/>
        <v/>
      </c>
      <c r="AH357" s="54">
        <f t="shared" si="91"/>
        <v>152.55931955649726</v>
      </c>
      <c r="AI357" s="89">
        <f t="shared" si="92"/>
        <v>1.6851471908960432E-7</v>
      </c>
      <c r="AJ357" s="67">
        <f t="shared" si="93"/>
        <v>244.60051938305651</v>
      </c>
    </row>
    <row r="358" spans="1:36" x14ac:dyDescent="0.3">
      <c r="A358" s="94">
        <v>2020</v>
      </c>
      <c r="B358" s="58">
        <v>16.7</v>
      </c>
      <c r="C358" s="3" t="s">
        <v>23</v>
      </c>
      <c r="D358" s="115" t="s">
        <v>1961</v>
      </c>
      <c r="E358" s="105">
        <v>2.8000000000000001E-2</v>
      </c>
      <c r="F358" s="114" t="s">
        <v>1700</v>
      </c>
      <c r="G358" s="113" t="s">
        <v>1701</v>
      </c>
      <c r="H358" s="119" t="s">
        <v>1709</v>
      </c>
      <c r="I358" s="144" t="s">
        <v>2684</v>
      </c>
      <c r="J358" s="148" t="str">
        <f t="shared" si="80"/>
        <v>https://doi.org/10.1109/ISSCC19947.2020.9063022</v>
      </c>
      <c r="K358" s="32" t="s">
        <v>1050</v>
      </c>
      <c r="L358" s="40"/>
      <c r="M358" s="40"/>
      <c r="N358" s="40"/>
      <c r="P358" s="88">
        <f>0.1*0.23</f>
        <v>2.3000000000000003E-2</v>
      </c>
      <c r="R358" s="63">
        <v>40000000</v>
      </c>
      <c r="S358" s="60">
        <v>76.2</v>
      </c>
      <c r="T358" s="60"/>
      <c r="U358" s="60">
        <v>78</v>
      </c>
      <c r="V358" s="60"/>
      <c r="W358" s="60"/>
      <c r="X358" s="29">
        <f t="shared" si="89"/>
        <v>76.2</v>
      </c>
      <c r="Y358" s="89">
        <v>1.7500000000000002E-2</v>
      </c>
      <c r="Z358" s="89">
        <v>2000000000</v>
      </c>
      <c r="AA358" s="110">
        <f>Z358/AB358</f>
        <v>25</v>
      </c>
      <c r="AB358" s="89">
        <v>80000000</v>
      </c>
      <c r="AC358" s="89" t="s">
        <v>2096</v>
      </c>
      <c r="AD358" s="65">
        <f t="shared" si="90"/>
        <v>218.75000000000003</v>
      </c>
      <c r="AE358" s="29" t="str">
        <f t="shared" si="81"/>
        <v/>
      </c>
      <c r="AF358" s="29">
        <f t="shared" si="79"/>
        <v>41.455022181053046</v>
      </c>
      <c r="AG358" s="54" t="str">
        <f t="shared" si="82"/>
        <v/>
      </c>
      <c r="AH358" s="54">
        <f t="shared" si="91"/>
        <v>169.79021942641668</v>
      </c>
      <c r="AI358" s="89">
        <f t="shared" si="92"/>
        <v>5.1818777726316307E-7</v>
      </c>
      <c r="AJ358" s="67">
        <f t="shared" si="93"/>
        <v>248.82111929633612</v>
      </c>
    </row>
    <row r="359" spans="1:36" x14ac:dyDescent="0.3">
      <c r="A359" s="94">
        <v>2020</v>
      </c>
      <c r="B359" s="58">
        <v>26.6</v>
      </c>
      <c r="C359" s="8" t="s">
        <v>22</v>
      </c>
      <c r="D359" s="115" t="s">
        <v>1302</v>
      </c>
      <c r="E359" s="84">
        <v>0.11</v>
      </c>
      <c r="F359" s="114" t="s">
        <v>1714</v>
      </c>
      <c r="G359" s="113" t="s">
        <v>1715</v>
      </c>
      <c r="H359" s="119" t="s">
        <v>1716</v>
      </c>
      <c r="I359" s="144" t="s">
        <v>2683</v>
      </c>
      <c r="J359" s="148" t="str">
        <f t="shared" si="80"/>
        <v>https://doi.org/10.1109/ISSCC19947.2020.9063074</v>
      </c>
      <c r="K359" s="32" t="s">
        <v>1050</v>
      </c>
      <c r="L359" s="40"/>
      <c r="M359" s="40"/>
      <c r="N359" s="40"/>
      <c r="P359" s="88">
        <v>7.8E-2</v>
      </c>
      <c r="R359" s="63">
        <v>10000</v>
      </c>
      <c r="S359" s="60">
        <v>80.400000000000006</v>
      </c>
      <c r="T359" s="60"/>
      <c r="U359" s="60"/>
      <c r="V359" s="60"/>
      <c r="W359" s="60">
        <v>92.2</v>
      </c>
      <c r="X359" s="29">
        <f t="shared" ref="X359:X378" si="95">+IF(ISNUMBER($S359),$S359,MIN($V359,$T359,$U359,$W359))</f>
        <v>80.400000000000006</v>
      </c>
      <c r="Y359" s="89">
        <v>6.4999999999999996E-6</v>
      </c>
      <c r="Z359" s="89">
        <v>1280000</v>
      </c>
      <c r="AA359" s="110">
        <v>64</v>
      </c>
      <c r="AB359" s="89">
        <f>Z359/AA359</f>
        <v>20000</v>
      </c>
      <c r="AC359" s="89" t="s">
        <v>2096</v>
      </c>
      <c r="AD359" s="65">
        <f t="shared" si="90"/>
        <v>324.99999999999994</v>
      </c>
      <c r="AE359" s="29" t="str">
        <f t="shared" si="81"/>
        <v/>
      </c>
      <c r="AF359" s="29">
        <f t="shared" si="79"/>
        <v>37.974452747623218</v>
      </c>
      <c r="AG359" s="54" t="str">
        <f t="shared" si="82"/>
        <v/>
      </c>
      <c r="AH359" s="54">
        <f t="shared" si="91"/>
        <v>172.27086643357146</v>
      </c>
      <c r="AI359" s="89">
        <f t="shared" ref="AI359:AI378" si="96">AF359/AB359</f>
        <v>1.8987226373811609E-3</v>
      </c>
      <c r="AJ359" s="67">
        <f t="shared" ref="AJ359:AJ378" si="97">AH359+10*LOG10(AB359)</f>
        <v>215.28116639021127</v>
      </c>
    </row>
    <row r="360" spans="1:36" x14ac:dyDescent="0.3">
      <c r="A360" s="94">
        <v>2020</v>
      </c>
      <c r="B360" s="58">
        <v>26.8</v>
      </c>
      <c r="C360" s="8" t="s">
        <v>23</v>
      </c>
      <c r="D360" s="115" t="s">
        <v>31</v>
      </c>
      <c r="E360" s="84">
        <v>0.35</v>
      </c>
      <c r="F360" s="114" t="s">
        <v>1718</v>
      </c>
      <c r="G360" s="113" t="s">
        <v>1719</v>
      </c>
      <c r="H360" s="119" t="s">
        <v>1717</v>
      </c>
      <c r="I360" s="144" t="s">
        <v>2682</v>
      </c>
      <c r="J360" s="148" t="str">
        <f t="shared" si="80"/>
        <v>https://doi.org/10.1109/ISSCC19947.2020.9063065</v>
      </c>
      <c r="K360" s="32" t="s">
        <v>1050</v>
      </c>
      <c r="L360" s="40"/>
      <c r="M360" s="40"/>
      <c r="N360" s="40"/>
      <c r="R360" s="63">
        <v>33</v>
      </c>
      <c r="S360" s="60">
        <f>8.7*6.02+1.76</f>
        <v>54.133999999999993</v>
      </c>
      <c r="T360" s="60">
        <v>54.2</v>
      </c>
      <c r="U360" s="60"/>
      <c r="V360" s="60"/>
      <c r="W360" s="60">
        <v>64.099999999999994</v>
      </c>
      <c r="X360" s="29">
        <f t="shared" si="95"/>
        <v>54.133999999999993</v>
      </c>
      <c r="Y360" s="89">
        <f>0.0000000000000786*2^8.7*25000</f>
        <v>8.1719089092608068E-7</v>
      </c>
      <c r="Z360" s="89">
        <v>25000</v>
      </c>
      <c r="AA360" s="110">
        <v>1</v>
      </c>
      <c r="AB360" s="89">
        <f>Z360/AA360</f>
        <v>25000</v>
      </c>
      <c r="AC360" s="89" t="s">
        <v>2096</v>
      </c>
      <c r="AD360" s="65">
        <f t="shared" si="90"/>
        <v>32.687635637043229</v>
      </c>
      <c r="AE360" s="29" t="str">
        <f t="shared" si="81"/>
        <v/>
      </c>
      <c r="AF360" s="29">
        <f t="shared" si="79"/>
        <v>78.600000000000009</v>
      </c>
      <c r="AG360" s="54" t="str">
        <f t="shared" si="82"/>
        <v/>
      </c>
      <c r="AH360" s="54">
        <f t="shared" si="91"/>
        <v>155.97986496019973</v>
      </c>
      <c r="AI360" s="89">
        <f t="shared" si="96"/>
        <v>3.1440000000000005E-3</v>
      </c>
      <c r="AJ360" s="67">
        <f t="shared" si="97"/>
        <v>199.95926504692011</v>
      </c>
    </row>
    <row r="361" spans="1:36" x14ac:dyDescent="0.3">
      <c r="A361" s="152">
        <v>2021</v>
      </c>
      <c r="B361" s="58">
        <v>8.6</v>
      </c>
      <c r="C361" s="8" t="s">
        <v>23</v>
      </c>
      <c r="D361" s="115" t="s">
        <v>592</v>
      </c>
      <c r="E361" s="105">
        <v>7.0000000000000001E-3</v>
      </c>
      <c r="F361" s="114" t="s">
        <v>1796</v>
      </c>
      <c r="G361" s="113" t="s">
        <v>1798</v>
      </c>
      <c r="H361" s="113" t="s">
        <v>1797</v>
      </c>
      <c r="I361" s="144" t="s">
        <v>2436</v>
      </c>
      <c r="J361" s="148" t="str">
        <f t="shared" si="80"/>
        <v>https://doi.org/10.1109/ISSCC42613.2021.9365746</v>
      </c>
      <c r="K361" s="32" t="s">
        <v>1795</v>
      </c>
      <c r="L361" s="40"/>
      <c r="M361" s="40"/>
      <c r="N361" s="40"/>
      <c r="Q361" s="87">
        <v>44.5</v>
      </c>
      <c r="R361" s="63">
        <v>19390000000</v>
      </c>
      <c r="S361" s="60">
        <v>35.1</v>
      </c>
      <c r="T361" s="60">
        <v>36.1</v>
      </c>
      <c r="U361" s="60"/>
      <c r="V361" s="60"/>
      <c r="W361" s="60">
        <v>42.4</v>
      </c>
      <c r="X361" s="29">
        <f t="shared" si="95"/>
        <v>35.1</v>
      </c>
      <c r="Y361" s="89">
        <f>0.000000000000067*AB361*2^((X361-1.76)/6.02)</f>
        <v>0.31134430406629754</v>
      </c>
      <c r="Z361" s="122">
        <v>100000000000</v>
      </c>
      <c r="AA361" s="110">
        <v>1</v>
      </c>
      <c r="AB361" s="89">
        <v>100000000000</v>
      </c>
      <c r="AC361" s="89" t="s">
        <v>2096</v>
      </c>
      <c r="AD361" s="65">
        <f t="shared" si="90"/>
        <v>3.1134430406629754</v>
      </c>
      <c r="AE361" s="29">
        <f t="shared" si="81"/>
        <v>22.700110204831741</v>
      </c>
      <c r="AF361" s="29">
        <f t="shared" si="79"/>
        <v>67</v>
      </c>
      <c r="AG361" s="54">
        <f t="shared" si="82"/>
        <v>156.55729079469558</v>
      </c>
      <c r="AH361" s="54">
        <f t="shared" si="91"/>
        <v>147.15729079469557</v>
      </c>
      <c r="AI361" s="89">
        <f t="shared" si="96"/>
        <v>6.6999999999999996E-10</v>
      </c>
      <c r="AJ361" s="67">
        <f t="shared" si="97"/>
        <v>257.15729079469554</v>
      </c>
    </row>
    <row r="362" spans="1:36" x14ac:dyDescent="0.3">
      <c r="A362" s="115">
        <v>2021</v>
      </c>
      <c r="B362" s="58">
        <v>10.1</v>
      </c>
      <c r="C362" s="8" t="s">
        <v>22</v>
      </c>
      <c r="D362" s="115" t="s">
        <v>30</v>
      </c>
      <c r="E362" s="105">
        <v>2.8000000000000001E-2</v>
      </c>
      <c r="F362" s="114" t="s">
        <v>1757</v>
      </c>
      <c r="G362" s="113" t="s">
        <v>1781</v>
      </c>
      <c r="H362" s="113" t="s">
        <v>1758</v>
      </c>
      <c r="I362" s="144" t="s">
        <v>2437</v>
      </c>
      <c r="J362" s="148" t="str">
        <f t="shared" si="80"/>
        <v>https://doi.org/10.1109/ISSCC42613.2021.9365807</v>
      </c>
      <c r="K362" s="32" t="s">
        <v>1050</v>
      </c>
      <c r="L362" s="40"/>
      <c r="M362" s="40"/>
      <c r="N362" s="40"/>
      <c r="P362" s="17">
        <v>7.0000000000000007E-2</v>
      </c>
      <c r="R362" s="63">
        <v>24000</v>
      </c>
      <c r="S362" s="60">
        <v>100.6</v>
      </c>
      <c r="T362" s="60"/>
      <c r="U362" s="60">
        <v>104.4</v>
      </c>
      <c r="V362" s="60"/>
      <c r="W362" s="60"/>
      <c r="X362" s="29">
        <f t="shared" si="95"/>
        <v>100.6</v>
      </c>
      <c r="Y362" s="89">
        <v>1.16E-4</v>
      </c>
      <c r="Z362" s="89">
        <f>AA362*AB362</f>
        <v>6144000</v>
      </c>
      <c r="AA362" s="110">
        <v>128</v>
      </c>
      <c r="AB362" s="89">
        <f>48000</f>
        <v>48000</v>
      </c>
      <c r="AC362" s="89" t="s">
        <v>2096</v>
      </c>
      <c r="AD362" s="65">
        <f t="shared" si="90"/>
        <v>2416.666666666667</v>
      </c>
      <c r="AE362" s="29" t="str">
        <f t="shared" si="81"/>
        <v/>
      </c>
      <c r="AF362" s="29">
        <f t="shared" si="79"/>
        <v>27.588257118925195</v>
      </c>
      <c r="AG362" s="54" t="str">
        <f t="shared" si="82"/>
        <v/>
      </c>
      <c r="AH362" s="54">
        <f t="shared" si="91"/>
        <v>183.75753252484688</v>
      </c>
      <c r="AI362" s="89">
        <f t="shared" si="96"/>
        <v>5.7475535664427491E-4</v>
      </c>
      <c r="AJ362" s="67">
        <f t="shared" si="97"/>
        <v>230.56994489860276</v>
      </c>
    </row>
    <row r="363" spans="1:36" x14ac:dyDescent="0.3">
      <c r="A363" s="94">
        <v>2021</v>
      </c>
      <c r="B363" s="58">
        <v>10.199999999999999</v>
      </c>
      <c r="C363" s="8" t="s">
        <v>22</v>
      </c>
      <c r="D363" s="115" t="s">
        <v>30</v>
      </c>
      <c r="E363" s="105">
        <v>6.5000000000000002E-2</v>
      </c>
      <c r="F363" s="114" t="s">
        <v>1759</v>
      </c>
      <c r="G363" s="113" t="s">
        <v>1782</v>
      </c>
      <c r="H363" s="113" t="s">
        <v>1760</v>
      </c>
      <c r="I363" s="144" t="s">
        <v>2438</v>
      </c>
      <c r="J363" s="148" t="str">
        <f t="shared" si="80"/>
        <v>https://doi.org/10.1109/ISSCC42613.2021.9366002</v>
      </c>
      <c r="K363" s="32" t="s">
        <v>1050</v>
      </c>
      <c r="L363" s="40"/>
      <c r="M363" s="40"/>
      <c r="N363" s="40"/>
      <c r="P363" s="17">
        <v>0.39</v>
      </c>
      <c r="R363" s="89">
        <v>24000</v>
      </c>
      <c r="S363" s="87">
        <v>100.9</v>
      </c>
      <c r="T363" s="40">
        <v>102</v>
      </c>
      <c r="U363" s="87">
        <v>104.8</v>
      </c>
      <c r="W363" s="58">
        <v>113.7</v>
      </c>
      <c r="X363" s="29">
        <f t="shared" si="95"/>
        <v>100.9</v>
      </c>
      <c r="Y363" s="89">
        <v>1.3899999999999999E-4</v>
      </c>
      <c r="Z363" s="122">
        <v>7200000</v>
      </c>
      <c r="AA363" s="110">
        <v>150</v>
      </c>
      <c r="AB363" s="122">
        <f>Z363/AA363</f>
        <v>48000</v>
      </c>
      <c r="AC363" s="122" t="s">
        <v>2096</v>
      </c>
      <c r="AD363" s="65">
        <f t="shared" si="90"/>
        <v>2895.833333333333</v>
      </c>
      <c r="AE363" s="29" t="str">
        <f t="shared" si="81"/>
        <v/>
      </c>
      <c r="AF363" s="29">
        <f t="shared" si="79"/>
        <v>31.93593098879931</v>
      </c>
      <c r="AG363" s="54" t="str">
        <f t="shared" si="82"/>
        <v/>
      </c>
      <c r="AH363" s="54">
        <f t="shared" si="91"/>
        <v>183.27196441457511</v>
      </c>
      <c r="AI363" s="89">
        <f t="shared" si="96"/>
        <v>6.6533189559998557E-4</v>
      </c>
      <c r="AJ363" s="67">
        <f t="shared" si="97"/>
        <v>230.08437678833099</v>
      </c>
    </row>
    <row r="364" spans="1:36" x14ac:dyDescent="0.3">
      <c r="A364" s="94">
        <v>2021</v>
      </c>
      <c r="B364" s="58">
        <v>10.3</v>
      </c>
      <c r="C364" s="8" t="s">
        <v>22</v>
      </c>
      <c r="D364" s="115" t="s">
        <v>1955</v>
      </c>
      <c r="E364" s="105">
        <v>2.8000000000000001E-2</v>
      </c>
      <c r="F364" s="114" t="s">
        <v>1761</v>
      </c>
      <c r="G364" s="113" t="s">
        <v>1783</v>
      </c>
      <c r="H364" s="113" t="s">
        <v>1762</v>
      </c>
      <c r="I364" s="144" t="s">
        <v>2439</v>
      </c>
      <c r="J364" s="148" t="str">
        <f t="shared" si="80"/>
        <v>https://doi.org/10.1109/ISSCC42613.2021.9366006</v>
      </c>
      <c r="K364" s="32" t="s">
        <v>1050</v>
      </c>
      <c r="L364" s="40"/>
      <c r="M364" s="40"/>
      <c r="N364" s="40"/>
      <c r="P364" s="17">
        <v>8.7999999999999995E-2</v>
      </c>
      <c r="R364" s="89">
        <v>10000000</v>
      </c>
      <c r="S364" s="87">
        <v>67.5</v>
      </c>
      <c r="T364" s="40">
        <v>68.2</v>
      </c>
      <c r="U364" s="87">
        <v>69</v>
      </c>
      <c r="W364" s="58">
        <v>82</v>
      </c>
      <c r="X364" s="29">
        <f t="shared" si="95"/>
        <v>67.5</v>
      </c>
      <c r="Y364" s="89">
        <v>1.34E-2</v>
      </c>
      <c r="Z364" s="122">
        <v>1600000000</v>
      </c>
      <c r="AA364" s="110">
        <f>Z364/AB364</f>
        <v>8</v>
      </c>
      <c r="AB364" s="89">
        <v>200000000</v>
      </c>
      <c r="AC364" s="89"/>
      <c r="AD364" s="65">
        <f t="shared" si="90"/>
        <v>67</v>
      </c>
      <c r="AE364" s="29" t="str">
        <f t="shared" si="81"/>
        <v/>
      </c>
      <c r="AF364" s="29">
        <f t="shared" si="79"/>
        <v>34.573810085319607</v>
      </c>
      <c r="AG364" s="54" t="str">
        <f t="shared" si="82"/>
        <v/>
      </c>
      <c r="AH364" s="54">
        <f t="shared" si="91"/>
        <v>166.22895201635191</v>
      </c>
      <c r="AI364" s="89">
        <f t="shared" si="96"/>
        <v>1.7286905042659804E-7</v>
      </c>
      <c r="AJ364" s="67">
        <f t="shared" si="97"/>
        <v>249.23925197299172</v>
      </c>
    </row>
    <row r="365" spans="1:36" x14ac:dyDescent="0.3">
      <c r="A365" s="94">
        <v>2021</v>
      </c>
      <c r="B365" s="58">
        <v>10.4</v>
      </c>
      <c r="C365" s="8" t="s">
        <v>22</v>
      </c>
      <c r="D365" s="115" t="s">
        <v>30</v>
      </c>
      <c r="E365" s="105">
        <v>0.04</v>
      </c>
      <c r="F365" s="114" t="s">
        <v>1763</v>
      </c>
      <c r="G365" s="113" t="s">
        <v>1784</v>
      </c>
      <c r="H365" s="113" t="s">
        <v>1764</v>
      </c>
      <c r="I365" s="144" t="s">
        <v>2440</v>
      </c>
      <c r="J365" s="148" t="str">
        <f t="shared" si="80"/>
        <v>https://doi.org/10.1109/ISSCC42613.2021.9366023</v>
      </c>
      <c r="K365" s="32" t="s">
        <v>1050</v>
      </c>
      <c r="L365" s="40"/>
      <c r="M365" s="40"/>
      <c r="N365" s="40"/>
      <c r="P365" s="17">
        <v>5.7000000000000002E-2</v>
      </c>
      <c r="R365" s="89">
        <v>3000000</v>
      </c>
      <c r="S365" s="87">
        <v>80.900000000000006</v>
      </c>
      <c r="U365" s="87">
        <v>82.2</v>
      </c>
      <c r="W365" s="58">
        <v>89.3</v>
      </c>
      <c r="X365" s="29">
        <f t="shared" si="95"/>
        <v>80.900000000000006</v>
      </c>
      <c r="Y365" s="89">
        <v>3.7000000000000002E-3</v>
      </c>
      <c r="Z365" s="122">
        <v>500000000</v>
      </c>
      <c r="AA365" s="110">
        <f>Z365/AB365</f>
        <v>20</v>
      </c>
      <c r="AB365" s="89">
        <v>25000000</v>
      </c>
      <c r="AC365" s="89" t="s">
        <v>2096</v>
      </c>
      <c r="AD365" s="65">
        <f t="shared" si="90"/>
        <v>148</v>
      </c>
      <c r="AE365" s="29" t="str">
        <f t="shared" si="81"/>
        <v/>
      </c>
      <c r="AF365" s="29">
        <f t="shared" si="79"/>
        <v>16.325533672268143</v>
      </c>
      <c r="AG365" s="54" t="str">
        <f t="shared" si="82"/>
        <v/>
      </c>
      <c r="AH365" s="54">
        <f t="shared" si="91"/>
        <v>176.18708288941062</v>
      </c>
      <c r="AI365" s="89">
        <f t="shared" si="96"/>
        <v>6.5302134689072573E-7</v>
      </c>
      <c r="AJ365" s="67">
        <f t="shared" si="97"/>
        <v>250.16648297613099</v>
      </c>
    </row>
    <row r="366" spans="1:36" x14ac:dyDescent="0.3">
      <c r="A366" s="94">
        <v>2021</v>
      </c>
      <c r="B366" s="58">
        <v>10.5</v>
      </c>
      <c r="C366" s="8" t="s">
        <v>23</v>
      </c>
      <c r="D366" s="115" t="s">
        <v>1793</v>
      </c>
      <c r="E366" s="105">
        <v>7.0000000000000001E-3</v>
      </c>
      <c r="F366" s="114" t="s">
        <v>1765</v>
      </c>
      <c r="G366" s="113" t="s">
        <v>1785</v>
      </c>
      <c r="H366" s="113" t="s">
        <v>1766</v>
      </c>
      <c r="I366" s="144" t="s">
        <v>2441</v>
      </c>
      <c r="J366" s="148" t="str">
        <f t="shared" si="80"/>
        <v>https://doi.org/10.1109/ISSCC42613.2021.9366051</v>
      </c>
      <c r="K366" s="32" t="s">
        <v>1050</v>
      </c>
      <c r="L366" s="40"/>
      <c r="M366" s="40"/>
      <c r="N366" s="40"/>
      <c r="P366" s="17">
        <v>3.6999999999999998E-2</v>
      </c>
      <c r="R366" s="89">
        <v>300000000</v>
      </c>
      <c r="S366" s="87">
        <v>55.3</v>
      </c>
      <c r="W366" s="58">
        <v>67.8</v>
      </c>
      <c r="X366" s="29">
        <f t="shared" si="95"/>
        <v>55.3</v>
      </c>
      <c r="Y366" s="89">
        <v>1.2999999999999999E-2</v>
      </c>
      <c r="Z366" s="122">
        <v>600000000</v>
      </c>
      <c r="AA366" s="110">
        <v>1</v>
      </c>
      <c r="AB366" s="89">
        <v>600000000</v>
      </c>
      <c r="AC366" s="89" t="s">
        <v>2096</v>
      </c>
      <c r="AD366" s="65">
        <f t="shared" si="90"/>
        <v>21.666666666666668</v>
      </c>
      <c r="AE366" s="29" t="str">
        <f t="shared" si="81"/>
        <v/>
      </c>
      <c r="AF366" s="29">
        <f t="shared" si="79"/>
        <v>45.553875430017484</v>
      </c>
      <c r="AG366" s="54" t="str">
        <f t="shared" si="82"/>
        <v/>
      </c>
      <c r="AH366" s="54">
        <f t="shared" si="91"/>
        <v>158.93177902412828</v>
      </c>
      <c r="AI366" s="89">
        <f t="shared" si="96"/>
        <v>7.5923125716695807E-8</v>
      </c>
      <c r="AJ366" s="67">
        <f t="shared" si="97"/>
        <v>246.71329152796471</v>
      </c>
    </row>
    <row r="367" spans="1:36" x14ac:dyDescent="0.3">
      <c r="A367" s="94">
        <v>2021</v>
      </c>
      <c r="B367" s="58">
        <v>13.4</v>
      </c>
      <c r="C367" s="8" t="s">
        <v>23</v>
      </c>
      <c r="D367" s="115" t="s">
        <v>31</v>
      </c>
      <c r="E367" s="105">
        <v>0.04</v>
      </c>
      <c r="F367" s="114" t="s">
        <v>1800</v>
      </c>
      <c r="G367" s="113" t="s">
        <v>1802</v>
      </c>
      <c r="H367" s="113" t="s">
        <v>1801</v>
      </c>
      <c r="I367" s="144" t="s">
        <v>2442</v>
      </c>
      <c r="J367" s="148" t="str">
        <f t="shared" si="80"/>
        <v>https://doi.org/10.1109/ISSCC42613.2021.9365927</v>
      </c>
      <c r="K367" s="32" t="s">
        <v>1799</v>
      </c>
      <c r="L367" s="40"/>
      <c r="M367" s="40"/>
      <c r="N367" s="40"/>
      <c r="P367" s="17">
        <v>4.4999999999999998E-2</v>
      </c>
      <c r="R367" s="63">
        <v>450000000</v>
      </c>
      <c r="S367" s="60">
        <v>33.4</v>
      </c>
      <c r="T367" s="60"/>
      <c r="U367" s="60"/>
      <c r="V367" s="60"/>
      <c r="W367" s="60">
        <v>48.4</v>
      </c>
      <c r="X367" s="29">
        <f t="shared" si="95"/>
        <v>33.4</v>
      </c>
      <c r="Y367" s="89">
        <v>6.9999999999999999E-4</v>
      </c>
      <c r="Z367" s="122">
        <v>900000000</v>
      </c>
      <c r="AA367" s="110">
        <v>1</v>
      </c>
      <c r="AB367" s="89">
        <v>900000000</v>
      </c>
      <c r="AC367" s="89" t="s">
        <v>2096</v>
      </c>
      <c r="AD367" s="65">
        <f t="shared" si="90"/>
        <v>0.77777777777777779</v>
      </c>
      <c r="AE367" s="29" t="str">
        <f t="shared" si="81"/>
        <v/>
      </c>
      <c r="AF367" s="29">
        <f t="shared" si="79"/>
        <v>20.356254829535953</v>
      </c>
      <c r="AG367" s="54" t="str">
        <f t="shared" si="82"/>
        <v/>
      </c>
      <c r="AH367" s="54">
        <f t="shared" si="91"/>
        <v>151.48114473761086</v>
      </c>
      <c r="AI367" s="89">
        <f t="shared" si="96"/>
        <v>2.2618060921706615E-8</v>
      </c>
      <c r="AJ367" s="67">
        <f t="shared" si="97"/>
        <v>241.02356983200411</v>
      </c>
    </row>
    <row r="368" spans="1:36" x14ac:dyDescent="0.3">
      <c r="A368" s="94">
        <v>2021</v>
      </c>
      <c r="B368" s="58">
        <v>27.1</v>
      </c>
      <c r="C368" s="8" t="s">
        <v>22</v>
      </c>
      <c r="D368" s="115" t="s">
        <v>31</v>
      </c>
      <c r="E368" s="105">
        <v>0.04</v>
      </c>
      <c r="F368" s="114" t="s">
        <v>1767</v>
      </c>
      <c r="G368" s="113" t="s">
        <v>1786</v>
      </c>
      <c r="H368" s="113" t="s">
        <v>1774</v>
      </c>
      <c r="I368" s="144" t="s">
        <v>2443</v>
      </c>
      <c r="J368" s="148" t="str">
        <f t="shared" si="80"/>
        <v>https://doi.org/10.1109/ISSCC42613.2021.9366008</v>
      </c>
      <c r="K368" s="32" t="s">
        <v>1050</v>
      </c>
      <c r="L368" s="40"/>
      <c r="M368" s="40"/>
      <c r="N368" s="40"/>
      <c r="P368" s="17">
        <v>9.4E-2</v>
      </c>
      <c r="R368" s="89">
        <v>0.05</v>
      </c>
      <c r="S368" s="87">
        <v>93.3</v>
      </c>
      <c r="T368" s="40">
        <v>94</v>
      </c>
      <c r="U368" s="87">
        <v>95</v>
      </c>
      <c r="W368" s="58">
        <v>104.4</v>
      </c>
      <c r="X368" s="29">
        <f t="shared" si="95"/>
        <v>93.3</v>
      </c>
      <c r="Y368" s="89">
        <v>3.4000000000000002E-4</v>
      </c>
      <c r="Z368" s="122">
        <v>5000000</v>
      </c>
      <c r="AA368" s="110">
        <f>Z368/AB368</f>
        <v>10</v>
      </c>
      <c r="AB368" s="89">
        <v>500000</v>
      </c>
      <c r="AC368" s="89" t="s">
        <v>2096</v>
      </c>
      <c r="AD368" s="65">
        <f t="shared" si="90"/>
        <v>680</v>
      </c>
      <c r="AE368" s="29" t="str">
        <f t="shared" si="81"/>
        <v/>
      </c>
      <c r="AF368" s="29">
        <f t="shared" si="79"/>
        <v>17.990896256827575</v>
      </c>
      <c r="AG368" s="54" t="str">
        <f t="shared" si="82"/>
        <v/>
      </c>
      <c r="AH368" s="54">
        <f t="shared" si="91"/>
        <v>181.96461091629783</v>
      </c>
      <c r="AI368" s="89">
        <f t="shared" si="96"/>
        <v>3.5981792513655151E-5</v>
      </c>
      <c r="AJ368" s="67">
        <f t="shared" si="97"/>
        <v>238.95431095965802</v>
      </c>
    </row>
    <row r="369" spans="1:36" ht="12.5" customHeight="1" x14ac:dyDescent="0.3">
      <c r="A369" s="94">
        <v>2021</v>
      </c>
      <c r="B369" s="58">
        <v>27.2</v>
      </c>
      <c r="C369" s="8" t="s">
        <v>23</v>
      </c>
      <c r="D369" s="115" t="s">
        <v>31</v>
      </c>
      <c r="E369" s="105">
        <v>0.18</v>
      </c>
      <c r="F369" s="114" t="s">
        <v>1768</v>
      </c>
      <c r="G369" s="113" t="s">
        <v>1787</v>
      </c>
      <c r="H369" s="113" t="s">
        <v>1775</v>
      </c>
      <c r="I369" s="144" t="s">
        <v>2444</v>
      </c>
      <c r="J369" s="148" t="str">
        <f t="shared" si="80"/>
        <v>https://doi.org/10.1109/ISSCC42613.2021.9365863</v>
      </c>
      <c r="K369" s="32" t="s">
        <v>1050</v>
      </c>
      <c r="L369" s="40"/>
      <c r="M369" s="40"/>
      <c r="N369" s="40"/>
      <c r="P369" s="17">
        <v>0.34799999999999998</v>
      </c>
      <c r="R369" s="63">
        <v>3000</v>
      </c>
      <c r="S369" s="60">
        <v>86.66</v>
      </c>
      <c r="T369" s="60"/>
      <c r="U369" s="60"/>
      <c r="V369" s="60"/>
      <c r="W369" s="60"/>
      <c r="X369" s="29">
        <f t="shared" si="95"/>
        <v>86.66</v>
      </c>
      <c r="Y369" s="89">
        <v>4.6800000000000001E-7</v>
      </c>
      <c r="Z369" s="122">
        <v>6000</v>
      </c>
      <c r="AA369" s="110">
        <v>1</v>
      </c>
      <c r="AB369" s="89">
        <v>6000</v>
      </c>
      <c r="AC369" s="89" t="s">
        <v>2096</v>
      </c>
      <c r="AD369" s="65">
        <f t="shared" si="90"/>
        <v>78</v>
      </c>
      <c r="AE369" s="29" t="str">
        <f t="shared" si="81"/>
        <v/>
      </c>
      <c r="AF369" s="29">
        <f t="shared" si="79"/>
        <v>4.4327330125089821</v>
      </c>
      <c r="AG369" s="54" t="str">
        <f t="shared" si="82"/>
        <v/>
      </c>
      <c r="AH369" s="54">
        <f t="shared" si="91"/>
        <v>184.72875401645538</v>
      </c>
      <c r="AI369" s="89">
        <f t="shared" si="96"/>
        <v>7.3878883541816367E-4</v>
      </c>
      <c r="AJ369" s="67">
        <f t="shared" si="97"/>
        <v>222.51026652029182</v>
      </c>
    </row>
    <row r="370" spans="1:36" x14ac:dyDescent="0.3">
      <c r="A370" s="94">
        <v>2021</v>
      </c>
      <c r="B370" s="58">
        <v>27.3</v>
      </c>
      <c r="C370" s="8" t="s">
        <v>22</v>
      </c>
      <c r="D370" s="115" t="s">
        <v>31</v>
      </c>
      <c r="E370" s="105">
        <v>6.5000000000000002E-2</v>
      </c>
      <c r="F370" s="114" t="s">
        <v>1769</v>
      </c>
      <c r="G370" s="113" t="s">
        <v>1788</v>
      </c>
      <c r="H370" s="113" t="s">
        <v>1776</v>
      </c>
      <c r="I370" s="144" t="s">
        <v>2445</v>
      </c>
      <c r="J370" s="148" t="str">
        <f t="shared" si="80"/>
        <v>https://doi.org/10.1109/ISSCC42613.2021.9365990</v>
      </c>
      <c r="K370" s="32" t="s">
        <v>1050</v>
      </c>
      <c r="L370" s="40"/>
      <c r="M370" s="40"/>
      <c r="N370" s="40"/>
      <c r="O370" s="58">
        <v>0.4</v>
      </c>
      <c r="P370" s="17">
        <v>0.04</v>
      </c>
      <c r="R370" s="63">
        <v>100000</v>
      </c>
      <c r="S370" s="60">
        <v>84.8</v>
      </c>
      <c r="T370" s="60">
        <v>85.1</v>
      </c>
      <c r="U370" s="60">
        <v>86.5</v>
      </c>
      <c r="V370" s="60"/>
      <c r="W370" s="60"/>
      <c r="X370" s="29">
        <f t="shared" si="95"/>
        <v>84.8</v>
      </c>
      <c r="Y370" s="89">
        <v>1.1900000000000001E-4</v>
      </c>
      <c r="Z370" s="122">
        <v>10000000</v>
      </c>
      <c r="AA370" s="110">
        <v>8</v>
      </c>
      <c r="AB370" s="89">
        <v>1250000</v>
      </c>
      <c r="AC370" s="89" t="s">
        <v>2096</v>
      </c>
      <c r="AD370" s="65">
        <f t="shared" si="90"/>
        <v>95.2</v>
      </c>
      <c r="AE370" s="29" t="str">
        <f t="shared" si="81"/>
        <v/>
      </c>
      <c r="AF370" s="29">
        <f t="shared" si="79"/>
        <v>6.7022895724194376</v>
      </c>
      <c r="AG370" s="54" t="str">
        <f t="shared" si="82"/>
        <v/>
      </c>
      <c r="AH370" s="54">
        <f t="shared" si="91"/>
        <v>182.00333055951543</v>
      </c>
      <c r="AI370" s="89">
        <f t="shared" si="96"/>
        <v>5.3618316579355505E-6</v>
      </c>
      <c r="AJ370" s="67">
        <f t="shared" si="97"/>
        <v>242.972430689596</v>
      </c>
    </row>
    <row r="371" spans="1:36" x14ac:dyDescent="0.3">
      <c r="A371" s="94">
        <v>2021</v>
      </c>
      <c r="B371" s="58">
        <v>27.4</v>
      </c>
      <c r="C371" s="8" t="s">
        <v>23</v>
      </c>
      <c r="D371" s="115" t="s">
        <v>745</v>
      </c>
      <c r="E371" s="105">
        <v>0.04</v>
      </c>
      <c r="F371" s="114" t="s">
        <v>1770</v>
      </c>
      <c r="G371" s="113" t="s">
        <v>1789</v>
      </c>
      <c r="H371" s="113" t="s">
        <v>1777</v>
      </c>
      <c r="I371" s="144" t="s">
        <v>2446</v>
      </c>
      <c r="J371" s="148" t="str">
        <f t="shared" si="80"/>
        <v>https://doi.org/10.1109/ISSCC42613.2021.9365753</v>
      </c>
      <c r="K371" s="32" t="s">
        <v>1050</v>
      </c>
      <c r="L371" s="40"/>
      <c r="M371" s="40"/>
      <c r="N371" s="40"/>
      <c r="O371" s="58">
        <v>4</v>
      </c>
      <c r="P371" s="17">
        <v>5.6000000000000001E-2</v>
      </c>
      <c r="Q371" s="87">
        <v>77.599999999999994</v>
      </c>
      <c r="R371" s="63">
        <v>18000000</v>
      </c>
      <c r="S371" s="60">
        <v>75.7</v>
      </c>
      <c r="T371" s="60"/>
      <c r="U371" s="60">
        <v>79.5</v>
      </c>
      <c r="V371" s="60"/>
      <c r="W371" s="60">
        <v>81.400000000000006</v>
      </c>
      <c r="X371" s="29">
        <f t="shared" si="95"/>
        <v>75.7</v>
      </c>
      <c r="Y371" s="89">
        <v>8.2100000000000001E-4</v>
      </c>
      <c r="Z371" s="122">
        <v>40000000</v>
      </c>
      <c r="AA371" s="110">
        <v>1</v>
      </c>
      <c r="AB371" s="89">
        <f>40000000</f>
        <v>40000000</v>
      </c>
      <c r="AC371" s="89" t="s">
        <v>2096</v>
      </c>
      <c r="AD371" s="65">
        <f t="shared" si="90"/>
        <v>20.525000000000002</v>
      </c>
      <c r="AE371" s="29">
        <f t="shared" si="81"/>
        <v>3.310589095409421</v>
      </c>
      <c r="AF371" s="29">
        <f t="shared" si="79"/>
        <v>4.1201663162400006</v>
      </c>
      <c r="AG371" s="54">
        <f t="shared" si="82"/>
        <v>181.46686838544539</v>
      </c>
      <c r="AH371" s="54">
        <f t="shared" si="91"/>
        <v>179.56686838544539</v>
      </c>
      <c r="AI371" s="89">
        <f t="shared" si="96"/>
        <v>1.0300415790600002E-7</v>
      </c>
      <c r="AJ371" s="67">
        <f t="shared" si="97"/>
        <v>255.58746829872501</v>
      </c>
    </row>
    <row r="372" spans="1:36" ht="13.5" customHeight="1" x14ac:dyDescent="0.3">
      <c r="A372" s="94">
        <v>2021</v>
      </c>
      <c r="B372" s="58">
        <v>27.5</v>
      </c>
      <c r="C372" s="8" t="s">
        <v>22</v>
      </c>
      <c r="D372" s="115" t="s">
        <v>592</v>
      </c>
      <c r="E372" s="105">
        <v>2.1999999999999999E-2</v>
      </c>
      <c r="F372" s="114" t="s">
        <v>1771</v>
      </c>
      <c r="G372" s="113" t="s">
        <v>1790</v>
      </c>
      <c r="H372" s="113" t="s">
        <v>1778</v>
      </c>
      <c r="I372" s="144" t="s">
        <v>2447</v>
      </c>
      <c r="J372" s="148" t="str">
        <f t="shared" si="80"/>
        <v>https://doi.org/10.1109/ISSCC42613.2021.9365754</v>
      </c>
      <c r="K372" s="32" t="s">
        <v>1050</v>
      </c>
      <c r="L372" s="40"/>
      <c r="M372" s="40"/>
      <c r="N372" s="40"/>
      <c r="P372" s="17">
        <v>6.0000000000000001E-3</v>
      </c>
      <c r="R372" s="63">
        <v>12000000</v>
      </c>
      <c r="S372" s="60">
        <v>66.319999999999993</v>
      </c>
      <c r="T372" s="60">
        <v>67.349999999999994</v>
      </c>
      <c r="U372" s="60">
        <v>70.2</v>
      </c>
      <c r="V372" s="60"/>
      <c r="W372" s="60"/>
      <c r="X372" s="29">
        <f t="shared" si="95"/>
        <v>66.319999999999993</v>
      </c>
      <c r="Y372" s="89">
        <v>2.5600000000000002E-3</v>
      </c>
      <c r="Z372" s="122">
        <f>AA372*AB372</f>
        <v>640000000</v>
      </c>
      <c r="AA372" s="110">
        <v>4</v>
      </c>
      <c r="AB372" s="89">
        <v>160000000</v>
      </c>
      <c r="AC372" s="89" t="s">
        <v>2096</v>
      </c>
      <c r="AD372" s="65">
        <f t="shared" si="90"/>
        <v>16.000000000000004</v>
      </c>
      <c r="AE372" s="29" t="str">
        <f t="shared" si="81"/>
        <v/>
      </c>
      <c r="AF372" s="29">
        <f t="shared" si="79"/>
        <v>9.4579780458257776</v>
      </c>
      <c r="AG372" s="54" t="str">
        <f t="shared" si="82"/>
        <v/>
      </c>
      <c r="AH372" s="54">
        <f t="shared" si="91"/>
        <v>171.26850021680093</v>
      </c>
      <c r="AI372" s="89">
        <f t="shared" si="96"/>
        <v>5.9112362786411113E-8</v>
      </c>
      <c r="AJ372" s="67">
        <f t="shared" si="97"/>
        <v>253.30970004336018</v>
      </c>
    </row>
    <row r="373" spans="1:36" ht="13.75" customHeight="1" x14ac:dyDescent="0.3">
      <c r="A373" s="94">
        <v>2021</v>
      </c>
      <c r="B373" s="58">
        <v>27.6</v>
      </c>
      <c r="C373" s="8" t="s">
        <v>22</v>
      </c>
      <c r="D373" s="115" t="s">
        <v>745</v>
      </c>
      <c r="E373" s="105">
        <v>2.8000000000000001E-2</v>
      </c>
      <c r="F373" s="114" t="s">
        <v>1772</v>
      </c>
      <c r="G373" s="113" t="s">
        <v>1791</v>
      </c>
      <c r="H373" s="113" t="s">
        <v>1779</v>
      </c>
      <c r="I373" s="144" t="s">
        <v>2448</v>
      </c>
      <c r="J373" s="148" t="str">
        <f t="shared" si="80"/>
        <v>https://doi.org/10.1109/ISSCC42613.2021.9365833</v>
      </c>
      <c r="K373" s="32" t="s">
        <v>1050</v>
      </c>
      <c r="L373" s="40"/>
      <c r="M373" s="40"/>
      <c r="N373" s="40"/>
      <c r="P373" s="17">
        <v>2.7E-2</v>
      </c>
      <c r="R373" s="63">
        <v>2000000</v>
      </c>
      <c r="S373" s="60">
        <v>75</v>
      </c>
      <c r="T373" s="60">
        <v>75.3</v>
      </c>
      <c r="U373" s="60">
        <v>76.3</v>
      </c>
      <c r="V373" s="60"/>
      <c r="W373" s="60">
        <v>92.1</v>
      </c>
      <c r="X373" s="29">
        <f t="shared" si="95"/>
        <v>75</v>
      </c>
      <c r="Y373" s="89">
        <v>1.2600000000000001E-3</v>
      </c>
      <c r="Z373" s="122">
        <v>400000000</v>
      </c>
      <c r="AA373" s="110">
        <v>8</v>
      </c>
      <c r="AB373" s="89">
        <v>50000000</v>
      </c>
      <c r="AC373" s="89" t="s">
        <v>2096</v>
      </c>
      <c r="AD373" s="65">
        <f t="shared" si="90"/>
        <v>25.2</v>
      </c>
      <c r="AE373" s="29" t="str">
        <f t="shared" si="81"/>
        <v/>
      </c>
      <c r="AF373" s="29">
        <f t="shared" si="79"/>
        <v>5.4832192294746518</v>
      </c>
      <c r="AG373" s="54" t="str">
        <f t="shared" si="82"/>
        <v/>
      </c>
      <c r="AH373" s="54">
        <f t="shared" si="91"/>
        <v>177.97569463554476</v>
      </c>
      <c r="AI373" s="89">
        <f t="shared" si="96"/>
        <v>1.0966438458949304E-7</v>
      </c>
      <c r="AJ373" s="67">
        <f t="shared" si="97"/>
        <v>254.96539467890494</v>
      </c>
    </row>
    <row r="374" spans="1:36" x14ac:dyDescent="0.3">
      <c r="A374" s="94">
        <v>2021</v>
      </c>
      <c r="B374" s="58">
        <v>27.7</v>
      </c>
      <c r="C374" s="8" t="s">
        <v>22</v>
      </c>
      <c r="D374" s="115" t="s">
        <v>1962</v>
      </c>
      <c r="E374" s="105">
        <v>0.04</v>
      </c>
      <c r="F374" s="114" t="s">
        <v>1773</v>
      </c>
      <c r="G374" s="113" t="s">
        <v>1792</v>
      </c>
      <c r="H374" s="113" t="s">
        <v>1780</v>
      </c>
      <c r="I374" s="144" t="s">
        <v>2449</v>
      </c>
      <c r="J374" s="148" t="str">
        <f t="shared" si="80"/>
        <v>https://doi.org/10.1109/ISSCC42613.2021.9365962</v>
      </c>
      <c r="K374" s="32" t="s">
        <v>1794</v>
      </c>
      <c r="L374" s="40"/>
      <c r="M374" s="40"/>
      <c r="N374" s="40"/>
      <c r="P374" s="17">
        <v>0.19</v>
      </c>
      <c r="R374" s="63">
        <v>55600000</v>
      </c>
      <c r="S374" s="60">
        <v>78.8</v>
      </c>
      <c r="T374" s="60"/>
      <c r="U374" s="60">
        <v>79.8</v>
      </c>
      <c r="V374" s="60"/>
      <c r="W374" s="60"/>
      <c r="X374" s="29">
        <f t="shared" si="95"/>
        <v>78.8</v>
      </c>
      <c r="Y374" s="89">
        <v>5.0400000000000002E-3</v>
      </c>
      <c r="Z374" s="122">
        <v>450000000</v>
      </c>
      <c r="AA374" s="110">
        <f>Z374/AB374</f>
        <v>64.285714285714292</v>
      </c>
      <c r="AB374" s="89">
        <v>7000000</v>
      </c>
      <c r="AC374" s="89">
        <v>56300000</v>
      </c>
      <c r="AD374" s="65">
        <f t="shared" si="90"/>
        <v>720</v>
      </c>
      <c r="AE374" s="29" t="str">
        <f t="shared" si="81"/>
        <v/>
      </c>
      <c r="AF374" s="29">
        <f t="shared" si="79"/>
        <v>101.14598117325755</v>
      </c>
      <c r="AG374" s="54" t="str">
        <f t="shared" si="82"/>
        <v/>
      </c>
      <c r="AH374" s="54">
        <f t="shared" si="91"/>
        <v>167.21637507904751</v>
      </c>
      <c r="AI374" s="89">
        <f t="shared" si="96"/>
        <v>1.4449425881893936E-5</v>
      </c>
      <c r="AJ374" s="67">
        <f t="shared" si="97"/>
        <v>235.66735547919006</v>
      </c>
    </row>
    <row r="375" spans="1:36" x14ac:dyDescent="0.3">
      <c r="A375" s="94">
        <v>2021</v>
      </c>
      <c r="B375" s="58">
        <v>28.1</v>
      </c>
      <c r="C375" s="8" t="s">
        <v>22</v>
      </c>
      <c r="D375" s="115" t="s">
        <v>782</v>
      </c>
      <c r="E375" s="105">
        <v>6.5000000000000002E-2</v>
      </c>
      <c r="F375" s="114" t="s">
        <v>1803</v>
      </c>
      <c r="G375" s="113" t="s">
        <v>1805</v>
      </c>
      <c r="H375" s="113" t="s">
        <v>1804</v>
      </c>
      <c r="I375" s="144" t="s">
        <v>2450</v>
      </c>
      <c r="J375" s="148" t="str">
        <f t="shared" si="80"/>
        <v>https://doi.org/10.1109/ISSCC42613.2021.9365950</v>
      </c>
      <c r="K375" s="32" t="s">
        <v>1809</v>
      </c>
      <c r="L375" s="40"/>
      <c r="M375" s="40"/>
      <c r="N375" s="40"/>
      <c r="P375" s="17">
        <v>5.5E-2</v>
      </c>
      <c r="R375" s="63">
        <v>500</v>
      </c>
      <c r="S375" s="60">
        <v>94.2</v>
      </c>
      <c r="T375" s="60"/>
      <c r="U375" s="60">
        <v>95.1</v>
      </c>
      <c r="V375" s="60"/>
      <c r="W375" s="60">
        <v>128</v>
      </c>
      <c r="X375" s="29">
        <f t="shared" si="95"/>
        <v>94.2</v>
      </c>
      <c r="Y375" s="89">
        <v>1.68E-6</v>
      </c>
      <c r="Z375" s="122">
        <v>64000</v>
      </c>
      <c r="AA375" s="110">
        <f>Z375/AB375</f>
        <v>64</v>
      </c>
      <c r="AB375" s="89">
        <f>1000</f>
        <v>1000</v>
      </c>
      <c r="AC375" s="89" t="s">
        <v>2096</v>
      </c>
      <c r="AD375" s="65">
        <f t="shared" si="90"/>
        <v>1680</v>
      </c>
      <c r="AE375" s="29" t="str">
        <f t="shared" si="81"/>
        <v/>
      </c>
      <c r="AF375" s="29">
        <f t="shared" si="79"/>
        <v>40.072707265658202</v>
      </c>
      <c r="AG375" s="54" t="str">
        <f t="shared" si="82"/>
        <v/>
      </c>
      <c r="AH375" s="54">
        <f t="shared" si="91"/>
        <v>178.93660722610156</v>
      </c>
      <c r="AI375" s="89">
        <f t="shared" si="96"/>
        <v>4.0072707265658203E-2</v>
      </c>
      <c r="AJ375" s="67">
        <f t="shared" si="97"/>
        <v>208.93660722610156</v>
      </c>
    </row>
    <row r="376" spans="1:36" x14ac:dyDescent="0.3">
      <c r="A376" s="94">
        <v>2021</v>
      </c>
      <c r="B376" s="58">
        <v>28.4</v>
      </c>
      <c r="C376" s="8" t="s">
        <v>22</v>
      </c>
      <c r="D376" s="115" t="s">
        <v>782</v>
      </c>
      <c r="E376" s="105">
        <v>6.5000000000000002E-2</v>
      </c>
      <c r="F376" s="114" t="s">
        <v>1806</v>
      </c>
      <c r="G376" s="113" t="s">
        <v>1808</v>
      </c>
      <c r="H376" s="113" t="s">
        <v>1807</v>
      </c>
      <c r="I376" s="144" t="s">
        <v>2451</v>
      </c>
      <c r="J376" s="148" t="str">
        <f t="shared" si="80"/>
        <v>https://doi.org/10.1109/ISSCC42613.2021.9365985</v>
      </c>
      <c r="K376" s="32" t="s">
        <v>1809</v>
      </c>
      <c r="L376" s="40"/>
      <c r="M376" s="40"/>
      <c r="N376" s="40"/>
      <c r="P376" s="17">
        <v>7.4999999999999997E-2</v>
      </c>
      <c r="R376" s="63">
        <v>500</v>
      </c>
      <c r="S376" s="60">
        <v>92.3</v>
      </c>
      <c r="T376" s="60"/>
      <c r="U376" s="60">
        <v>92.3</v>
      </c>
      <c r="V376" s="60"/>
      <c r="W376" s="60">
        <v>110.3</v>
      </c>
      <c r="X376" s="29">
        <f t="shared" si="95"/>
        <v>92.3</v>
      </c>
      <c r="Y376" s="89">
        <v>5.8000000000000004E-6</v>
      </c>
      <c r="Z376" s="122">
        <v>200000</v>
      </c>
      <c r="AA376" s="110">
        <f>Z376/AB376</f>
        <v>100</v>
      </c>
      <c r="AB376" s="89">
        <v>2000</v>
      </c>
      <c r="AC376" s="89" t="s">
        <v>2096</v>
      </c>
      <c r="AD376" s="65">
        <f t="shared" si="90"/>
        <v>2900.0000000000005</v>
      </c>
      <c r="AE376" s="29" t="str">
        <f t="shared" si="81"/>
        <v/>
      </c>
      <c r="AF376" s="29">
        <f t="shared" si="79"/>
        <v>86.088842204673895</v>
      </c>
      <c r="AG376" s="54" t="str">
        <f t="shared" si="82"/>
        <v/>
      </c>
      <c r="AH376" s="54">
        <f t="shared" si="91"/>
        <v>174.66572006437065</v>
      </c>
      <c r="AI376" s="89">
        <f t="shared" si="96"/>
        <v>4.3044421102336951E-2</v>
      </c>
      <c r="AJ376" s="67">
        <f t="shared" si="97"/>
        <v>207.67602002101046</v>
      </c>
    </row>
    <row r="377" spans="1:36" x14ac:dyDescent="0.3">
      <c r="A377" s="94">
        <v>2021</v>
      </c>
      <c r="B377" s="58">
        <v>28.7</v>
      </c>
      <c r="C377" s="8" t="s">
        <v>22</v>
      </c>
      <c r="D377" s="115" t="s">
        <v>2230</v>
      </c>
      <c r="E377" s="105">
        <v>0.18</v>
      </c>
      <c r="F377" s="114" t="s">
        <v>2088</v>
      </c>
      <c r="G377" s="113" t="s">
        <v>2089</v>
      </c>
      <c r="H377" s="113" t="s">
        <v>1810</v>
      </c>
      <c r="I377" s="144" t="s">
        <v>2452</v>
      </c>
      <c r="J377" s="148" t="str">
        <f t="shared" si="80"/>
        <v>https://doi.org/10.1109/ISSCC42613.2021.9366015</v>
      </c>
      <c r="K377" s="32" t="s">
        <v>1809</v>
      </c>
      <c r="L377" s="40"/>
      <c r="M377" s="40"/>
      <c r="N377" s="40"/>
      <c r="P377" s="17">
        <v>4.62E-3</v>
      </c>
      <c r="R377" s="63">
        <v>1000</v>
      </c>
      <c r="S377" s="60">
        <v>57.5</v>
      </c>
      <c r="T377" s="60"/>
      <c r="U377" s="60"/>
      <c r="V377" s="60"/>
      <c r="W377" s="60"/>
      <c r="X377" s="29">
        <f t="shared" si="95"/>
        <v>57.5</v>
      </c>
      <c r="Y377" s="89">
        <v>1.4939999999999999E-5</v>
      </c>
      <c r="Z377" s="122">
        <v>2720000</v>
      </c>
      <c r="AA377" s="110">
        <f>Z377/AB377</f>
        <v>136</v>
      </c>
      <c r="AB377" s="89">
        <v>20000</v>
      </c>
      <c r="AC377" s="89" t="s">
        <v>2096</v>
      </c>
      <c r="AD377" s="65">
        <f t="shared" si="90"/>
        <v>747</v>
      </c>
      <c r="AE377" s="29" t="str">
        <f t="shared" si="81"/>
        <v/>
      </c>
      <c r="AF377" s="29">
        <f t="shared" si="79"/>
        <v>1219.1099275894237</v>
      </c>
      <c r="AG377" s="54" t="str">
        <f t="shared" si="82"/>
        <v/>
      </c>
      <c r="AH377" s="54">
        <f t="shared" si="91"/>
        <v>145.75649402520619</v>
      </c>
      <c r="AI377" s="89">
        <f t="shared" si="96"/>
        <v>6.0955496379471188E-2</v>
      </c>
      <c r="AJ377" s="67">
        <f t="shared" si="97"/>
        <v>188.76679398184601</v>
      </c>
    </row>
    <row r="378" spans="1:36" x14ac:dyDescent="0.3">
      <c r="A378" s="94">
        <v>2021</v>
      </c>
      <c r="B378" s="58">
        <v>28.8</v>
      </c>
      <c r="C378" s="8" t="s">
        <v>22</v>
      </c>
      <c r="D378" s="115" t="s">
        <v>25</v>
      </c>
      <c r="E378" s="105">
        <v>0.13</v>
      </c>
      <c r="F378" s="114" t="s">
        <v>1811</v>
      </c>
      <c r="G378" s="113" t="s">
        <v>1813</v>
      </c>
      <c r="H378" s="113" t="s">
        <v>1812</v>
      </c>
      <c r="I378" s="144" t="s">
        <v>2453</v>
      </c>
      <c r="J378" s="148" t="str">
        <f t="shared" si="80"/>
        <v>https://doi.org/10.1109/ISSCC42613.2021.9365856</v>
      </c>
      <c r="K378" s="32" t="s">
        <v>1809</v>
      </c>
      <c r="L378" s="40"/>
      <c r="M378" s="40"/>
      <c r="N378" s="40"/>
      <c r="P378" s="17">
        <v>0.01</v>
      </c>
      <c r="R378" s="63">
        <v>5000</v>
      </c>
      <c r="S378" s="60">
        <f>8*6.02+1.76</f>
        <v>49.919999999999995</v>
      </c>
      <c r="T378" s="60"/>
      <c r="U378" s="60"/>
      <c r="V378" s="60"/>
      <c r="W378" s="60"/>
      <c r="X378" s="29">
        <f t="shared" si="95"/>
        <v>49.919999999999995</v>
      </c>
      <c r="Y378" s="89">
        <v>1.4000000000000001E-7</v>
      </c>
      <c r="Z378" s="122">
        <f>AA378*AB378</f>
        <v>2000000</v>
      </c>
      <c r="AA378" s="110">
        <v>100</v>
      </c>
      <c r="AB378" s="89">
        <v>20000</v>
      </c>
      <c r="AC378" s="89" t="s">
        <v>2096</v>
      </c>
      <c r="AD378" s="65">
        <f t="shared" ref="AD378:AD394" si="98">IF(AB378&gt;0, Y378/AB378*1000000000000, 0)</f>
        <v>7.0000000000000009</v>
      </c>
      <c r="AE378" s="29" t="str">
        <f t="shared" si="81"/>
        <v/>
      </c>
      <c r="AF378" s="29">
        <f t="shared" si="79"/>
        <v>27.343750000000004</v>
      </c>
      <c r="AG378" s="54" t="str">
        <f t="shared" si="82"/>
        <v/>
      </c>
      <c r="AH378" s="54">
        <f t="shared" ref="AH378:AH390" si="99">IF($Y378&gt;0, $X378+10*LOG10($AB378/2/$Y378), 0)</f>
        <v>158.45871964321762</v>
      </c>
      <c r="AI378" s="89">
        <f t="shared" si="96"/>
        <v>1.3671875000000001E-3</v>
      </c>
      <c r="AJ378" s="67">
        <f t="shared" si="97"/>
        <v>201.46901959985743</v>
      </c>
    </row>
    <row r="379" spans="1:36" x14ac:dyDescent="0.3">
      <c r="A379" s="152">
        <v>2022</v>
      </c>
      <c r="B379" s="58">
        <v>6.1</v>
      </c>
      <c r="C379" s="3" t="s">
        <v>23</v>
      </c>
      <c r="D379" s="115" t="s">
        <v>592</v>
      </c>
      <c r="E379" s="105">
        <v>5.0000000000000001E-3</v>
      </c>
      <c r="F379" s="121" t="s">
        <v>1876</v>
      </c>
      <c r="G379" s="113" t="s">
        <v>1884</v>
      </c>
      <c r="H379" s="124" t="s">
        <v>1877</v>
      </c>
      <c r="I379" s="143" t="s">
        <v>2454</v>
      </c>
      <c r="J379" s="148" t="str">
        <f t="shared" si="80"/>
        <v>https://doi.org/10.1109/ISSCC42614.2022.9731794</v>
      </c>
      <c r="K379" s="32" t="s">
        <v>2605</v>
      </c>
      <c r="L379" s="40">
        <v>1.5</v>
      </c>
      <c r="M379" s="40">
        <v>0.9</v>
      </c>
      <c r="N379" s="40"/>
      <c r="R379" s="63">
        <v>10000000000</v>
      </c>
      <c r="S379" s="60">
        <f>4.5*6.02+1.76</f>
        <v>28.849999999999998</v>
      </c>
      <c r="T379" s="60"/>
      <c r="U379" s="60"/>
      <c r="V379" s="60"/>
      <c r="W379" s="60"/>
      <c r="X379" s="29">
        <f t="shared" ref="X379:X390" si="100">+IF(ISNUMBER($S379),$S379,MIN($V379,$T379,$U379,$W379))</f>
        <v>28.849999999999998</v>
      </c>
      <c r="Y379" s="89">
        <f>0.3152*(0.35+0.25)</f>
        <v>0.18911999999999998</v>
      </c>
      <c r="Z379" s="122">
        <v>112000000000</v>
      </c>
      <c r="AA379" s="110">
        <v>1</v>
      </c>
      <c r="AB379" s="89">
        <f t="shared" ref="AB379:AB384" si="101">Z379/AA379</f>
        <v>112000000000</v>
      </c>
      <c r="AC379" s="89"/>
      <c r="AD379" s="65">
        <f t="shared" si="98"/>
        <v>1.6885714285714284</v>
      </c>
      <c r="AE379" s="29" t="str">
        <f t="shared" si="81"/>
        <v/>
      </c>
      <c r="AF379" s="29">
        <f t="shared" si="79"/>
        <v>74.625019228794571</v>
      </c>
      <c r="AG379" s="54" t="str">
        <f t="shared" si="82"/>
        <v/>
      </c>
      <c r="AH379" s="54">
        <f t="shared" si="99"/>
        <v>143.56450567805038</v>
      </c>
      <c r="AI379" s="89">
        <f t="shared" ref="AI379:AI390" si="102">AF379/AB379</f>
        <v>6.6629481454280862E-10</v>
      </c>
      <c r="AJ379" s="67">
        <f t="shared" ref="AJ379:AJ390" si="103">AH379+10*LOG10(AB379)</f>
        <v>254.05668590475221</v>
      </c>
    </row>
    <row r="380" spans="1:36" ht="13.15" customHeight="1" x14ac:dyDescent="0.3">
      <c r="A380" s="115">
        <v>2022</v>
      </c>
      <c r="B380" s="58">
        <v>10.1</v>
      </c>
      <c r="C380" s="8" t="s">
        <v>23</v>
      </c>
      <c r="D380" s="115" t="s">
        <v>1861</v>
      </c>
      <c r="E380" s="105">
        <v>1.4E-2</v>
      </c>
      <c r="F380" s="114" t="s">
        <v>2093</v>
      </c>
      <c r="G380" s="113" t="s">
        <v>1885</v>
      </c>
      <c r="H380" s="113" t="s">
        <v>1848</v>
      </c>
      <c r="I380" s="144" t="s">
        <v>2455</v>
      </c>
      <c r="J380" s="148" t="str">
        <f t="shared" si="80"/>
        <v>https://doi.org/10.1109/ISSCC42614.2022.9731625</v>
      </c>
      <c r="K380" s="32" t="s">
        <v>1874</v>
      </c>
      <c r="L380" s="40">
        <v>0.8</v>
      </c>
      <c r="M380" s="40"/>
      <c r="N380" s="40"/>
      <c r="P380" s="123">
        <v>2.8500000000000001E-3</v>
      </c>
      <c r="Q380" s="87">
        <v>40.799999999999997</v>
      </c>
      <c r="R380" s="63">
        <v>2500000000</v>
      </c>
      <c r="S380" s="60">
        <v>40.799999999999997</v>
      </c>
      <c r="T380" s="60"/>
      <c r="U380" s="60"/>
      <c r="V380" s="60"/>
      <c r="W380" s="60">
        <v>53.12</v>
      </c>
      <c r="X380" s="29">
        <f t="shared" si="100"/>
        <v>40.799999999999997</v>
      </c>
      <c r="Y380" s="89">
        <v>7.4000000000000003E-3</v>
      </c>
      <c r="Z380" s="122">
        <v>5000000000</v>
      </c>
      <c r="AA380" s="110">
        <v>1</v>
      </c>
      <c r="AB380" s="122">
        <f t="shared" si="101"/>
        <v>5000000000</v>
      </c>
      <c r="AC380" s="122"/>
      <c r="AD380" s="65">
        <f t="shared" si="98"/>
        <v>1.4800000000000002</v>
      </c>
      <c r="AE380" s="29">
        <f t="shared" si="81"/>
        <v>16.522174018357699</v>
      </c>
      <c r="AF380" s="29">
        <f t="shared" si="79"/>
        <v>16.522174018357699</v>
      </c>
      <c r="AG380" s="54">
        <f t="shared" si="82"/>
        <v>156.08708288941062</v>
      </c>
      <c r="AH380" s="54">
        <f t="shared" si="99"/>
        <v>156.08708288941062</v>
      </c>
      <c r="AI380" s="89">
        <f t="shared" si="102"/>
        <v>3.3044348036715398E-9</v>
      </c>
      <c r="AJ380" s="67">
        <f t="shared" si="103"/>
        <v>253.07678293277081</v>
      </c>
    </row>
    <row r="381" spans="1:36" x14ac:dyDescent="0.3">
      <c r="A381" s="94">
        <v>2022</v>
      </c>
      <c r="B381" s="58">
        <v>10.199999999999999</v>
      </c>
      <c r="C381" s="8" t="s">
        <v>23</v>
      </c>
      <c r="D381" s="115" t="s">
        <v>745</v>
      </c>
      <c r="E381" s="105">
        <v>2.8000000000000001E-2</v>
      </c>
      <c r="F381" s="114" t="s">
        <v>1849</v>
      </c>
      <c r="G381" s="113" t="s">
        <v>1886</v>
      </c>
      <c r="H381" s="113" t="s">
        <v>1850</v>
      </c>
      <c r="I381" s="144" t="s">
        <v>2456</v>
      </c>
      <c r="J381" s="148" t="str">
        <f t="shared" si="80"/>
        <v>https://doi.org/10.1109/ISSCC42614.2022.9731546</v>
      </c>
      <c r="K381" s="32" t="s">
        <v>1050</v>
      </c>
      <c r="L381" s="40">
        <v>1.1000000000000001</v>
      </c>
      <c r="M381" s="40"/>
      <c r="N381" s="40"/>
      <c r="P381" s="17">
        <v>1.2999999999999999E-2</v>
      </c>
      <c r="Q381" s="87">
        <v>72.900000000000006</v>
      </c>
      <c r="R381" s="63">
        <v>64000000</v>
      </c>
      <c r="S381" s="60">
        <v>72.5</v>
      </c>
      <c r="T381" s="60"/>
      <c r="U381" s="60"/>
      <c r="V381" s="60"/>
      <c r="W381" s="60">
        <v>87.5</v>
      </c>
      <c r="X381" s="29">
        <f t="shared" si="100"/>
        <v>72.5</v>
      </c>
      <c r="Y381" s="89">
        <v>8.1999999999999998E-4</v>
      </c>
      <c r="Z381" s="122">
        <v>130000000</v>
      </c>
      <c r="AA381" s="110">
        <v>1</v>
      </c>
      <c r="AB381" s="122">
        <f t="shared" si="101"/>
        <v>130000000</v>
      </c>
      <c r="AC381" s="122"/>
      <c r="AD381" s="65">
        <f t="shared" si="98"/>
        <v>6.3076923076923075</v>
      </c>
      <c r="AE381" s="29">
        <f t="shared" si="81"/>
        <v>1.747897789154609</v>
      </c>
      <c r="AF381" s="29">
        <f t="shared" si="79"/>
        <v>1.8302820736232863</v>
      </c>
      <c r="AG381" s="54">
        <f t="shared" si="82"/>
        <v>181.89099504259138</v>
      </c>
      <c r="AH381" s="54">
        <f t="shared" si="99"/>
        <v>181.49099504259141</v>
      </c>
      <c r="AI381" s="89">
        <f t="shared" si="102"/>
        <v>1.4079092874025279E-8</v>
      </c>
      <c r="AJ381" s="67">
        <f t="shared" si="103"/>
        <v>262.63042856565977</v>
      </c>
    </row>
    <row r="382" spans="1:36" x14ac:dyDescent="0.3">
      <c r="A382" s="94">
        <v>2022</v>
      </c>
      <c r="B382" s="58">
        <v>10.3</v>
      </c>
      <c r="C382" s="8" t="s">
        <v>23</v>
      </c>
      <c r="D382" s="115" t="s">
        <v>745</v>
      </c>
      <c r="E382" s="105">
        <v>2.8000000000000001E-2</v>
      </c>
      <c r="F382" s="114" t="s">
        <v>1851</v>
      </c>
      <c r="G382" s="113" t="s">
        <v>1887</v>
      </c>
      <c r="H382" s="113" t="s">
        <v>1852</v>
      </c>
      <c r="I382" s="144" t="s">
        <v>2457</v>
      </c>
      <c r="J382" s="148" t="str">
        <f t="shared" si="80"/>
        <v>https://doi.org/10.1109/ISSCC42614.2022.9731599</v>
      </c>
      <c r="K382" s="32" t="s">
        <v>1050</v>
      </c>
      <c r="L382" s="40">
        <v>0.9</v>
      </c>
      <c r="M382" s="40"/>
      <c r="N382" s="40"/>
      <c r="O382" s="105">
        <v>0.128</v>
      </c>
      <c r="P382" s="17">
        <v>4.0000000000000001E-3</v>
      </c>
      <c r="Q382" s="87">
        <v>68.2</v>
      </c>
      <c r="R382" s="63">
        <v>99500000</v>
      </c>
      <c r="S382" s="60">
        <v>66.7</v>
      </c>
      <c r="T382" s="60"/>
      <c r="U382" s="60"/>
      <c r="V382" s="60"/>
      <c r="W382" s="60">
        <v>87.2</v>
      </c>
      <c r="X382" s="29">
        <f t="shared" si="100"/>
        <v>66.7</v>
      </c>
      <c r="Y382" s="89">
        <v>1.2999999999999999E-3</v>
      </c>
      <c r="Z382" s="122">
        <v>200000000</v>
      </c>
      <c r="AA382" s="110">
        <v>1</v>
      </c>
      <c r="AB382" s="122">
        <f t="shared" si="101"/>
        <v>200000000</v>
      </c>
      <c r="AC382" s="122"/>
      <c r="AD382" s="65">
        <f t="shared" si="98"/>
        <v>6.4999999999999991</v>
      </c>
      <c r="AE382" s="29">
        <f t="shared" si="81"/>
        <v>3.0944417231922743</v>
      </c>
      <c r="AF382" s="29">
        <f t="shared" si="79"/>
        <v>3.6778141735861087</v>
      </c>
      <c r="AG382" s="54">
        <f t="shared" si="82"/>
        <v>177.06056647693163</v>
      </c>
      <c r="AH382" s="54">
        <f t="shared" si="99"/>
        <v>175.56056647693163</v>
      </c>
      <c r="AI382" s="89">
        <f t="shared" si="102"/>
        <v>1.8389070867930543E-8</v>
      </c>
      <c r="AJ382" s="67">
        <f t="shared" si="103"/>
        <v>258.57086643357144</v>
      </c>
    </row>
    <row r="383" spans="1:36" x14ac:dyDescent="0.3">
      <c r="A383" s="94">
        <v>2022</v>
      </c>
      <c r="B383" s="58">
        <v>10.4</v>
      </c>
      <c r="C383" s="8" t="s">
        <v>23</v>
      </c>
      <c r="D383" s="115" t="s">
        <v>745</v>
      </c>
      <c r="E383" s="105">
        <v>2.1999999999999999E-2</v>
      </c>
      <c r="F383" s="114" t="s">
        <v>1853</v>
      </c>
      <c r="G383" s="113" t="s">
        <v>1888</v>
      </c>
      <c r="H383" s="113" t="s">
        <v>1854</v>
      </c>
      <c r="I383" s="144" t="s">
        <v>2458</v>
      </c>
      <c r="J383" s="148" t="str">
        <f t="shared" si="80"/>
        <v>https://doi.org/10.1109/ISSCC42614.2022.9731702</v>
      </c>
      <c r="K383" s="32" t="s">
        <v>1050</v>
      </c>
      <c r="L383" s="40">
        <v>0.8</v>
      </c>
      <c r="M383" s="40"/>
      <c r="N383" s="40"/>
      <c r="P383" s="17">
        <v>4.8000000000000001E-2</v>
      </c>
      <c r="Q383" s="87">
        <v>63.5</v>
      </c>
      <c r="R383" s="63">
        <v>129070000</v>
      </c>
      <c r="S383" s="60">
        <v>60.5</v>
      </c>
      <c r="T383" s="60"/>
      <c r="U383" s="60"/>
      <c r="V383" s="60"/>
      <c r="W383" s="60">
        <v>77</v>
      </c>
      <c r="X383" s="29">
        <f t="shared" si="100"/>
        <v>60.5</v>
      </c>
      <c r="Y383" s="89">
        <v>9.7000000000000005E-4</v>
      </c>
      <c r="Z383" s="122">
        <v>260000000</v>
      </c>
      <c r="AA383" s="110">
        <v>1</v>
      </c>
      <c r="AB383" s="122">
        <f t="shared" si="101"/>
        <v>260000000</v>
      </c>
      <c r="AC383" s="122"/>
      <c r="AD383" s="65">
        <f t="shared" si="98"/>
        <v>3.7307692307692313</v>
      </c>
      <c r="AE383" s="29">
        <f t="shared" si="81"/>
        <v>3.0513410827927339</v>
      </c>
      <c r="AF383" s="29">
        <f t="shared" si="79"/>
        <v>4.3102821941778817</v>
      </c>
      <c r="AG383" s="54">
        <f t="shared" si="82"/>
        <v>174.77171618040592</v>
      </c>
      <c r="AH383" s="54">
        <f t="shared" si="99"/>
        <v>171.77171618040592</v>
      </c>
      <c r="AI383" s="89">
        <f t="shared" si="102"/>
        <v>1.6578008439145698E-8</v>
      </c>
      <c r="AJ383" s="67">
        <f t="shared" si="103"/>
        <v>255.92144966011409</v>
      </c>
    </row>
    <row r="384" spans="1:36" x14ac:dyDescent="0.3">
      <c r="A384" s="94">
        <v>2022</v>
      </c>
      <c r="B384" s="58">
        <v>10.5</v>
      </c>
      <c r="C384" s="8" t="s">
        <v>23</v>
      </c>
      <c r="D384" s="115" t="s">
        <v>31</v>
      </c>
      <c r="E384" s="84">
        <v>0.18</v>
      </c>
      <c r="F384" s="114" t="s">
        <v>1855</v>
      </c>
      <c r="G384" s="113" t="s">
        <v>1889</v>
      </c>
      <c r="H384" s="113" t="s">
        <v>1856</v>
      </c>
      <c r="I384" s="144" t="s">
        <v>2459</v>
      </c>
      <c r="J384" s="148" t="str">
        <f t="shared" si="80"/>
        <v>https://doi.org/10.1109/ISSCC42614.2022.9731652</v>
      </c>
      <c r="K384" s="32" t="s">
        <v>1875</v>
      </c>
      <c r="L384" s="40"/>
      <c r="M384" s="40"/>
      <c r="N384" s="40"/>
      <c r="P384" s="88">
        <f>0.9*0.87</f>
        <v>0.78300000000000003</v>
      </c>
      <c r="Q384" s="87">
        <v>106</v>
      </c>
      <c r="R384" s="63">
        <v>100000</v>
      </c>
      <c r="S384" s="60">
        <v>105.3</v>
      </c>
      <c r="T384" s="60"/>
      <c r="U384" s="60">
        <v>106.3</v>
      </c>
      <c r="V384" s="60">
        <v>114</v>
      </c>
      <c r="W384" s="60"/>
      <c r="X384" s="29">
        <f t="shared" si="100"/>
        <v>105.3</v>
      </c>
      <c r="Y384" s="89">
        <v>8.5000000000000006E-3</v>
      </c>
      <c r="Z384" s="122">
        <v>2000000</v>
      </c>
      <c r="AA384" s="110">
        <v>1</v>
      </c>
      <c r="AB384" s="122">
        <f t="shared" si="101"/>
        <v>2000000</v>
      </c>
      <c r="AC384" s="122"/>
      <c r="AD384" s="65">
        <f t="shared" si="98"/>
        <v>4250</v>
      </c>
      <c r="AE384" s="29">
        <f t="shared" si="81"/>
        <v>26.053707715815015</v>
      </c>
      <c r="AF384" s="29">
        <f t="shared" si="79"/>
        <v>28.240541805275416</v>
      </c>
      <c r="AG384" s="54">
        <f t="shared" si="82"/>
        <v>186.70581074285707</v>
      </c>
      <c r="AH384" s="54">
        <f t="shared" si="99"/>
        <v>186.00581074285708</v>
      </c>
      <c r="AI384" s="89">
        <f t="shared" si="102"/>
        <v>1.4120270902637708E-5</v>
      </c>
      <c r="AJ384" s="67">
        <f t="shared" si="103"/>
        <v>249.01611069949689</v>
      </c>
    </row>
    <row r="385" spans="1:38" x14ac:dyDescent="0.3">
      <c r="A385" s="94">
        <v>2022</v>
      </c>
      <c r="B385" s="58">
        <v>10.6</v>
      </c>
      <c r="C385" s="8" t="s">
        <v>22</v>
      </c>
      <c r="D385" s="115" t="s">
        <v>1527</v>
      </c>
      <c r="E385" s="105">
        <v>5.5E-2</v>
      </c>
      <c r="F385" s="114" t="s">
        <v>1857</v>
      </c>
      <c r="G385" s="113" t="s">
        <v>1890</v>
      </c>
      <c r="H385" s="113" t="s">
        <v>1858</v>
      </c>
      <c r="I385" s="144" t="s">
        <v>2460</v>
      </c>
      <c r="J385" s="148" t="str">
        <f t="shared" si="80"/>
        <v>https://doi.org/10.1109/ISSCC42614.2022.9731631</v>
      </c>
      <c r="K385" s="32" t="s">
        <v>1050</v>
      </c>
      <c r="L385" s="40">
        <v>1</v>
      </c>
      <c r="M385" s="40"/>
      <c r="N385" s="40"/>
      <c r="O385" s="3">
        <v>4</v>
      </c>
      <c r="P385">
        <v>0.23</v>
      </c>
      <c r="R385" s="63">
        <f>1/0.00037/2</f>
        <v>1351.3513513513515</v>
      </c>
      <c r="S385" s="60"/>
      <c r="T385" s="60">
        <v>93</v>
      </c>
      <c r="U385" s="60"/>
      <c r="V385" s="60"/>
      <c r="W385" s="60"/>
      <c r="X385" s="29">
        <f t="shared" si="100"/>
        <v>93</v>
      </c>
      <c r="Y385" s="89">
        <v>4.9599999999999999E-6</v>
      </c>
      <c r="Z385" s="122">
        <f>AA385*AB385</f>
        <v>345945.94594594598</v>
      </c>
      <c r="AA385" s="110">
        <v>128</v>
      </c>
      <c r="AB385" s="122">
        <f>1/0.00037</f>
        <v>2702.7027027027029</v>
      </c>
      <c r="AC385" s="122"/>
      <c r="AD385" s="65">
        <f t="shared" si="98"/>
        <v>1835.1999999999998</v>
      </c>
      <c r="AE385" s="29" t="str">
        <f t="shared" si="81"/>
        <v/>
      </c>
      <c r="AF385" s="29">
        <f t="shared" si="79"/>
        <v>50.260728817247276</v>
      </c>
      <c r="AG385" s="54" t="str">
        <f t="shared" si="82"/>
        <v/>
      </c>
      <c r="AH385" s="54">
        <f t="shared" si="99"/>
        <v>177.35286603778826</v>
      </c>
      <c r="AI385" s="89">
        <f t="shared" si="102"/>
        <v>1.8596469662381491E-2</v>
      </c>
      <c r="AJ385" s="67">
        <f t="shared" si="103"/>
        <v>211.67084879711831</v>
      </c>
    </row>
    <row r="386" spans="1:38" x14ac:dyDescent="0.3">
      <c r="A386" s="94">
        <v>2022</v>
      </c>
      <c r="B386" s="58">
        <v>10.7</v>
      </c>
      <c r="C386" s="8" t="s">
        <v>22</v>
      </c>
      <c r="D386" s="115" t="s">
        <v>1527</v>
      </c>
      <c r="E386" s="105">
        <v>2.8000000000000001E-2</v>
      </c>
      <c r="F386" s="114" t="s">
        <v>1859</v>
      </c>
      <c r="G386" s="113" t="s">
        <v>1891</v>
      </c>
      <c r="H386" s="113" t="s">
        <v>1860</v>
      </c>
      <c r="I386" s="144" t="s">
        <v>2461</v>
      </c>
      <c r="J386" s="148" t="str">
        <f t="shared" si="80"/>
        <v>https://doi.org/10.1109/ISSCC42614.2022.9731742</v>
      </c>
      <c r="K386" s="32" t="s">
        <v>1050</v>
      </c>
      <c r="L386" s="40">
        <v>0.9</v>
      </c>
      <c r="M386" s="40"/>
      <c r="N386" s="40"/>
      <c r="O386" s="58">
        <f>132*0.0125</f>
        <v>1.6500000000000001</v>
      </c>
      <c r="P386">
        <v>1.4E-2</v>
      </c>
      <c r="Q386" s="87">
        <v>102.9</v>
      </c>
      <c r="R386" s="63">
        <v>9900</v>
      </c>
      <c r="S386" s="60">
        <v>103</v>
      </c>
      <c r="T386" s="60"/>
      <c r="U386" s="60"/>
      <c r="V386" s="60"/>
      <c r="W386" s="60">
        <v>113.9</v>
      </c>
      <c r="X386" s="29">
        <f t="shared" si="100"/>
        <v>103</v>
      </c>
      <c r="Y386" s="89">
        <v>4.6999999999999999E-4</v>
      </c>
      <c r="Z386" s="122">
        <f>AA386*AB386</f>
        <v>327680000</v>
      </c>
      <c r="AA386" s="110">
        <f>2^14</f>
        <v>16384</v>
      </c>
      <c r="AB386" s="122">
        <v>20000</v>
      </c>
      <c r="AC386" s="122"/>
      <c r="AD386" s="65">
        <f t="shared" si="98"/>
        <v>23500</v>
      </c>
      <c r="AE386" s="29">
        <f t="shared" si="81"/>
        <v>205.85618271128826</v>
      </c>
      <c r="AF386" s="29">
        <f t="shared" si="79"/>
        <v>203.49953299799301</v>
      </c>
      <c r="AG386" s="54">
        <f t="shared" si="82"/>
        <v>176.17902142064284</v>
      </c>
      <c r="AH386" s="54">
        <f t="shared" si="99"/>
        <v>176.27902142064283</v>
      </c>
      <c r="AI386" s="89">
        <f t="shared" si="102"/>
        <v>1.017497664989965E-2</v>
      </c>
      <c r="AJ386" s="67">
        <f t="shared" si="103"/>
        <v>219.28932137728265</v>
      </c>
    </row>
    <row r="387" spans="1:38" x14ac:dyDescent="0.3">
      <c r="A387" s="94">
        <v>2022</v>
      </c>
      <c r="B387" s="58">
        <v>25.1</v>
      </c>
      <c r="C387" s="8" t="s">
        <v>22</v>
      </c>
      <c r="D387" s="115" t="s">
        <v>782</v>
      </c>
      <c r="E387" s="105">
        <v>6.5000000000000002E-2</v>
      </c>
      <c r="F387" s="114" t="s">
        <v>1862</v>
      </c>
      <c r="G387" s="113" t="s">
        <v>1892</v>
      </c>
      <c r="H387" s="113" t="s">
        <v>1863</v>
      </c>
      <c r="I387" s="144" t="s">
        <v>2462</v>
      </c>
      <c r="J387" s="148" t="str">
        <f t="shared" ref="J387:J447" si="104">IF(I387&lt;&gt;"?", HYPERLINK(CONCATENATE("https://doi.org/",I387)), "")</f>
        <v>https://doi.org/10.1109/ISSCC42614.2022.9731549</v>
      </c>
      <c r="K387" s="32" t="s">
        <v>1050</v>
      </c>
      <c r="L387" s="40">
        <v>0.8</v>
      </c>
      <c r="M387" s="40"/>
      <c r="N387" s="40"/>
      <c r="P387">
        <v>0.1</v>
      </c>
      <c r="R387" s="63">
        <v>322</v>
      </c>
      <c r="S387" s="60">
        <v>92.1</v>
      </c>
      <c r="T387" s="60"/>
      <c r="U387" s="60">
        <v>92.1</v>
      </c>
      <c r="V387" s="60"/>
      <c r="W387" s="60">
        <v>123.2</v>
      </c>
      <c r="X387" s="29">
        <f t="shared" si="100"/>
        <v>92.1</v>
      </c>
      <c r="Y387" s="89">
        <v>4.4000000000000002E-6</v>
      </c>
      <c r="Z387" s="122">
        <v>400000</v>
      </c>
      <c r="AA387" s="110">
        <f t="shared" ref="AA387:AA392" si="105">Z387/AB387</f>
        <v>80</v>
      </c>
      <c r="AB387" s="122">
        <v>5000</v>
      </c>
      <c r="AC387" s="122"/>
      <c r="AD387" s="65">
        <f t="shared" si="98"/>
        <v>880.00000000000011</v>
      </c>
      <c r="AE387" s="29" t="str">
        <f t="shared" ref="AE387:AE447" si="106">IF(ISNUMBER($Q387), $AD387*1000/2^(($Q387-1.76)/6.02), "")</f>
        <v/>
      </c>
      <c r="AF387" s="29">
        <f t="shared" si="79"/>
        <v>26.732066811362451</v>
      </c>
      <c r="AG387" s="54" t="str">
        <f t="shared" ref="AG387:AG447" si="107">IF(ISNUMBER($Q387), $Q387+10*LOG10($AB387/2/$Y387), "")</f>
        <v/>
      </c>
      <c r="AH387" s="54">
        <f t="shared" si="99"/>
        <v>179.64487332185848</v>
      </c>
      <c r="AI387" s="89">
        <f t="shared" si="102"/>
        <v>5.3464133622724902E-3</v>
      </c>
      <c r="AJ387" s="67">
        <f t="shared" si="103"/>
        <v>216.63457336521867</v>
      </c>
    </row>
    <row r="388" spans="1:38" x14ac:dyDescent="0.3">
      <c r="A388" s="94">
        <v>2022</v>
      </c>
      <c r="B388" s="58">
        <v>25.2</v>
      </c>
      <c r="C388" s="8" t="s">
        <v>22</v>
      </c>
      <c r="D388" s="115" t="s">
        <v>1063</v>
      </c>
      <c r="E388" s="84">
        <v>5.5E-2</v>
      </c>
      <c r="F388" s="114" t="s">
        <v>1864</v>
      </c>
      <c r="G388" s="113" t="s">
        <v>1893</v>
      </c>
      <c r="H388" s="113" t="s">
        <v>1865</v>
      </c>
      <c r="I388" s="144" t="s">
        <v>2463</v>
      </c>
      <c r="J388" s="148" t="str">
        <f t="shared" si="104"/>
        <v>https://doi.org/10.1109/ISSCC42614.2022.9731544</v>
      </c>
      <c r="K388" s="32" t="s">
        <v>1050</v>
      </c>
      <c r="L388" s="40">
        <v>1.2</v>
      </c>
      <c r="M388" s="40"/>
      <c r="N388" s="40"/>
      <c r="O388" s="58">
        <v>0.88</v>
      </c>
      <c r="P388">
        <v>0.13600000000000001</v>
      </c>
      <c r="R388" s="63">
        <v>278.5</v>
      </c>
      <c r="S388" s="60">
        <v>94</v>
      </c>
      <c r="T388" s="60">
        <v>95.8</v>
      </c>
      <c r="U388" s="60">
        <v>96.9</v>
      </c>
      <c r="V388" s="60"/>
      <c r="W388" s="60">
        <v>99.8</v>
      </c>
      <c r="X388" s="29">
        <f t="shared" si="100"/>
        <v>94</v>
      </c>
      <c r="Y388" s="89">
        <v>2.8700000000000001E-6</v>
      </c>
      <c r="Z388" s="122">
        <v>25000</v>
      </c>
      <c r="AA388" s="110">
        <f t="shared" si="105"/>
        <v>12.5</v>
      </c>
      <c r="AB388" s="89">
        <v>2000</v>
      </c>
      <c r="AC388" s="89"/>
      <c r="AD388" s="65">
        <f t="shared" si="98"/>
        <v>1435</v>
      </c>
      <c r="AE388" s="29" t="str">
        <f t="shared" si="106"/>
        <v/>
      </c>
      <c r="AF388" s="29">
        <f t="shared" si="79"/>
        <v>35.026141654212928</v>
      </c>
      <c r="AG388" s="54" t="str">
        <f t="shared" si="107"/>
        <v/>
      </c>
      <c r="AH388" s="54">
        <f t="shared" si="99"/>
        <v>179.42118103266006</v>
      </c>
      <c r="AI388" s="89">
        <f t="shared" si="102"/>
        <v>1.7513070827106465E-2</v>
      </c>
      <c r="AJ388" s="67">
        <f t="shared" si="103"/>
        <v>212.43148098929987</v>
      </c>
    </row>
    <row r="389" spans="1:38" x14ac:dyDescent="0.3">
      <c r="A389" s="94">
        <v>2022</v>
      </c>
      <c r="B389" s="58">
        <v>25.3</v>
      </c>
      <c r="C389" s="8" t="s">
        <v>22</v>
      </c>
      <c r="D389" s="115" t="s">
        <v>1063</v>
      </c>
      <c r="E389" s="84">
        <v>0.18</v>
      </c>
      <c r="F389" s="114" t="s">
        <v>1866</v>
      </c>
      <c r="G389" s="113" t="s">
        <v>1894</v>
      </c>
      <c r="H389" s="113" t="s">
        <v>1867</v>
      </c>
      <c r="I389" s="144" t="s">
        <v>2464</v>
      </c>
      <c r="J389" s="148" t="str">
        <f t="shared" si="104"/>
        <v>https://doi.org/10.1109/ISSCC42614.2022.9731606</v>
      </c>
      <c r="K389" s="32" t="s">
        <v>1050</v>
      </c>
      <c r="L389" s="40">
        <v>1.8</v>
      </c>
      <c r="M389" s="40">
        <v>1.1000000000000001</v>
      </c>
      <c r="N389" s="40"/>
      <c r="O389" s="58">
        <v>7.3</v>
      </c>
      <c r="P389">
        <v>3.7499999999999999E-2</v>
      </c>
      <c r="R389" s="63">
        <v>3000</v>
      </c>
      <c r="S389" s="60">
        <v>105.4</v>
      </c>
      <c r="T389" s="60">
        <v>106.2</v>
      </c>
      <c r="U389" s="60">
        <v>108.8</v>
      </c>
      <c r="V389" s="60"/>
      <c r="W389" s="60"/>
      <c r="X389" s="29">
        <f t="shared" si="100"/>
        <v>105.4</v>
      </c>
      <c r="Y389" s="89">
        <v>2.0350000000000001E-4</v>
      </c>
      <c r="Z389" s="122">
        <v>5800000</v>
      </c>
      <c r="AA389" s="110">
        <f t="shared" si="105"/>
        <v>145</v>
      </c>
      <c r="AB389" s="89">
        <v>40000</v>
      </c>
      <c r="AC389" s="89"/>
      <c r="AD389" s="65">
        <f t="shared" si="98"/>
        <v>5087.5</v>
      </c>
      <c r="AE389" s="29" t="str">
        <f t="shared" si="106"/>
        <v/>
      </c>
      <c r="AF389" s="29">
        <f t="shared" si="79"/>
        <v>33.418582022108517</v>
      </c>
      <c r="AG389" s="54" t="str">
        <f t="shared" si="107"/>
        <v/>
      </c>
      <c r="AH389" s="54">
        <f t="shared" si="99"/>
        <v>185.32465582102742</v>
      </c>
      <c r="AI389" s="89">
        <f t="shared" si="102"/>
        <v>8.3546455055271297E-4</v>
      </c>
      <c r="AJ389" s="67">
        <f t="shared" si="103"/>
        <v>231.34525573430705</v>
      </c>
    </row>
    <row r="390" spans="1:38" x14ac:dyDescent="0.3">
      <c r="A390" s="94">
        <v>2022</v>
      </c>
      <c r="B390" s="58">
        <v>25.4</v>
      </c>
      <c r="C390" s="8" t="s">
        <v>22</v>
      </c>
      <c r="D390" s="115" t="s">
        <v>30</v>
      </c>
      <c r="E390" s="84">
        <v>0.04</v>
      </c>
      <c r="F390" s="114" t="s">
        <v>1868</v>
      </c>
      <c r="G390" s="113" t="s">
        <v>1895</v>
      </c>
      <c r="H390" s="113" t="s">
        <v>1869</v>
      </c>
      <c r="I390" s="144" t="s">
        <v>2465</v>
      </c>
      <c r="J390" s="148" t="str">
        <f t="shared" si="104"/>
        <v>https://doi.org/10.1109/ISSCC42614.2022.9731789</v>
      </c>
      <c r="K390" s="32" t="s">
        <v>1050</v>
      </c>
      <c r="L390" s="40">
        <v>1.8</v>
      </c>
      <c r="M390" s="40">
        <v>1.1000000000000001</v>
      </c>
      <c r="N390" s="40">
        <v>1</v>
      </c>
      <c r="P390">
        <v>0.21</v>
      </c>
      <c r="R390" s="63">
        <v>115000000</v>
      </c>
      <c r="S390" s="60">
        <v>65</v>
      </c>
      <c r="T390" s="60">
        <v>65</v>
      </c>
      <c r="U390" s="60">
        <v>68</v>
      </c>
      <c r="V390" s="60">
        <v>78</v>
      </c>
      <c r="W390" s="60"/>
      <c r="X390" s="29">
        <f t="shared" si="100"/>
        <v>65</v>
      </c>
      <c r="Y390" s="89">
        <v>0.158</v>
      </c>
      <c r="Z390" s="122">
        <v>5000000000</v>
      </c>
      <c r="AA390" s="110">
        <f t="shared" si="105"/>
        <v>6.9444444444444446</v>
      </c>
      <c r="AB390" s="89">
        <f>720000000</f>
        <v>720000000</v>
      </c>
      <c r="AC390" s="89"/>
      <c r="AD390" s="65">
        <f t="shared" si="98"/>
        <v>219.44444444444446</v>
      </c>
      <c r="AE390" s="29" t="str">
        <f t="shared" si="106"/>
        <v/>
      </c>
      <c r="AF390" s="29">
        <f t="shared" si="79"/>
        <v>151.01131401681326</v>
      </c>
      <c r="AG390" s="54" t="str">
        <f t="shared" si="107"/>
        <v/>
      </c>
      <c r="AH390" s="54">
        <f t="shared" si="99"/>
        <v>158.57645413812864</v>
      </c>
      <c r="AI390" s="89">
        <f t="shared" si="102"/>
        <v>2.0973793613446286E-7</v>
      </c>
      <c r="AJ390" s="67">
        <f t="shared" si="103"/>
        <v>247.14977910244133</v>
      </c>
    </row>
    <row r="391" spans="1:38" x14ac:dyDescent="0.3">
      <c r="A391" s="94">
        <v>2022</v>
      </c>
      <c r="B391" s="58">
        <v>25.5</v>
      </c>
      <c r="C391" s="8" t="s">
        <v>22</v>
      </c>
      <c r="D391" s="115" t="s">
        <v>30</v>
      </c>
      <c r="E391" s="105">
        <v>2.8000000000000001E-2</v>
      </c>
      <c r="F391" s="114" t="s">
        <v>1870</v>
      </c>
      <c r="G391" s="113" t="s">
        <v>1896</v>
      </c>
      <c r="H391" s="113" t="s">
        <v>1871</v>
      </c>
      <c r="I391" s="144" t="s">
        <v>2466</v>
      </c>
      <c r="J391" s="148" t="str">
        <f t="shared" si="104"/>
        <v>https://doi.org/10.1109/ISSCC42614.2022.9731602</v>
      </c>
      <c r="K391" s="32" t="s">
        <v>2719</v>
      </c>
      <c r="L391" s="40">
        <v>1.5</v>
      </c>
      <c r="M391" s="40">
        <v>0.9</v>
      </c>
      <c r="N391" s="40"/>
      <c r="P391">
        <v>0.13</v>
      </c>
      <c r="R391" s="63">
        <v>38800000</v>
      </c>
      <c r="S391" s="60"/>
      <c r="T391" s="60"/>
      <c r="U391" s="60"/>
      <c r="V391" s="60">
        <v>101</v>
      </c>
      <c r="W391" s="60"/>
      <c r="X391" s="29">
        <v>1</v>
      </c>
      <c r="Y391" s="89">
        <v>0.10879999999999999</v>
      </c>
      <c r="Z391" s="122">
        <v>6000000000</v>
      </c>
      <c r="AA391" s="110">
        <f t="shared" si="105"/>
        <v>25</v>
      </c>
      <c r="AB391" s="89">
        <v>240000000</v>
      </c>
      <c r="AC391" s="89"/>
      <c r="AD391" s="65">
        <f t="shared" si="98"/>
        <v>453.33333333333331</v>
      </c>
      <c r="AE391" s="29" t="str">
        <f t="shared" si="106"/>
        <v/>
      </c>
      <c r="AF391" s="111">
        <v>10000000000</v>
      </c>
      <c r="AG391" s="54" t="str">
        <f t="shared" si="107"/>
        <v/>
      </c>
      <c r="AH391" s="54">
        <v>1</v>
      </c>
      <c r="AI391" s="89"/>
      <c r="AJ391" s="67"/>
    </row>
    <row r="392" spans="1:38" x14ac:dyDescent="0.3">
      <c r="A392" s="94">
        <v>2022</v>
      </c>
      <c r="B392" s="58">
        <v>25.6</v>
      </c>
      <c r="C392" s="8" t="s">
        <v>22</v>
      </c>
      <c r="D392" s="115" t="s">
        <v>31</v>
      </c>
      <c r="E392" s="105">
        <v>6.5000000000000002E-2</v>
      </c>
      <c r="F392" s="114" t="s">
        <v>1872</v>
      </c>
      <c r="G392" s="113" t="s">
        <v>1897</v>
      </c>
      <c r="H392" s="113" t="s">
        <v>1873</v>
      </c>
      <c r="I392" s="144" t="s">
        <v>2467</v>
      </c>
      <c r="J392" s="148" t="str">
        <f t="shared" si="104"/>
        <v>https://doi.org/10.1109/ISSCC42614.2022.9731771</v>
      </c>
      <c r="K392" s="32" t="s">
        <v>2604</v>
      </c>
      <c r="L392" s="40">
        <v>2</v>
      </c>
      <c r="M392" s="40">
        <v>1.2</v>
      </c>
      <c r="N392" s="40"/>
      <c r="P392">
        <v>7.4999999999999997E-2</v>
      </c>
      <c r="R392" s="63">
        <v>50000</v>
      </c>
      <c r="S392" s="60">
        <v>84.1</v>
      </c>
      <c r="T392" s="60"/>
      <c r="U392" s="60">
        <v>84.9</v>
      </c>
      <c r="V392" s="60"/>
      <c r="W392" s="60">
        <v>97</v>
      </c>
      <c r="X392" s="29">
        <f t="shared" ref="X392:X447" si="108">+IF(ISNUMBER($S392),$S392,MIN($V392,$T392,$U392,$W392))</f>
        <v>84.1</v>
      </c>
      <c r="Y392" s="89">
        <v>1.338E-4</v>
      </c>
      <c r="Z392" s="122">
        <v>5000000</v>
      </c>
      <c r="AA392" s="109">
        <f t="shared" si="105"/>
        <v>5</v>
      </c>
      <c r="AB392" s="89">
        <v>1000000</v>
      </c>
      <c r="AC392" s="89"/>
      <c r="AD392" s="65">
        <f t="shared" si="98"/>
        <v>133.79999999999998</v>
      </c>
      <c r="AE392" s="29" t="str">
        <f t="shared" si="106"/>
        <v/>
      </c>
      <c r="AF392" s="29">
        <f t="shared" ref="AF392:AF447" si="109">$AD392*1000/2^(($X392-1.76)/6.02)</f>
        <v>10.210472512743227</v>
      </c>
      <c r="AG392" s="54" t="str">
        <f t="shared" si="107"/>
        <v/>
      </c>
      <c r="AH392" s="54">
        <f t="shared" ref="AH392:AH447" si="110">IF($Y392&gt;0, $X392+10*LOG10($AB392/2/$Y392), 0)</f>
        <v>179.82513890904215</v>
      </c>
      <c r="AI392" s="89">
        <f t="shared" ref="AI392:AI409" si="111">AF392/AB392</f>
        <v>1.0210472512743228E-5</v>
      </c>
      <c r="AJ392" s="67">
        <f t="shared" ref="AJ392:AJ409" si="112">AH392+10*LOG10(AB392)</f>
        <v>239.82513890904215</v>
      </c>
      <c r="AL392" s="48"/>
    </row>
    <row r="393" spans="1:38" x14ac:dyDescent="0.3">
      <c r="A393" s="94">
        <v>2022</v>
      </c>
      <c r="B393" s="58">
        <v>32.200000000000003</v>
      </c>
      <c r="C393" s="8" t="s">
        <v>23</v>
      </c>
      <c r="D393" s="115" t="s">
        <v>1878</v>
      </c>
      <c r="E393" s="84">
        <v>0.18</v>
      </c>
      <c r="F393" s="114" t="s">
        <v>1879</v>
      </c>
      <c r="G393" s="113" t="s">
        <v>1898</v>
      </c>
      <c r="H393" s="113" t="s">
        <v>1880</v>
      </c>
      <c r="I393" s="144" t="s">
        <v>2468</v>
      </c>
      <c r="J393" s="148" t="str">
        <f t="shared" si="104"/>
        <v>https://doi.org/10.1109/ISSCC42614.2022.9731597</v>
      </c>
      <c r="K393" s="32" t="s">
        <v>1050</v>
      </c>
      <c r="L393" s="40"/>
      <c r="M393" s="40"/>
      <c r="N393" s="40"/>
      <c r="P393" s="17">
        <v>0.01</v>
      </c>
      <c r="R393" s="63">
        <f>10000000</f>
        <v>10000000</v>
      </c>
      <c r="S393" s="60"/>
      <c r="T393" s="60">
        <v>52.3</v>
      </c>
      <c r="U393" s="60"/>
      <c r="V393" s="60"/>
      <c r="W393" s="60"/>
      <c r="X393" s="29">
        <f t="shared" si="108"/>
        <v>52.3</v>
      </c>
      <c r="Y393" s="89">
        <v>8.1999999999999998E-4</v>
      </c>
      <c r="Z393" s="122">
        <v>24000000</v>
      </c>
      <c r="AA393" s="110">
        <v>1</v>
      </c>
      <c r="AB393" s="89">
        <f t="shared" ref="AB393:AB399" si="113">Z393/AA393</f>
        <v>24000000</v>
      </c>
      <c r="AC393" s="89"/>
      <c r="AD393" s="65">
        <f t="shared" si="98"/>
        <v>34.166666666666664</v>
      </c>
      <c r="AE393" s="29" t="str">
        <f t="shared" si="106"/>
        <v/>
      </c>
      <c r="AF393" s="29">
        <f t="shared" si="109"/>
        <v>101.4730669032936</v>
      </c>
      <c r="AG393" s="54" t="str">
        <f t="shared" si="107"/>
        <v/>
      </c>
      <c r="AH393" s="54">
        <f t="shared" si="110"/>
        <v>153.95367393663906</v>
      </c>
      <c r="AI393" s="89">
        <f t="shared" si="111"/>
        <v>4.2280444543038999E-6</v>
      </c>
      <c r="AJ393" s="67">
        <f t="shared" si="112"/>
        <v>227.75578635375513</v>
      </c>
      <c r="AL393" s="48"/>
    </row>
    <row r="394" spans="1:38" x14ac:dyDescent="0.3">
      <c r="A394" s="94">
        <v>2022</v>
      </c>
      <c r="B394" s="58">
        <v>32.5</v>
      </c>
      <c r="C394" s="8" t="s">
        <v>22</v>
      </c>
      <c r="D394" s="115" t="s">
        <v>30</v>
      </c>
      <c r="E394" s="84">
        <v>0.04</v>
      </c>
      <c r="F394" s="114" t="s">
        <v>1882</v>
      </c>
      <c r="G394" s="113" t="s">
        <v>1899</v>
      </c>
      <c r="H394" s="113" t="s">
        <v>1883</v>
      </c>
      <c r="I394" s="144" t="s">
        <v>2241</v>
      </c>
      <c r="J394" s="148" t="str">
        <f t="shared" si="104"/>
        <v>https://doi.org/10.1109/ISSCC42614.2022.9731571</v>
      </c>
      <c r="K394" s="32" t="s">
        <v>1881</v>
      </c>
      <c r="L394" s="40">
        <v>1</v>
      </c>
      <c r="M394" s="40">
        <v>0.7</v>
      </c>
      <c r="N394" s="40"/>
      <c r="P394" s="88">
        <f>0.18*0.45</f>
        <v>8.1000000000000003E-2</v>
      </c>
      <c r="R394" s="63">
        <v>8000</v>
      </c>
      <c r="S394" s="60">
        <v>80</v>
      </c>
      <c r="T394" s="60"/>
      <c r="U394" s="60"/>
      <c r="V394" s="60"/>
      <c r="W394" s="60"/>
      <c r="X394" s="29">
        <f t="shared" si="108"/>
        <v>80</v>
      </c>
      <c r="Y394" s="89">
        <v>1.2E-5</v>
      </c>
      <c r="Z394" s="122">
        <v>384000</v>
      </c>
      <c r="AA394" s="110">
        <v>24</v>
      </c>
      <c r="AB394" s="89">
        <f t="shared" si="113"/>
        <v>16000</v>
      </c>
      <c r="AC394" s="89"/>
      <c r="AD394" s="65">
        <f t="shared" si="98"/>
        <v>750</v>
      </c>
      <c r="AE394" s="29" t="str">
        <f t="shared" si="106"/>
        <v/>
      </c>
      <c r="AF394" s="29">
        <f t="shared" si="109"/>
        <v>91.763806280570819</v>
      </c>
      <c r="AG394" s="54" t="str">
        <f t="shared" si="107"/>
        <v/>
      </c>
      <c r="AH394" s="54">
        <f t="shared" si="110"/>
        <v>168.23908740944319</v>
      </c>
      <c r="AI394" s="89">
        <f t="shared" si="111"/>
        <v>5.7352378925356762E-3</v>
      </c>
      <c r="AJ394" s="67">
        <f t="shared" si="112"/>
        <v>210.28028723600244</v>
      </c>
      <c r="AL394" s="48"/>
    </row>
    <row r="395" spans="1:38" x14ac:dyDescent="0.3">
      <c r="A395" s="152">
        <v>2023</v>
      </c>
      <c r="B395" s="8">
        <v>10.1</v>
      </c>
      <c r="C395" s="8" t="s">
        <v>23</v>
      </c>
      <c r="D395" s="115" t="s">
        <v>260</v>
      </c>
      <c r="E395" s="151">
        <v>7.0000000000000001E-3</v>
      </c>
      <c r="F395" s="131" t="s">
        <v>2728</v>
      </c>
      <c r="G395" s="113" t="s">
        <v>2758</v>
      </c>
      <c r="H395" s="119" t="s">
        <v>2729</v>
      </c>
      <c r="I395" s="144" t="s">
        <v>2752</v>
      </c>
      <c r="J395" s="148" t="str">
        <f t="shared" si="104"/>
        <v>https://doi.org/10.1109/ISSCC42615.2023.10067258</v>
      </c>
      <c r="K395" s="32" t="s">
        <v>2994</v>
      </c>
      <c r="L395" s="48">
        <v>1</v>
      </c>
      <c r="M395" s="48"/>
      <c r="N395" s="48"/>
      <c r="O395" s="8">
        <v>1.08</v>
      </c>
      <c r="P395" s="17">
        <v>2.4299999999999999E-2</v>
      </c>
      <c r="Q395" s="40">
        <v>61.48</v>
      </c>
      <c r="R395" s="33">
        <v>896480000</v>
      </c>
      <c r="S395" s="40">
        <v>60.16</v>
      </c>
      <c r="T395" s="6"/>
      <c r="U395" s="40"/>
      <c r="V395" s="8"/>
      <c r="W395" s="8">
        <v>69.2</v>
      </c>
      <c r="X395" s="29">
        <f t="shared" si="108"/>
        <v>60.16</v>
      </c>
      <c r="Y395" s="33">
        <v>7.5500000000000003E-3</v>
      </c>
      <c r="Z395" s="155">
        <v>1800000000</v>
      </c>
      <c r="AA395" s="110">
        <v>1</v>
      </c>
      <c r="AB395" s="33">
        <f t="shared" si="113"/>
        <v>1800000000</v>
      </c>
      <c r="AC395" s="89"/>
      <c r="AD395" s="65">
        <f t="shared" ref="AD395:AD409" si="114">IF(AB395&gt;0, Y395/AB395*1000000000000, 0)</f>
        <v>4.1944444444444446</v>
      </c>
      <c r="AE395" s="29">
        <f t="shared" si="106"/>
        <v>4.3288933025566019</v>
      </c>
      <c r="AF395" s="29">
        <f t="shared" si="109"/>
        <v>5.0394536908900323</v>
      </c>
      <c r="AG395" s="54">
        <f t="shared" si="107"/>
        <v>172.24295557810134</v>
      </c>
      <c r="AH395" s="54">
        <f t="shared" si="110"/>
        <v>170.92295557810135</v>
      </c>
      <c r="AI395" s="89">
        <f t="shared" si="111"/>
        <v>2.7996964949389069E-9</v>
      </c>
      <c r="AJ395" s="67">
        <f t="shared" si="112"/>
        <v>263.47568062913444</v>
      </c>
      <c r="AL395" s="48"/>
    </row>
    <row r="396" spans="1:38" x14ac:dyDescent="0.3">
      <c r="A396" s="94">
        <v>2023</v>
      </c>
      <c r="B396" s="8">
        <v>10.199999999999999</v>
      </c>
      <c r="C396" s="8" t="s">
        <v>23</v>
      </c>
      <c r="D396" s="115" t="s">
        <v>2776</v>
      </c>
      <c r="E396" s="151">
        <v>2.8000000000000001E-2</v>
      </c>
      <c r="F396" s="131" t="s">
        <v>2738</v>
      </c>
      <c r="G396" s="113" t="s">
        <v>2761</v>
      </c>
      <c r="H396" s="119" t="s">
        <v>2739</v>
      </c>
      <c r="I396" s="144" t="s">
        <v>2762</v>
      </c>
      <c r="J396" s="148" t="str">
        <f t="shared" si="104"/>
        <v>https://doi.org/10.1109/ISSCC42615.2023.10067822</v>
      </c>
      <c r="K396" s="32" t="s">
        <v>1050</v>
      </c>
      <c r="L396" s="48">
        <v>0.9</v>
      </c>
      <c r="M396" s="48"/>
      <c r="N396" s="48"/>
      <c r="O396" s="8">
        <v>0.2</v>
      </c>
      <c r="P396" s="17">
        <v>5.8999999999999999E-3</v>
      </c>
      <c r="Q396" s="40">
        <v>52.1</v>
      </c>
      <c r="R396" s="33">
        <v>1300000000</v>
      </c>
      <c r="S396" s="40">
        <v>51.4</v>
      </c>
      <c r="T396" s="6"/>
      <c r="U396" s="40"/>
      <c r="V396" s="8"/>
      <c r="W396" s="40">
        <v>71</v>
      </c>
      <c r="X396" s="29">
        <f t="shared" si="108"/>
        <v>51.4</v>
      </c>
      <c r="Y396" s="33">
        <v>1.3899999999999999E-2</v>
      </c>
      <c r="Z396" s="155">
        <v>2600000000</v>
      </c>
      <c r="AA396" s="110">
        <v>1</v>
      </c>
      <c r="AB396" s="33">
        <f t="shared" si="113"/>
        <v>2600000000</v>
      </c>
      <c r="AC396" s="89"/>
      <c r="AD396" s="65">
        <f t="shared" si="114"/>
        <v>5.3461538461538458</v>
      </c>
      <c r="AE396" s="29">
        <f t="shared" si="106"/>
        <v>16.247652605517846</v>
      </c>
      <c r="AF396" s="29">
        <f t="shared" si="109"/>
        <v>17.611409387432179</v>
      </c>
      <c r="AG396" s="54">
        <f t="shared" si="107"/>
        <v>161.80928552052742</v>
      </c>
      <c r="AH396" s="54">
        <f t="shared" si="110"/>
        <v>161.10928552052741</v>
      </c>
      <c r="AI396" s="89">
        <f t="shared" si="111"/>
        <v>6.773618995166223E-9</v>
      </c>
      <c r="AJ396" s="67">
        <f t="shared" si="112"/>
        <v>255.25901900023558</v>
      </c>
      <c r="AL396" s="48"/>
    </row>
    <row r="397" spans="1:38" x14ac:dyDescent="0.3">
      <c r="A397" s="94">
        <v>2023</v>
      </c>
      <c r="B397" s="8">
        <v>10.3</v>
      </c>
      <c r="C397" s="8" t="s">
        <v>23</v>
      </c>
      <c r="D397" s="115" t="s">
        <v>2776</v>
      </c>
      <c r="E397" s="151">
        <v>2.8000000000000001E-2</v>
      </c>
      <c r="F397" s="131" t="s">
        <v>2730</v>
      </c>
      <c r="G397" s="113" t="s">
        <v>2759</v>
      </c>
      <c r="H397" s="119" t="s">
        <v>2748</v>
      </c>
      <c r="I397" s="144" t="s">
        <v>2749</v>
      </c>
      <c r="J397" s="148" t="str">
        <f t="shared" si="104"/>
        <v>https://doi.org/10.1109/ISSCC42615.2023.10067687</v>
      </c>
      <c r="K397" s="32" t="s">
        <v>1050</v>
      </c>
      <c r="L397" s="48">
        <v>1</v>
      </c>
      <c r="M397" s="48"/>
      <c r="N397" s="48"/>
      <c r="O397" s="8">
        <v>0.54</v>
      </c>
      <c r="P397" s="17">
        <v>3.3750000000000002E-2</v>
      </c>
      <c r="Q397" s="40">
        <v>61.5</v>
      </c>
      <c r="R397" s="33">
        <v>991500000</v>
      </c>
      <c r="S397" s="40">
        <v>60.4</v>
      </c>
      <c r="T397" s="40">
        <v>60.8</v>
      </c>
      <c r="U397" s="40">
        <v>62.1</v>
      </c>
      <c r="V397" s="8"/>
      <c r="W397" s="8">
        <v>75.8</v>
      </c>
      <c r="X397" s="29">
        <f t="shared" si="108"/>
        <v>60.4</v>
      </c>
      <c r="Y397" s="33">
        <v>2.7E-2</v>
      </c>
      <c r="Z397" s="155">
        <v>2000000000</v>
      </c>
      <c r="AA397" s="110">
        <v>1</v>
      </c>
      <c r="AB397" s="33">
        <f t="shared" si="113"/>
        <v>2000000000</v>
      </c>
      <c r="AC397" s="89"/>
      <c r="AD397" s="65">
        <f t="shared" si="114"/>
        <v>13.5</v>
      </c>
      <c r="AE397" s="29">
        <f t="shared" si="106"/>
        <v>13.900681859228163</v>
      </c>
      <c r="AF397" s="29">
        <f t="shared" si="109"/>
        <v>15.777623372841205</v>
      </c>
      <c r="AG397" s="54">
        <f t="shared" si="107"/>
        <v>167.18636235841012</v>
      </c>
      <c r="AH397" s="54">
        <f t="shared" si="110"/>
        <v>166.08636235841013</v>
      </c>
      <c r="AI397" s="89">
        <f t="shared" si="111"/>
        <v>7.8888116864206026E-9</v>
      </c>
      <c r="AJ397" s="67">
        <f t="shared" si="112"/>
        <v>259.09666231504991</v>
      </c>
      <c r="AL397" s="48"/>
    </row>
    <row r="398" spans="1:38" x14ac:dyDescent="0.3">
      <c r="A398" s="94">
        <v>2023</v>
      </c>
      <c r="B398" s="8">
        <v>10.4</v>
      </c>
      <c r="C398" s="8" t="s">
        <v>23</v>
      </c>
      <c r="D398" s="115" t="s">
        <v>745</v>
      </c>
      <c r="E398" s="48">
        <v>0.18</v>
      </c>
      <c r="F398" s="131" t="s">
        <v>2726</v>
      </c>
      <c r="G398" s="113" t="s">
        <v>2757</v>
      </c>
      <c r="H398" s="119" t="s">
        <v>2727</v>
      </c>
      <c r="I398" s="144" t="s">
        <v>2751</v>
      </c>
      <c r="J398" s="148" t="str">
        <f t="shared" si="104"/>
        <v>https://doi.org/10.1109/ISSCC42615.2023.10067703</v>
      </c>
      <c r="K398" s="32" t="s">
        <v>2995</v>
      </c>
      <c r="L398" s="48">
        <v>3.3</v>
      </c>
      <c r="M398" s="48">
        <v>1.8</v>
      </c>
      <c r="N398" s="48"/>
      <c r="O398" s="8">
        <v>17</v>
      </c>
      <c r="P398" s="17">
        <v>0.6</v>
      </c>
      <c r="Q398" s="40"/>
      <c r="R398" s="33">
        <v>4040000</v>
      </c>
      <c r="S398" s="40">
        <v>91.3</v>
      </c>
      <c r="T398" s="40"/>
      <c r="U398" s="40">
        <v>94.1</v>
      </c>
      <c r="V398" s="8"/>
      <c r="W398" s="8">
        <v>100.3</v>
      </c>
      <c r="X398" s="29">
        <f t="shared" si="108"/>
        <v>91.3</v>
      </c>
      <c r="Y398" s="33">
        <v>9.4299999999999991E-3</v>
      </c>
      <c r="Z398" s="155">
        <v>12000000</v>
      </c>
      <c r="AA398" s="110">
        <v>1</v>
      </c>
      <c r="AB398" s="33">
        <f t="shared" si="113"/>
        <v>12000000</v>
      </c>
      <c r="AC398" s="89"/>
      <c r="AD398" s="65">
        <f t="shared" si="114"/>
        <v>785.83333333333326</v>
      </c>
      <c r="AE398" s="29" t="str">
        <f t="shared" si="106"/>
        <v/>
      </c>
      <c r="AF398" s="29">
        <f t="shared" si="109"/>
        <v>26.174855846645691</v>
      </c>
      <c r="AG398" s="54" t="str">
        <f t="shared" si="107"/>
        <v/>
      </c>
      <c r="AH398" s="54">
        <f t="shared" si="110"/>
        <v>179.33639557646313</v>
      </c>
      <c r="AI398" s="89">
        <f t="shared" si="111"/>
        <v>2.1812379872204744E-6</v>
      </c>
      <c r="AJ398" s="67">
        <f t="shared" si="112"/>
        <v>250.12820803693938</v>
      </c>
      <c r="AL398" s="48"/>
    </row>
    <row r="399" spans="1:38" x14ac:dyDescent="0.3">
      <c r="A399" s="94">
        <v>2023</v>
      </c>
      <c r="B399" s="8">
        <v>10.5</v>
      </c>
      <c r="C399" s="8" t="s">
        <v>22</v>
      </c>
      <c r="D399" s="115" t="s">
        <v>745</v>
      </c>
      <c r="E399" s="151">
        <v>2.8000000000000001E-2</v>
      </c>
      <c r="F399" s="131" t="s">
        <v>2724</v>
      </c>
      <c r="G399" s="113" t="s">
        <v>2755</v>
      </c>
      <c r="H399" s="119" t="s">
        <v>2750</v>
      </c>
      <c r="I399" s="144" t="s">
        <v>2747</v>
      </c>
      <c r="J399" s="148" t="str">
        <f t="shared" si="104"/>
        <v>https://doi.org/10.1109/ISSCC42615.2023.10067438</v>
      </c>
      <c r="K399" s="32" t="s">
        <v>1050</v>
      </c>
      <c r="L399" s="48">
        <v>1</v>
      </c>
      <c r="M399" s="48"/>
      <c r="N399" s="48"/>
      <c r="O399" s="8">
        <v>2.0720000000000001</v>
      </c>
      <c r="P399" s="17">
        <v>0.05</v>
      </c>
      <c r="Q399" s="40"/>
      <c r="R399" s="33">
        <v>3500000</v>
      </c>
      <c r="S399" s="40">
        <v>77.2</v>
      </c>
      <c r="T399" s="40"/>
      <c r="U399" s="40">
        <v>77.8</v>
      </c>
      <c r="V399" s="8"/>
      <c r="W399" s="8">
        <v>94.7</v>
      </c>
      <c r="X399" s="29">
        <f t="shared" si="108"/>
        <v>77.2</v>
      </c>
      <c r="Y399" s="33">
        <v>2.0300000000000001E-3</v>
      </c>
      <c r="Z399" s="155">
        <v>400000000</v>
      </c>
      <c r="AA399" s="110">
        <v>8</v>
      </c>
      <c r="AB399" s="33">
        <f t="shared" si="113"/>
        <v>50000000</v>
      </c>
      <c r="AC399" s="89"/>
      <c r="AD399" s="65">
        <f t="shared" si="114"/>
        <v>40.6</v>
      </c>
      <c r="AE399" s="29" t="str">
        <f t="shared" si="106"/>
        <v/>
      </c>
      <c r="AF399" s="29">
        <f t="shared" si="109"/>
        <v>6.8572524933179739</v>
      </c>
      <c r="AG399" s="54" t="str">
        <f t="shared" si="107"/>
        <v/>
      </c>
      <c r="AH399" s="54">
        <f t="shared" si="110"/>
        <v>178.10443970758826</v>
      </c>
      <c r="AI399" s="89">
        <f t="shared" si="111"/>
        <v>1.3714504986635948E-7</v>
      </c>
      <c r="AJ399" s="67">
        <f t="shared" si="112"/>
        <v>255.09413975094844</v>
      </c>
      <c r="AL399" s="48"/>
    </row>
    <row r="400" spans="1:38" x14ac:dyDescent="0.3">
      <c r="A400" s="94">
        <v>2023</v>
      </c>
      <c r="B400" s="8">
        <v>10.6</v>
      </c>
      <c r="C400" s="8" t="s">
        <v>22</v>
      </c>
      <c r="D400" s="115" t="s">
        <v>1527</v>
      </c>
      <c r="E400" s="151">
        <v>2.8000000000000001E-2</v>
      </c>
      <c r="F400" s="131" t="s">
        <v>2733</v>
      </c>
      <c r="G400" s="113" t="s">
        <v>2763</v>
      </c>
      <c r="H400" s="119" t="s">
        <v>2734</v>
      </c>
      <c r="I400" s="144" t="s">
        <v>2764</v>
      </c>
      <c r="J400" s="148" t="str">
        <f t="shared" si="104"/>
        <v>https://doi.org/10.1109/ISSCC42615.2023.10067696</v>
      </c>
      <c r="K400" s="32" t="s">
        <v>1050</v>
      </c>
      <c r="L400" s="48">
        <v>1</v>
      </c>
      <c r="M400" s="48">
        <v>0.9</v>
      </c>
      <c r="N400" s="48"/>
      <c r="O400" s="8">
        <v>0.8</v>
      </c>
      <c r="P400" s="17">
        <v>2.5999999999999999E-2</v>
      </c>
      <c r="Q400" s="40">
        <v>92.5</v>
      </c>
      <c r="R400" s="33">
        <v>20000</v>
      </c>
      <c r="S400" s="40">
        <v>92.2</v>
      </c>
      <c r="T400" s="40"/>
      <c r="U400" s="40">
        <v>93.9</v>
      </c>
      <c r="V400" s="8"/>
      <c r="W400" s="8">
        <v>106.1</v>
      </c>
      <c r="X400" s="29">
        <f t="shared" si="108"/>
        <v>92.2</v>
      </c>
      <c r="Y400" s="33">
        <v>1.6000000000000001E-4</v>
      </c>
      <c r="Z400" s="155">
        <f>AA400*AB400</f>
        <v>9600000</v>
      </c>
      <c r="AA400" s="110">
        <v>32</v>
      </c>
      <c r="AB400" s="33">
        <v>300000</v>
      </c>
      <c r="AC400" s="89"/>
      <c r="AD400" s="65">
        <f t="shared" si="114"/>
        <v>533.33333333333337</v>
      </c>
      <c r="AE400" s="29">
        <f t="shared" si="106"/>
        <v>15.472005125224102</v>
      </c>
      <c r="AF400" s="29">
        <f t="shared" si="109"/>
        <v>16.015780032903596</v>
      </c>
      <c r="AG400" s="54">
        <f t="shared" si="107"/>
        <v>182.21971276399756</v>
      </c>
      <c r="AH400" s="54">
        <f t="shared" si="110"/>
        <v>181.91971276399755</v>
      </c>
      <c r="AI400" s="89">
        <f t="shared" si="111"/>
        <v>5.3385933443011984E-5</v>
      </c>
      <c r="AJ400" s="67">
        <f t="shared" si="112"/>
        <v>236.69092531119418</v>
      </c>
      <c r="AL400" s="48"/>
    </row>
    <row r="401" spans="1:38" x14ac:dyDescent="0.3">
      <c r="A401" s="94">
        <v>2023</v>
      </c>
      <c r="B401" s="8">
        <v>10.7</v>
      </c>
      <c r="C401" s="8" t="s">
        <v>22</v>
      </c>
      <c r="D401" s="115" t="s">
        <v>31</v>
      </c>
      <c r="E401" s="151">
        <v>2.8000000000000001E-2</v>
      </c>
      <c r="F401" s="131" t="s">
        <v>2725</v>
      </c>
      <c r="G401" s="113" t="s">
        <v>2756</v>
      </c>
      <c r="H401" s="119" t="s">
        <v>2760</v>
      </c>
      <c r="I401" s="144" t="s">
        <v>2749</v>
      </c>
      <c r="J401" s="148" t="str">
        <f t="shared" si="104"/>
        <v>https://doi.org/10.1109/ISSCC42615.2023.10067687</v>
      </c>
      <c r="K401" s="32" t="s">
        <v>1050</v>
      </c>
      <c r="L401" s="48">
        <v>1</v>
      </c>
      <c r="M401" s="48"/>
      <c r="N401" s="48"/>
      <c r="O401" s="8">
        <v>0.48</v>
      </c>
      <c r="P401" s="17">
        <v>8.9999999999999993E-3</v>
      </c>
      <c r="Q401" s="40"/>
      <c r="R401" s="33">
        <v>13000000</v>
      </c>
      <c r="S401" s="40">
        <v>70.150000000000006</v>
      </c>
      <c r="T401" s="40">
        <v>70.44</v>
      </c>
      <c r="U401" s="40">
        <v>72.2</v>
      </c>
      <c r="V401" s="8"/>
      <c r="W401" s="8">
        <v>90.63</v>
      </c>
      <c r="X401" s="29">
        <f t="shared" si="108"/>
        <v>70.150000000000006</v>
      </c>
      <c r="Y401" s="33">
        <v>4.5199999999999997E-3</v>
      </c>
      <c r="Z401" s="155">
        <v>760000000</v>
      </c>
      <c r="AA401" s="109">
        <v>3.8</v>
      </c>
      <c r="AB401" s="33">
        <f t="shared" ref="AB401:AB409" si="115">Z401/AA401</f>
        <v>200000000</v>
      </c>
      <c r="AC401" s="89"/>
      <c r="AD401" s="65">
        <f t="shared" si="114"/>
        <v>22.599999999999998</v>
      </c>
      <c r="AE401" s="29" t="str">
        <f t="shared" si="106"/>
        <v/>
      </c>
      <c r="AF401" s="29">
        <f t="shared" si="109"/>
        <v>8.595431318469009</v>
      </c>
      <c r="AG401" s="54" t="str">
        <f t="shared" si="107"/>
        <v/>
      </c>
      <c r="AH401" s="54">
        <f t="shared" si="110"/>
        <v>173.59861565188618</v>
      </c>
      <c r="AI401" s="89">
        <f t="shared" si="111"/>
        <v>4.2977156592345048E-8</v>
      </c>
      <c r="AJ401" s="67">
        <f t="shared" si="112"/>
        <v>256.60891560852599</v>
      </c>
      <c r="AL401" s="48"/>
    </row>
    <row r="402" spans="1:38" x14ac:dyDescent="0.3">
      <c r="A402" s="94">
        <v>2023</v>
      </c>
      <c r="B402" s="8">
        <v>17.100000000000001</v>
      </c>
      <c r="C402" s="8" t="s">
        <v>23</v>
      </c>
      <c r="D402" s="115" t="s">
        <v>592</v>
      </c>
      <c r="E402" s="151">
        <v>2.8000000000000001E-2</v>
      </c>
      <c r="F402" s="131" t="s">
        <v>2737</v>
      </c>
      <c r="G402" s="113" t="s">
        <v>2765</v>
      </c>
      <c r="H402" s="119" t="s">
        <v>2775</v>
      </c>
      <c r="I402" s="144" t="s">
        <v>2766</v>
      </c>
      <c r="J402" s="148" t="str">
        <f t="shared" si="104"/>
        <v>https://doi.org/10.1109/ISSCC42615.2023.10067627</v>
      </c>
      <c r="K402" s="32" t="s">
        <v>1050</v>
      </c>
      <c r="L402" s="48">
        <v>0.9</v>
      </c>
      <c r="M402" s="48"/>
      <c r="N402" s="48"/>
      <c r="O402" s="8">
        <v>6.4000000000000001E-2</v>
      </c>
      <c r="P402" s="17">
        <v>9.7000000000000003E-3</v>
      </c>
      <c r="Q402" s="40">
        <v>52.5</v>
      </c>
      <c r="R402" s="33">
        <v>1381200000</v>
      </c>
      <c r="S402" s="40">
        <v>51.8</v>
      </c>
      <c r="T402" s="6"/>
      <c r="U402" s="40"/>
      <c r="V402" s="8"/>
      <c r="W402" s="8">
        <v>72.36</v>
      </c>
      <c r="X402" s="29">
        <f t="shared" si="108"/>
        <v>51.8</v>
      </c>
      <c r="Y402" s="33">
        <v>1.805E-2</v>
      </c>
      <c r="Z402" s="155">
        <v>2800000000</v>
      </c>
      <c r="AA402" s="110">
        <v>1</v>
      </c>
      <c r="AB402" s="33">
        <f t="shared" si="115"/>
        <v>2800000000</v>
      </c>
      <c r="AC402" s="89"/>
      <c r="AD402" s="65">
        <f t="shared" si="114"/>
        <v>6.4464285714285721</v>
      </c>
      <c r="AE402" s="29">
        <f t="shared" si="106"/>
        <v>18.709679770453349</v>
      </c>
      <c r="AF402" s="29">
        <f t="shared" si="109"/>
        <v>20.280088326932201</v>
      </c>
      <c r="AG402" s="54">
        <f t="shared" si="107"/>
        <v>161.39650829436562</v>
      </c>
      <c r="AH402" s="54">
        <f t="shared" si="110"/>
        <v>160.69650829436563</v>
      </c>
      <c r="AI402" s="89">
        <f t="shared" si="111"/>
        <v>7.2428886881900719E-9</v>
      </c>
      <c r="AJ402" s="67">
        <f t="shared" si="112"/>
        <v>255.16808860778781</v>
      </c>
      <c r="AL402" s="48"/>
    </row>
    <row r="403" spans="1:38" x14ac:dyDescent="0.3">
      <c r="A403" s="94">
        <v>2023</v>
      </c>
      <c r="B403" s="8">
        <v>17.2</v>
      </c>
      <c r="C403" s="8" t="s">
        <v>23</v>
      </c>
      <c r="D403" s="115" t="s">
        <v>1861</v>
      </c>
      <c r="E403" s="151">
        <v>5.0000000000000001E-3</v>
      </c>
      <c r="F403" s="131" t="s">
        <v>2740</v>
      </c>
      <c r="G403" s="113" t="s">
        <v>2767</v>
      </c>
      <c r="H403" s="119" t="s">
        <v>2741</v>
      </c>
      <c r="I403" s="144" t="s">
        <v>2768</v>
      </c>
      <c r="J403" s="148" t="str">
        <f t="shared" si="104"/>
        <v>https://doi.org/10.1109/ISSCC42615.2023.10067745</v>
      </c>
      <c r="K403" s="32" t="s">
        <v>2996</v>
      </c>
      <c r="L403" s="48">
        <v>0.8</v>
      </c>
      <c r="M403" s="48"/>
      <c r="N403" s="48"/>
      <c r="O403" s="8">
        <v>2.5000000000000001E-2</v>
      </c>
      <c r="P403" s="17">
        <v>3.1300000000000002E-4</v>
      </c>
      <c r="Q403" s="40"/>
      <c r="R403" s="33">
        <v>1250000000</v>
      </c>
      <c r="S403" s="40">
        <v>39.299999999999997</v>
      </c>
      <c r="T403" s="6"/>
      <c r="U403" s="40"/>
      <c r="V403" s="8">
        <v>45.42</v>
      </c>
      <c r="W403" s="8">
        <v>49.6</v>
      </c>
      <c r="X403" s="29">
        <f t="shared" si="108"/>
        <v>39.299999999999997</v>
      </c>
      <c r="Y403" s="33">
        <v>1.9E-3</v>
      </c>
      <c r="Z403" s="155">
        <v>1250000000</v>
      </c>
      <c r="AA403" s="110">
        <v>1</v>
      </c>
      <c r="AB403" s="33">
        <f t="shared" si="115"/>
        <v>1250000000</v>
      </c>
      <c r="AC403" s="89"/>
      <c r="AD403" s="65">
        <f t="shared" si="114"/>
        <v>1.52</v>
      </c>
      <c r="AE403" s="29" t="str">
        <f t="shared" si="106"/>
        <v/>
      </c>
      <c r="AF403" s="29">
        <f t="shared" si="109"/>
        <v>20.167707713481661</v>
      </c>
      <c r="AG403" s="54" t="str">
        <f t="shared" si="107"/>
        <v/>
      </c>
      <c r="AH403" s="54">
        <f t="shared" si="110"/>
        <v>154.47126416391245</v>
      </c>
      <c r="AI403" s="89">
        <f t="shared" si="111"/>
        <v>1.6134166170785328E-8</v>
      </c>
      <c r="AJ403" s="67">
        <f t="shared" si="112"/>
        <v>245.44036429399301</v>
      </c>
      <c r="AL403" s="48"/>
    </row>
    <row r="404" spans="1:38" x14ac:dyDescent="0.3">
      <c r="A404" s="94">
        <v>2023</v>
      </c>
      <c r="B404" s="8">
        <v>17.399999999999999</v>
      </c>
      <c r="C404" s="8" t="s">
        <v>23</v>
      </c>
      <c r="D404" s="115" t="s">
        <v>592</v>
      </c>
      <c r="E404" s="151">
        <v>7.0000000000000001E-3</v>
      </c>
      <c r="F404" s="131" t="s">
        <v>2722</v>
      </c>
      <c r="G404" s="113" t="s">
        <v>2754</v>
      </c>
      <c r="H404" s="113" t="s">
        <v>2723</v>
      </c>
      <c r="I404" s="144" t="s">
        <v>2746</v>
      </c>
      <c r="J404" s="148" t="str">
        <f t="shared" si="104"/>
        <v>https://doi.org/10.1109/ISSCC42615.2023.10067793</v>
      </c>
      <c r="K404" s="32" t="s">
        <v>1050</v>
      </c>
      <c r="L404" s="48">
        <v>0.9</v>
      </c>
      <c r="M404" s="48">
        <v>1.8</v>
      </c>
      <c r="N404" s="48">
        <v>0.68</v>
      </c>
      <c r="O404" s="8">
        <v>0.15</v>
      </c>
      <c r="P404" s="17">
        <v>0.9</v>
      </c>
      <c r="Q404" s="40"/>
      <c r="R404" s="33">
        <v>7240000000</v>
      </c>
      <c r="S404" s="40">
        <v>46.5</v>
      </c>
      <c r="T404" s="40"/>
      <c r="U404" s="40"/>
      <c r="V404" s="40"/>
      <c r="W404" s="40">
        <v>76</v>
      </c>
      <c r="X404" s="29">
        <f t="shared" si="108"/>
        <v>46.5</v>
      </c>
      <c r="Y404" s="33">
        <v>0.75</v>
      </c>
      <c r="Z404" s="155">
        <v>24000000000</v>
      </c>
      <c r="AA404" s="110">
        <v>1</v>
      </c>
      <c r="AB404" s="33">
        <f t="shared" si="115"/>
        <v>24000000000</v>
      </c>
      <c r="AC404" s="89"/>
      <c r="AD404" s="65">
        <f t="shared" si="114"/>
        <v>31.250000000000004</v>
      </c>
      <c r="AE404" s="29" t="str">
        <f t="shared" si="106"/>
        <v/>
      </c>
      <c r="AF404" s="29">
        <f t="shared" si="109"/>
        <v>180.97854698722659</v>
      </c>
      <c r="AG404" s="54" t="str">
        <f t="shared" si="107"/>
        <v/>
      </c>
      <c r="AH404" s="54">
        <f t="shared" si="110"/>
        <v>148.54119982655925</v>
      </c>
      <c r="AI404" s="89">
        <f t="shared" si="111"/>
        <v>7.5407727911344418E-9</v>
      </c>
      <c r="AJ404" s="67">
        <f t="shared" si="112"/>
        <v>252.34331224367531</v>
      </c>
      <c r="AL404" s="48"/>
    </row>
    <row r="405" spans="1:38" x14ac:dyDescent="0.3">
      <c r="A405" s="94">
        <v>2023</v>
      </c>
      <c r="B405" s="8">
        <v>17.5</v>
      </c>
      <c r="C405" s="8" t="s">
        <v>23</v>
      </c>
      <c r="D405" s="115" t="s">
        <v>1148</v>
      </c>
      <c r="E405" s="151">
        <v>2.8000000000000001E-2</v>
      </c>
      <c r="F405" s="131" t="s">
        <v>2721</v>
      </c>
      <c r="G405" s="113" t="s">
        <v>2753</v>
      </c>
      <c r="H405" s="113" t="s">
        <v>2744</v>
      </c>
      <c r="I405" s="144" t="s">
        <v>2745</v>
      </c>
      <c r="J405" s="148" t="str">
        <f t="shared" si="104"/>
        <v>https://doi.org/10.1109/ISSCC42615.2023.10067475</v>
      </c>
      <c r="K405" s="32" t="s">
        <v>2994</v>
      </c>
      <c r="L405" s="48">
        <v>1.2</v>
      </c>
      <c r="M405" s="48">
        <v>1</v>
      </c>
      <c r="N405" s="48"/>
      <c r="O405" s="8">
        <v>0.64</v>
      </c>
      <c r="P405" s="17">
        <v>1.6E-2</v>
      </c>
      <c r="Q405" s="40">
        <v>63.5</v>
      </c>
      <c r="R405" s="33">
        <v>500000000</v>
      </c>
      <c r="S405" s="40">
        <v>62.5</v>
      </c>
      <c r="T405" s="40"/>
      <c r="U405" s="40"/>
      <c r="V405" s="40"/>
      <c r="W405" s="40">
        <v>80.5</v>
      </c>
      <c r="X405" s="29">
        <f t="shared" si="108"/>
        <v>62.5</v>
      </c>
      <c r="Y405" s="33">
        <v>1.06E-2</v>
      </c>
      <c r="Z405" s="155">
        <v>1000000000</v>
      </c>
      <c r="AA405" s="110">
        <v>1</v>
      </c>
      <c r="AB405" s="33">
        <f t="shared" si="115"/>
        <v>1000000000</v>
      </c>
      <c r="AC405" s="89"/>
      <c r="AD405" s="65">
        <f t="shared" si="114"/>
        <v>10.6</v>
      </c>
      <c r="AE405" s="29">
        <f t="shared" si="106"/>
        <v>8.6695835300791479</v>
      </c>
      <c r="AF405" s="29">
        <f t="shared" si="109"/>
        <v>9.7275443155125814</v>
      </c>
      <c r="AG405" s="54">
        <f t="shared" si="107"/>
        <v>170.23664139071249</v>
      </c>
      <c r="AH405" s="54">
        <f t="shared" si="110"/>
        <v>169.23664139071249</v>
      </c>
      <c r="AI405" s="89">
        <f t="shared" si="111"/>
        <v>9.7275443155125811E-9</v>
      </c>
      <c r="AJ405" s="67">
        <f t="shared" si="112"/>
        <v>259.23664139071252</v>
      </c>
      <c r="AL405" s="48"/>
    </row>
    <row r="406" spans="1:38" x14ac:dyDescent="0.3">
      <c r="A406" s="94">
        <v>2023</v>
      </c>
      <c r="B406" s="8">
        <v>17.600000000000001</v>
      </c>
      <c r="C406" s="8" t="s">
        <v>23</v>
      </c>
      <c r="D406" s="115" t="s">
        <v>592</v>
      </c>
      <c r="E406" s="151">
        <v>2.8000000000000001E-2</v>
      </c>
      <c r="F406" s="131" t="s">
        <v>2735</v>
      </c>
      <c r="G406" s="113" t="s">
        <v>2770</v>
      </c>
      <c r="H406" s="119" t="s">
        <v>2736</v>
      </c>
      <c r="I406" s="144" t="s">
        <v>2771</v>
      </c>
      <c r="J406" s="148" t="str">
        <f t="shared" si="104"/>
        <v>https://doi.org/10.1109/ISSCC42615.2023.10067573</v>
      </c>
      <c r="K406" s="32" t="s">
        <v>1050</v>
      </c>
      <c r="L406" s="48">
        <v>1.1000000000000001</v>
      </c>
      <c r="M406" s="48">
        <v>1</v>
      </c>
      <c r="N406" s="48"/>
      <c r="O406" s="8"/>
      <c r="P406" s="17">
        <v>2.9000000000000001E-2</v>
      </c>
      <c r="Q406" s="40">
        <v>39.72</v>
      </c>
      <c r="R406" s="33">
        <v>3955000000</v>
      </c>
      <c r="S406" s="40">
        <v>38.33</v>
      </c>
      <c r="T406" s="6"/>
      <c r="U406" s="40"/>
      <c r="V406" s="8"/>
      <c r="W406" s="8">
        <v>53.04</v>
      </c>
      <c r="X406" s="29">
        <f t="shared" si="108"/>
        <v>38.33</v>
      </c>
      <c r="Y406" s="33">
        <v>6.5599999999999999E-3</v>
      </c>
      <c r="Z406" s="155">
        <v>4500000000</v>
      </c>
      <c r="AA406" s="110">
        <v>1</v>
      </c>
      <c r="AB406" s="33">
        <f t="shared" si="115"/>
        <v>4500000000</v>
      </c>
      <c r="AC406" s="89"/>
      <c r="AD406" s="65">
        <f t="shared" si="114"/>
        <v>1.4577777777777776</v>
      </c>
      <c r="AE406" s="29">
        <f t="shared" si="106"/>
        <v>18.429017545219875</v>
      </c>
      <c r="AF406" s="29">
        <f t="shared" si="109"/>
        <v>21.627638876663973</v>
      </c>
      <c r="AG406" s="54">
        <f t="shared" si="107"/>
        <v>155.07278678735702</v>
      </c>
      <c r="AH406" s="54">
        <f t="shared" si="110"/>
        <v>153.68278678735703</v>
      </c>
      <c r="AI406" s="89">
        <f t="shared" si="111"/>
        <v>4.806141972591994E-9</v>
      </c>
      <c r="AJ406" s="67">
        <f t="shared" si="112"/>
        <v>250.21491192511047</v>
      </c>
    </row>
    <row r="407" spans="1:38" x14ac:dyDescent="0.3">
      <c r="A407" s="94">
        <v>2023</v>
      </c>
      <c r="B407" s="8">
        <v>17.7</v>
      </c>
      <c r="C407" s="8" t="s">
        <v>23</v>
      </c>
      <c r="D407" s="115" t="s">
        <v>19</v>
      </c>
      <c r="E407" s="151">
        <v>2.8000000000000001E-2</v>
      </c>
      <c r="F407" s="131" t="s">
        <v>2731</v>
      </c>
      <c r="G407" s="113" t="s">
        <v>2773</v>
      </c>
      <c r="H407" s="119" t="s">
        <v>2732</v>
      </c>
      <c r="I407" s="144" t="s">
        <v>2772</v>
      </c>
      <c r="J407" s="148" t="str">
        <f t="shared" si="104"/>
        <v>https://doi.org/10.1109/ISSCC42615.2023.10067498</v>
      </c>
      <c r="K407" s="32" t="s">
        <v>1050</v>
      </c>
      <c r="L407" s="48">
        <v>1</v>
      </c>
      <c r="M407" s="48">
        <v>0.7</v>
      </c>
      <c r="N407" s="48"/>
      <c r="O407" s="8"/>
      <c r="P407" s="17">
        <v>1.7999999999999999E-2</v>
      </c>
      <c r="Q407" s="40">
        <v>45.9</v>
      </c>
      <c r="R407" s="33">
        <v>1250000000</v>
      </c>
      <c r="S407" s="40">
        <v>45.9</v>
      </c>
      <c r="T407" s="6"/>
      <c r="U407" s="40"/>
      <c r="V407" s="8"/>
      <c r="W407" s="8">
        <v>63.5</v>
      </c>
      <c r="X407" s="29">
        <f t="shared" si="108"/>
        <v>45.9</v>
      </c>
      <c r="Y407" s="33">
        <v>3.0000000000000001E-3</v>
      </c>
      <c r="Z407" s="155">
        <v>2700000000</v>
      </c>
      <c r="AA407" s="110">
        <v>1</v>
      </c>
      <c r="AB407" s="33">
        <f t="shared" si="115"/>
        <v>2700000000</v>
      </c>
      <c r="AC407" s="89"/>
      <c r="AD407" s="65">
        <f t="shared" si="114"/>
        <v>1.1111111111111112</v>
      </c>
      <c r="AE407" s="29">
        <f t="shared" si="106"/>
        <v>6.8950521549394548</v>
      </c>
      <c r="AF407" s="29">
        <f t="shared" si="109"/>
        <v>6.8950521549394548</v>
      </c>
      <c r="AG407" s="54">
        <f t="shared" si="107"/>
        <v>162.43212513775345</v>
      </c>
      <c r="AH407" s="54">
        <f t="shared" si="110"/>
        <v>162.43212513775345</v>
      </c>
      <c r="AI407" s="89">
        <f t="shared" si="111"/>
        <v>2.553723020347946E-9</v>
      </c>
      <c r="AJ407" s="67">
        <f t="shared" si="112"/>
        <v>256.74576277934329</v>
      </c>
    </row>
    <row r="408" spans="1:38" x14ac:dyDescent="0.3">
      <c r="A408" s="94">
        <v>2023</v>
      </c>
      <c r="B408" s="8">
        <v>17.8</v>
      </c>
      <c r="C408" s="8" t="s">
        <v>23</v>
      </c>
      <c r="D408" s="115" t="s">
        <v>1861</v>
      </c>
      <c r="E408" s="151">
        <v>2.8000000000000001E-2</v>
      </c>
      <c r="F408" s="131" t="s">
        <v>2742</v>
      </c>
      <c r="G408" s="113" t="s">
        <v>2993</v>
      </c>
      <c r="H408" s="119" t="s">
        <v>2743</v>
      </c>
      <c r="I408" s="144" t="s">
        <v>2774</v>
      </c>
      <c r="J408" s="148" t="str">
        <f t="shared" si="104"/>
        <v>https://doi.org/10.1109/ISSCC42615.2023.10067397</v>
      </c>
      <c r="K408" s="32" t="s">
        <v>1050</v>
      </c>
      <c r="L408" s="48">
        <v>1.8</v>
      </c>
      <c r="M408" s="48">
        <v>0.9</v>
      </c>
      <c r="N408" s="48"/>
      <c r="O408" s="8"/>
      <c r="P408" s="17">
        <v>8.9999999999999993E-3</v>
      </c>
      <c r="Q408" s="40">
        <v>37.1</v>
      </c>
      <c r="R408" s="33">
        <v>4873050000</v>
      </c>
      <c r="S408" s="40">
        <v>36.4</v>
      </c>
      <c r="T408" s="6"/>
      <c r="U408" s="40"/>
      <c r="V408" s="8">
        <v>48.7</v>
      </c>
      <c r="W408" s="8">
        <v>51.7</v>
      </c>
      <c r="X408" s="29">
        <f t="shared" si="108"/>
        <v>36.4</v>
      </c>
      <c r="Y408" s="33">
        <v>3.1699999999999999E-2</v>
      </c>
      <c r="Z408" s="155">
        <v>10000000000</v>
      </c>
      <c r="AA408" s="110">
        <v>1</v>
      </c>
      <c r="AB408" s="33">
        <f t="shared" si="115"/>
        <v>10000000000</v>
      </c>
      <c r="AC408" s="89"/>
      <c r="AD408" s="65">
        <f t="shared" si="114"/>
        <v>3.17</v>
      </c>
      <c r="AE408" s="29">
        <f t="shared" si="106"/>
        <v>54.185511168396651</v>
      </c>
      <c r="AF408" s="29">
        <f t="shared" si="109"/>
        <v>58.733605599730105</v>
      </c>
      <c r="AG408" s="54">
        <f t="shared" si="107"/>
        <v>149.07910742118267</v>
      </c>
      <c r="AH408" s="54">
        <f t="shared" si="110"/>
        <v>148.37910742118268</v>
      </c>
      <c r="AI408" s="89">
        <f t="shared" si="111"/>
        <v>5.8733605599730104E-9</v>
      </c>
      <c r="AJ408" s="67">
        <f t="shared" si="112"/>
        <v>248.37910742118268</v>
      </c>
    </row>
    <row r="409" spans="1:38" x14ac:dyDescent="0.3">
      <c r="A409" s="94">
        <v>2023</v>
      </c>
      <c r="B409" s="58">
        <v>18.2</v>
      </c>
      <c r="C409" s="3" t="s">
        <v>23</v>
      </c>
      <c r="D409" s="115" t="s">
        <v>2983</v>
      </c>
      <c r="E409" s="105">
        <v>2.1999999999999999E-2</v>
      </c>
      <c r="F409" s="121" t="s">
        <v>2980</v>
      </c>
      <c r="G409" s="113" t="s">
        <v>2979</v>
      </c>
      <c r="H409" s="124" t="s">
        <v>2981</v>
      </c>
      <c r="I409" s="140" t="s">
        <v>2982</v>
      </c>
      <c r="J409" s="148" t="str">
        <f t="shared" si="104"/>
        <v>https://doi.org/10.1109/ISSCC42615.2023.10067439</v>
      </c>
      <c r="K409" s="32" t="s">
        <v>2978</v>
      </c>
      <c r="L409" s="48">
        <v>1</v>
      </c>
      <c r="P409" s="88">
        <f>0.6*0.23</f>
        <v>0.13800000000000001</v>
      </c>
      <c r="Q409" s="87">
        <v>35.450000000000003</v>
      </c>
      <c r="R409" s="89">
        <v>19700000000</v>
      </c>
      <c r="S409" s="87">
        <v>30.75</v>
      </c>
      <c r="W409" s="58">
        <v>48.7</v>
      </c>
      <c r="X409" s="29">
        <f t="shared" si="108"/>
        <v>30.75</v>
      </c>
      <c r="Y409" s="89">
        <v>8.4000000000000005E-2</v>
      </c>
      <c r="Z409" s="122">
        <v>40000000000</v>
      </c>
      <c r="AA409" s="110">
        <v>1</v>
      </c>
      <c r="AB409" s="89">
        <f t="shared" si="115"/>
        <v>40000000000</v>
      </c>
      <c r="AC409" s="89"/>
      <c r="AD409" s="65">
        <f t="shared" si="114"/>
        <v>2.1</v>
      </c>
      <c r="AE409" s="29">
        <f t="shared" si="106"/>
        <v>43.406166166547266</v>
      </c>
      <c r="AF409" s="29">
        <f t="shared" si="109"/>
        <v>74.571837954458815</v>
      </c>
      <c r="AG409" s="6">
        <f t="shared" si="107"/>
        <v>149.217507096021</v>
      </c>
      <c r="AH409" s="54">
        <f t="shared" si="110"/>
        <v>144.51750709602101</v>
      </c>
      <c r="AI409" s="89">
        <f t="shared" si="111"/>
        <v>1.8642959488614705E-9</v>
      </c>
      <c r="AJ409" s="67">
        <f t="shared" si="112"/>
        <v>250.53810700930063</v>
      </c>
    </row>
    <row r="410" spans="1:38" x14ac:dyDescent="0.3">
      <c r="A410" s="94">
        <v>2023</v>
      </c>
      <c r="B410" s="58">
        <v>32.4</v>
      </c>
      <c r="C410" s="8" t="s">
        <v>22</v>
      </c>
      <c r="D410" s="115" t="s">
        <v>31</v>
      </c>
      <c r="E410" s="84">
        <v>0.18</v>
      </c>
      <c r="F410" s="114" t="s">
        <v>2984</v>
      </c>
      <c r="G410" s="113" t="s">
        <v>2985</v>
      </c>
      <c r="H410" s="113" t="s">
        <v>2986</v>
      </c>
      <c r="I410" s="140" t="s">
        <v>2987</v>
      </c>
      <c r="J410" s="148" t="str">
        <f t="shared" si="104"/>
        <v>https://doi.org/10.1109/ISSCC42615.2023.10067844</v>
      </c>
      <c r="K410" s="32" t="s">
        <v>2988</v>
      </c>
      <c r="L410" s="48">
        <v>1</v>
      </c>
      <c r="P410" s="17">
        <v>0.12</v>
      </c>
      <c r="R410" s="89">
        <v>1000</v>
      </c>
      <c r="S410" s="87">
        <v>99.1</v>
      </c>
      <c r="U410" s="87">
        <v>101.6</v>
      </c>
      <c r="X410" s="29">
        <f t="shared" si="108"/>
        <v>99.1</v>
      </c>
      <c r="Y410" s="89">
        <v>9.2900000000000008E-6</v>
      </c>
      <c r="Z410" s="122">
        <v>128000</v>
      </c>
      <c r="AA410" s="110">
        <f>Z410/AB410</f>
        <v>64</v>
      </c>
      <c r="AB410" s="89">
        <v>2000</v>
      </c>
      <c r="AD410" s="65">
        <f>IF(AB410&gt;0, Y410/AB410*1000000000000, 0)</f>
        <v>4645</v>
      </c>
      <c r="AE410" s="29" t="str">
        <f t="shared" si="106"/>
        <v/>
      </c>
      <c r="AF410" s="29">
        <f t="shared" si="109"/>
        <v>63.023236961787497</v>
      </c>
      <c r="AG410" s="6" t="str">
        <f t="shared" si="107"/>
        <v/>
      </c>
      <c r="AH410" s="54">
        <f t="shared" si="110"/>
        <v>179.41984286006357</v>
      </c>
      <c r="AI410" s="89">
        <f>AF410/AB410</f>
        <v>3.1511618480893747E-2</v>
      </c>
      <c r="AJ410" s="67">
        <f>AH410+10*LOG10(AB410)</f>
        <v>212.43014281670338</v>
      </c>
    </row>
    <row r="411" spans="1:38" x14ac:dyDescent="0.3">
      <c r="A411" s="94">
        <v>2023</v>
      </c>
      <c r="B411" s="58">
        <v>32.700000000000003</v>
      </c>
      <c r="C411" s="8" t="s">
        <v>22</v>
      </c>
      <c r="D411" s="115" t="s">
        <v>31</v>
      </c>
      <c r="E411" s="105">
        <v>2.1999999999999999E-2</v>
      </c>
      <c r="F411" s="114" t="s">
        <v>2990</v>
      </c>
      <c r="G411" s="113" t="s">
        <v>2989</v>
      </c>
      <c r="H411" s="113" t="s">
        <v>2992</v>
      </c>
      <c r="I411" s="144" t="s">
        <v>2991</v>
      </c>
      <c r="J411" s="148" t="str">
        <f t="shared" si="104"/>
        <v>https://doi.org/10.1109/ISSCC42615.2023.10067626</v>
      </c>
      <c r="K411" s="32" t="s">
        <v>1050</v>
      </c>
      <c r="L411" s="84">
        <v>2.5</v>
      </c>
      <c r="M411" s="84">
        <v>0.4</v>
      </c>
      <c r="P411" s="17">
        <v>0.02</v>
      </c>
      <c r="R411" s="89">
        <v>2500</v>
      </c>
      <c r="S411" s="87">
        <v>84.2</v>
      </c>
      <c r="X411" s="29">
        <f t="shared" si="108"/>
        <v>84.2</v>
      </c>
      <c r="Y411" s="89">
        <v>5.2000000000000002E-6</v>
      </c>
      <c r="Z411" s="122">
        <f>AA411*AB411</f>
        <v>4000000</v>
      </c>
      <c r="AA411" s="110">
        <v>800</v>
      </c>
      <c r="AB411" s="89">
        <v>5000</v>
      </c>
      <c r="AD411" s="65">
        <f>IF(AB411&gt;0, Y411/AB411*1000000000000, 0)</f>
        <v>1040.0000000000002</v>
      </c>
      <c r="AE411" s="29" t="str">
        <f t="shared" si="106"/>
        <v/>
      </c>
      <c r="AF411" s="29">
        <f t="shared" si="109"/>
        <v>78.455350708440164</v>
      </c>
      <c r="AG411" s="6" t="str">
        <f t="shared" si="107"/>
        <v/>
      </c>
      <c r="AH411" s="54">
        <f t="shared" si="110"/>
        <v>171.01936665037238</v>
      </c>
      <c r="AI411" s="89">
        <f>AF411/AB411</f>
        <v>1.5691070141688034E-2</v>
      </c>
      <c r="AJ411" s="67">
        <f>AH411+10*LOG10(AB411)</f>
        <v>208.00906669373256</v>
      </c>
    </row>
    <row r="412" spans="1:38" x14ac:dyDescent="0.3">
      <c r="A412" s="152">
        <v>2024</v>
      </c>
      <c r="B412" s="58">
        <v>3.9</v>
      </c>
      <c r="C412" s="8" t="s">
        <v>23</v>
      </c>
      <c r="D412" s="115" t="s">
        <v>31</v>
      </c>
      <c r="E412" s="105">
        <v>3.0000000000000001E-3</v>
      </c>
      <c r="F412" s="114" t="s">
        <v>3060</v>
      </c>
      <c r="G412" s="113" t="s">
        <v>3059</v>
      </c>
      <c r="H412" s="113" t="s">
        <v>3061</v>
      </c>
      <c r="I412" s="140" t="s">
        <v>3062</v>
      </c>
      <c r="J412" s="148" t="str">
        <f t="shared" si="104"/>
        <v>https://doi.org/10.1109/ISSCC49657.2024.10454351</v>
      </c>
      <c r="K412" s="32" t="s">
        <v>1050</v>
      </c>
      <c r="L412" s="84">
        <v>1.2</v>
      </c>
      <c r="M412" s="84">
        <v>0.7</v>
      </c>
      <c r="P412" s="17">
        <v>2.7E-2</v>
      </c>
      <c r="R412" s="89">
        <v>100000</v>
      </c>
      <c r="S412" s="87">
        <v>63</v>
      </c>
      <c r="W412" s="58">
        <v>84</v>
      </c>
      <c r="X412" s="29">
        <f t="shared" si="108"/>
        <v>63</v>
      </c>
      <c r="Y412" s="89">
        <v>3.4000000000000002E-4</v>
      </c>
      <c r="Z412" s="122">
        <v>2000000</v>
      </c>
      <c r="AA412" s="110">
        <v>1</v>
      </c>
      <c r="AB412" s="122">
        <f>Z412/AA412</f>
        <v>2000000</v>
      </c>
      <c r="AD412" s="65">
        <f t="shared" ref="AD412:AD423" si="116">IF(AB412&gt;0, Y412/AB412*1000000000000, 0)</f>
        <v>170</v>
      </c>
      <c r="AE412" s="29" t="str">
        <f t="shared" si="106"/>
        <v/>
      </c>
      <c r="AF412" s="29">
        <f t="shared" si="109"/>
        <v>147.28000246453149</v>
      </c>
      <c r="AG412" s="6" t="str">
        <f t="shared" si="107"/>
        <v/>
      </c>
      <c r="AH412" s="54">
        <f t="shared" si="110"/>
        <v>157.68521082957744</v>
      </c>
      <c r="AI412" s="89">
        <f t="shared" ref="AI412:AI423" si="117">AF412/AB412</f>
        <v>7.3640001232265747E-5</v>
      </c>
      <c r="AJ412" s="67">
        <f t="shared" ref="AJ412:AJ423" si="118">AH412+10*LOG10(AB412)</f>
        <v>220.69551078621726</v>
      </c>
    </row>
    <row r="413" spans="1:38" x14ac:dyDescent="0.3">
      <c r="A413" s="94">
        <v>2024</v>
      </c>
      <c r="B413" s="58">
        <v>9.1</v>
      </c>
      <c r="C413" s="8" t="s">
        <v>23</v>
      </c>
      <c r="D413" s="115" t="s">
        <v>592</v>
      </c>
      <c r="E413" s="105">
        <v>2.1999999999999999E-2</v>
      </c>
      <c r="F413" s="114" t="s">
        <v>3063</v>
      </c>
      <c r="G413" s="113" t="s">
        <v>3064</v>
      </c>
      <c r="H413" s="113" t="s">
        <v>3114</v>
      </c>
      <c r="I413" s="144" t="s">
        <v>3115</v>
      </c>
      <c r="J413" s="148" t="str">
        <f t="shared" si="104"/>
        <v>https://doi.org/10.1109/ISSCC49657.2024.10454412</v>
      </c>
      <c r="K413" s="32" t="s">
        <v>1050</v>
      </c>
      <c r="L413" s="84">
        <v>0.9</v>
      </c>
      <c r="M413" s="84"/>
      <c r="P413" s="17">
        <v>1.9E-2</v>
      </c>
      <c r="Q413" s="87">
        <v>70.900000000000006</v>
      </c>
      <c r="R413" s="89">
        <v>94300000</v>
      </c>
      <c r="S413" s="87">
        <v>70.7</v>
      </c>
      <c r="U413" s="87">
        <v>72.8</v>
      </c>
      <c r="W413" s="58">
        <v>79.7</v>
      </c>
      <c r="X413" s="29">
        <f t="shared" si="108"/>
        <v>70.7</v>
      </c>
      <c r="Y413" s="89">
        <v>2E-3</v>
      </c>
      <c r="Z413" s="122">
        <v>200000000</v>
      </c>
      <c r="AA413" s="110">
        <v>1</v>
      </c>
      <c r="AB413" s="122">
        <f>Z413/AA413</f>
        <v>200000000</v>
      </c>
      <c r="AD413" s="65">
        <f t="shared" ref="AD413" si="119">IF(AB413&gt;0, Y413/AB413*1000000000000, 0)</f>
        <v>10.000000000000002</v>
      </c>
      <c r="AE413" s="29">
        <f t="shared" si="106"/>
        <v>3.4886347167140395</v>
      </c>
      <c r="AF413" s="29">
        <f t="shared" si="109"/>
        <v>3.5699036497452443</v>
      </c>
      <c r="AG413" s="6">
        <f t="shared" si="107"/>
        <v>177.88970004336019</v>
      </c>
      <c r="AH413" s="54">
        <f t="shared" si="110"/>
        <v>177.68970004336018</v>
      </c>
      <c r="AI413" s="89">
        <f t="shared" ref="AI413" si="120">AF413/AB413</f>
        <v>1.7849518248726222E-8</v>
      </c>
      <c r="AJ413" s="67">
        <f t="shared" ref="AJ413" si="121">AH413+10*LOG10(AB413)</f>
        <v>260.7</v>
      </c>
    </row>
    <row r="414" spans="1:38" x14ac:dyDescent="0.3">
      <c r="A414" s="94">
        <v>2024</v>
      </c>
      <c r="B414" s="58">
        <v>9.1999999999999993</v>
      </c>
      <c r="C414" s="8" t="s">
        <v>23</v>
      </c>
      <c r="D414" s="115" t="s">
        <v>745</v>
      </c>
      <c r="E414" s="105">
        <v>8.0000000000000002E-3</v>
      </c>
      <c r="F414" s="114" t="s">
        <v>3065</v>
      </c>
      <c r="G414" s="113" t="s">
        <v>3066</v>
      </c>
      <c r="H414" s="113" t="s">
        <v>3116</v>
      </c>
      <c r="I414" s="144" t="s">
        <v>3117</v>
      </c>
      <c r="J414" s="148" t="str">
        <f t="shared" si="104"/>
        <v>https://doi.org/10.1109/ISSCC49657.2024.10454422</v>
      </c>
      <c r="K414" s="32" t="s">
        <v>1050</v>
      </c>
      <c r="L414" s="84">
        <v>0.9</v>
      </c>
      <c r="M414" s="84"/>
      <c r="O414" s="58">
        <v>0.33</v>
      </c>
      <c r="P414" s="17">
        <v>1.6799999999999999E-2</v>
      </c>
      <c r="Q414" s="87">
        <v>64.400000000000006</v>
      </c>
      <c r="R414" s="89">
        <v>199800000</v>
      </c>
      <c r="S414" s="87">
        <v>62.8</v>
      </c>
      <c r="T414" s="40">
        <v>64.099999999999994</v>
      </c>
      <c r="W414" s="58">
        <v>68.599999999999994</v>
      </c>
      <c r="X414" s="29">
        <f t="shared" si="108"/>
        <v>62.8</v>
      </c>
      <c r="Y414" s="89">
        <v>2.0799999999999998E-3</v>
      </c>
      <c r="Z414" s="122">
        <v>400000000</v>
      </c>
      <c r="AA414" s="110">
        <v>1</v>
      </c>
      <c r="AB414" s="122">
        <f>Z414/AA414</f>
        <v>400000000</v>
      </c>
      <c r="AD414" s="65">
        <f t="shared" si="116"/>
        <v>5.1999999999999993</v>
      </c>
      <c r="AE414" s="29">
        <f t="shared" si="106"/>
        <v>3.8343453778174559</v>
      </c>
      <c r="AF414" s="29">
        <f t="shared" si="109"/>
        <v>4.6099817016582154</v>
      </c>
      <c r="AG414" s="6">
        <f t="shared" si="107"/>
        <v>174.22966660701221</v>
      </c>
      <c r="AH414" s="54">
        <f t="shared" si="110"/>
        <v>172.62966660701221</v>
      </c>
      <c r="AI414" s="89">
        <f t="shared" si="117"/>
        <v>1.1524954254145538E-8</v>
      </c>
      <c r="AJ414" s="67">
        <f t="shared" si="118"/>
        <v>258.65026652029184</v>
      </c>
    </row>
    <row r="415" spans="1:38" x14ac:dyDescent="0.3">
      <c r="A415" s="94">
        <v>2024</v>
      </c>
      <c r="B415" s="58">
        <v>9.3000000000000007</v>
      </c>
      <c r="C415" s="8" t="s">
        <v>22</v>
      </c>
      <c r="D415" s="115" t="s">
        <v>1148</v>
      </c>
      <c r="E415" s="105">
        <v>2.8000000000000001E-2</v>
      </c>
      <c r="F415" s="114" t="s">
        <v>3067</v>
      </c>
      <c r="G415" s="113" t="s">
        <v>3068</v>
      </c>
      <c r="H415" s="113" t="s">
        <v>3118</v>
      </c>
      <c r="I415" s="144" t="s">
        <v>3119</v>
      </c>
      <c r="J415" s="148" t="str">
        <f t="shared" si="104"/>
        <v>https://doi.org/10.1109/ISSCC49657.2024.10454431</v>
      </c>
      <c r="K415" s="32" t="s">
        <v>1050</v>
      </c>
      <c r="L415" s="84">
        <v>1</v>
      </c>
      <c r="M415" s="84"/>
      <c r="P415" s="17">
        <v>0.04</v>
      </c>
      <c r="R415" s="89">
        <v>20000000</v>
      </c>
      <c r="S415" s="87">
        <v>71.2</v>
      </c>
      <c r="U415" s="87">
        <v>72.599999999999994</v>
      </c>
      <c r="W415" s="58">
        <v>87.7</v>
      </c>
      <c r="X415" s="29">
        <f t="shared" si="108"/>
        <v>71.2</v>
      </c>
      <c r="Y415" s="89">
        <v>1.2500000000000001E-2</v>
      </c>
      <c r="Z415" s="122">
        <v>1600000000</v>
      </c>
      <c r="AA415" s="110">
        <v>4</v>
      </c>
      <c r="AB415" s="122">
        <f>Z415/AA415</f>
        <v>400000000</v>
      </c>
      <c r="AD415" s="65">
        <f t="shared" si="116"/>
        <v>31.250000000000004</v>
      </c>
      <c r="AE415" s="29" t="str">
        <f t="shared" si="106"/>
        <v/>
      </c>
      <c r="AF415" s="29">
        <f t="shared" si="109"/>
        <v>10.531834483346868</v>
      </c>
      <c r="AG415" s="6" t="str">
        <f t="shared" si="107"/>
        <v/>
      </c>
      <c r="AH415" s="54">
        <f t="shared" si="110"/>
        <v>173.24119982655924</v>
      </c>
      <c r="AI415" s="89">
        <f t="shared" si="117"/>
        <v>2.6329586208367172E-8</v>
      </c>
      <c r="AJ415" s="67">
        <f t="shared" si="118"/>
        <v>259.26179973983886</v>
      </c>
    </row>
    <row r="416" spans="1:38" x14ac:dyDescent="0.3">
      <c r="A416" s="94">
        <v>2024</v>
      </c>
      <c r="B416" s="58">
        <v>9.4</v>
      </c>
      <c r="C416" s="8" t="s">
        <v>23</v>
      </c>
      <c r="D416" s="115" t="s">
        <v>745</v>
      </c>
      <c r="E416" s="105">
        <v>2.1999999999999999E-2</v>
      </c>
      <c r="F416" s="114" t="s">
        <v>3069</v>
      </c>
      <c r="G416" s="113" t="s">
        <v>3070</v>
      </c>
      <c r="H416" s="113" t="s">
        <v>3120</v>
      </c>
      <c r="I416" s="144" t="s">
        <v>3121</v>
      </c>
      <c r="J416" s="148" t="str">
        <f t="shared" si="104"/>
        <v>https://doi.org/10.1109/ISSCC49657.2024.10454297</v>
      </c>
      <c r="K416" s="32" t="s">
        <v>1050</v>
      </c>
      <c r="L416" s="84">
        <v>0.9</v>
      </c>
      <c r="M416" s="84"/>
      <c r="O416" s="87">
        <v>2</v>
      </c>
      <c r="P416" s="17">
        <v>3.6999999999999998E-2</v>
      </c>
      <c r="R416" s="89">
        <v>23200000</v>
      </c>
      <c r="S416" s="87">
        <v>73.900000000000006</v>
      </c>
      <c r="U416" s="87">
        <v>76.099999999999994</v>
      </c>
      <c r="W416" s="58">
        <v>89.4</v>
      </c>
      <c r="X416" s="29">
        <f t="shared" si="108"/>
        <v>73.900000000000006</v>
      </c>
      <c r="Y416" s="89">
        <v>3.6000000000000002E-4</v>
      </c>
      <c r="Z416" s="122">
        <v>50000000</v>
      </c>
      <c r="AA416" s="110">
        <v>1</v>
      </c>
      <c r="AB416" s="89">
        <f>Z416/AA416</f>
        <v>50000000</v>
      </c>
      <c r="AD416" s="65">
        <f t="shared" si="116"/>
        <v>7.2000000000000011</v>
      </c>
      <c r="AE416" s="29" t="str">
        <f t="shared" si="106"/>
        <v/>
      </c>
      <c r="AF416" s="29">
        <f t="shared" si="109"/>
        <v>1.77816904953662</v>
      </c>
      <c r="AG416" s="6" t="str">
        <f t="shared" si="107"/>
        <v/>
      </c>
      <c r="AH416" s="54">
        <f t="shared" si="110"/>
        <v>182.3163750790475</v>
      </c>
      <c r="AI416" s="89">
        <f t="shared" si="117"/>
        <v>3.5563380990732399E-8</v>
      </c>
      <c r="AJ416" s="67">
        <f t="shared" si="118"/>
        <v>259.30607512240772</v>
      </c>
    </row>
    <row r="417" spans="1:36" x14ac:dyDescent="0.3">
      <c r="A417" s="94">
        <v>2024</v>
      </c>
      <c r="B417" s="58">
        <v>9.5</v>
      </c>
      <c r="C417" s="8" t="s">
        <v>22</v>
      </c>
      <c r="D417" s="115" t="s">
        <v>30</v>
      </c>
      <c r="E417" s="105">
        <v>0.13</v>
      </c>
      <c r="F417" s="114" t="s">
        <v>3071</v>
      </c>
      <c r="G417" s="113" t="s">
        <v>3072</v>
      </c>
      <c r="H417" s="113" t="s">
        <v>3122</v>
      </c>
      <c r="I417" s="144" t="s">
        <v>3123</v>
      </c>
      <c r="J417" s="148" t="str">
        <f t="shared" si="104"/>
        <v>https://doi.org/10.1109/ISSCC49657.2024.10454526</v>
      </c>
      <c r="K417" s="32" t="s">
        <v>1050</v>
      </c>
      <c r="L417" s="84">
        <v>3.3</v>
      </c>
      <c r="M417" s="84">
        <v>1.8</v>
      </c>
      <c r="P417" s="17">
        <v>0.48</v>
      </c>
      <c r="R417" s="89">
        <v>20000</v>
      </c>
      <c r="S417" s="87">
        <v>103.9</v>
      </c>
      <c r="U417" s="87">
        <v>116.3</v>
      </c>
      <c r="X417" s="29">
        <f t="shared" si="108"/>
        <v>103.9</v>
      </c>
      <c r="Y417" s="89">
        <v>3.31E-3</v>
      </c>
      <c r="Z417" s="122">
        <v>3072000</v>
      </c>
      <c r="AA417" s="110">
        <f>Z417/AB417</f>
        <v>76.8</v>
      </c>
      <c r="AB417" s="89">
        <v>40000</v>
      </c>
      <c r="AD417" s="65">
        <f t="shared" si="116"/>
        <v>82750</v>
      </c>
      <c r="AE417" s="29" t="str">
        <f t="shared" si="106"/>
        <v/>
      </c>
      <c r="AF417" s="29">
        <f t="shared" si="109"/>
        <v>646.03950052445646</v>
      </c>
      <c r="AG417" s="6" t="str">
        <f t="shared" si="107"/>
        <v/>
      </c>
      <c r="AH417" s="54">
        <f t="shared" si="110"/>
        <v>171.71202001888264</v>
      </c>
      <c r="AI417" s="89">
        <f t="shared" si="117"/>
        <v>1.6150987513111413E-2</v>
      </c>
      <c r="AJ417" s="67">
        <f t="shared" si="118"/>
        <v>217.73261993216227</v>
      </c>
    </row>
    <row r="418" spans="1:36" x14ac:dyDescent="0.3">
      <c r="A418" s="94">
        <v>2024</v>
      </c>
      <c r="B418" s="58">
        <v>9.6</v>
      </c>
      <c r="C418" s="8" t="s">
        <v>22</v>
      </c>
      <c r="D418" s="115" t="s">
        <v>30</v>
      </c>
      <c r="E418" s="105">
        <v>1.4E-2</v>
      </c>
      <c r="F418" s="114" t="s">
        <v>3073</v>
      </c>
      <c r="G418" s="113" t="s">
        <v>3074</v>
      </c>
      <c r="H418" s="113" t="s">
        <v>3124</v>
      </c>
      <c r="I418" s="144" t="s">
        <v>3125</v>
      </c>
      <c r="J418" s="148" t="str">
        <f t="shared" si="104"/>
        <v>https://doi.org/10.1109/ISSCC49657.2024.10454568</v>
      </c>
      <c r="K418" s="32" t="s">
        <v>1050</v>
      </c>
      <c r="L418" s="84">
        <v>1.05</v>
      </c>
      <c r="M418" s="84"/>
      <c r="P418" s="17">
        <v>8.3000000000000004E-2</v>
      </c>
      <c r="R418" s="89">
        <v>625000</v>
      </c>
      <c r="S418" s="87">
        <v>74.7</v>
      </c>
      <c r="T418" s="40">
        <v>75</v>
      </c>
      <c r="U418" s="87">
        <v>75</v>
      </c>
      <c r="W418" s="58">
        <v>84.2</v>
      </c>
      <c r="X418" s="29">
        <f t="shared" si="108"/>
        <v>74.7</v>
      </c>
      <c r="Y418" s="89">
        <v>8.8000000000000003E-4</v>
      </c>
      <c r="Z418" s="89">
        <v>80000000</v>
      </c>
      <c r="AA418" s="110">
        <f>Z418/AB418</f>
        <v>10</v>
      </c>
      <c r="AB418" s="89">
        <v>8000000</v>
      </c>
      <c r="AD418" s="65">
        <f t="shared" si="116"/>
        <v>110.00000000000001</v>
      </c>
      <c r="AE418" s="29" t="str">
        <f t="shared" si="106"/>
        <v/>
      </c>
      <c r="AF418" s="29">
        <f t="shared" si="109"/>
        <v>24.775889152842016</v>
      </c>
      <c r="AG418" s="6" t="str">
        <f t="shared" si="107"/>
        <v/>
      </c>
      <c r="AH418" s="54">
        <f t="shared" si="110"/>
        <v>171.27577319177794</v>
      </c>
      <c r="AI418" s="89">
        <f t="shared" si="117"/>
        <v>3.0969861441052518E-6</v>
      </c>
      <c r="AJ418" s="67">
        <f t="shared" si="118"/>
        <v>240.30667306169738</v>
      </c>
    </row>
    <row r="419" spans="1:36" x14ac:dyDescent="0.3">
      <c r="A419" s="94">
        <v>2024</v>
      </c>
      <c r="B419" s="58">
        <v>9.6999999999999993</v>
      </c>
      <c r="C419" s="8" t="s">
        <v>22</v>
      </c>
      <c r="D419" s="115" t="s">
        <v>31</v>
      </c>
      <c r="E419" s="105">
        <v>2.8000000000000001E-2</v>
      </c>
      <c r="F419" s="114" t="s">
        <v>3075</v>
      </c>
      <c r="G419" s="113" t="s">
        <v>3076</v>
      </c>
      <c r="H419" s="113" t="s">
        <v>3126</v>
      </c>
      <c r="I419" s="144" t="s">
        <v>3127</v>
      </c>
      <c r="J419" s="148" t="str">
        <f t="shared" si="104"/>
        <v>https://doi.org/10.1109/ISSCC49657.2024.10454362</v>
      </c>
      <c r="K419" s="32" t="s">
        <v>1050</v>
      </c>
      <c r="L419" s="84">
        <v>1</v>
      </c>
      <c r="M419" s="84"/>
      <c r="P419" s="17">
        <v>0.09</v>
      </c>
      <c r="R419" s="89">
        <v>9012</v>
      </c>
      <c r="S419" s="87">
        <v>94.3</v>
      </c>
      <c r="T419" s="40">
        <v>94.4</v>
      </c>
      <c r="U419" s="87">
        <v>94.6</v>
      </c>
      <c r="W419" s="58">
        <v>106.8</v>
      </c>
      <c r="X419" s="29">
        <f t="shared" si="108"/>
        <v>94.3</v>
      </c>
      <c r="Y419" s="89">
        <v>1.0738000000000001E-4</v>
      </c>
      <c r="Z419" s="89">
        <v>5000000</v>
      </c>
      <c r="AA419" s="110">
        <v>25</v>
      </c>
      <c r="AB419" s="89">
        <f t="shared" ref="AB419:AB424" si="122">Z419/AA419</f>
        <v>200000</v>
      </c>
      <c r="AD419" s="65">
        <f t="shared" si="116"/>
        <v>536.9</v>
      </c>
      <c r="AE419" s="29" t="str">
        <f t="shared" si="106"/>
        <v/>
      </c>
      <c r="AF419" s="29">
        <f t="shared" si="109"/>
        <v>12.659959251572449</v>
      </c>
      <c r="AG419" s="6" t="str">
        <f t="shared" si="107"/>
        <v/>
      </c>
      <c r="AH419" s="54">
        <f t="shared" si="110"/>
        <v>183.9907660037278</v>
      </c>
      <c r="AI419" s="89">
        <f t="shared" si="117"/>
        <v>6.3299796257862249E-5</v>
      </c>
      <c r="AJ419" s="67">
        <f t="shared" si="118"/>
        <v>237.00106596036761</v>
      </c>
    </row>
    <row r="420" spans="1:36" x14ac:dyDescent="0.3">
      <c r="A420" s="94">
        <v>2024</v>
      </c>
      <c r="B420" s="58">
        <v>9.8000000000000007</v>
      </c>
      <c r="C420" s="8" t="s">
        <v>23</v>
      </c>
      <c r="D420" s="115" t="s">
        <v>745</v>
      </c>
      <c r="E420" s="105">
        <v>0.04</v>
      </c>
      <c r="F420" s="114" t="s">
        <v>3077</v>
      </c>
      <c r="G420" s="113" t="s">
        <v>3078</v>
      </c>
      <c r="H420" s="113" t="s">
        <v>3128</v>
      </c>
      <c r="I420" s="144" t="s">
        <v>3129</v>
      </c>
      <c r="J420" s="148" t="str">
        <f t="shared" si="104"/>
        <v>https://doi.org/10.1109/ISSCC49657.2024.10454329</v>
      </c>
      <c r="K420" s="32" t="s">
        <v>3108</v>
      </c>
      <c r="L420" s="84">
        <v>3.3</v>
      </c>
      <c r="M420" s="84">
        <v>1.1000000000000001</v>
      </c>
      <c r="P420" s="17">
        <v>0.9</v>
      </c>
      <c r="Q420" s="87">
        <v>93.7</v>
      </c>
      <c r="R420" s="89">
        <v>1000000</v>
      </c>
      <c r="S420" s="87">
        <v>92</v>
      </c>
      <c r="T420" s="40">
        <v>92</v>
      </c>
      <c r="V420" s="40">
        <v>107</v>
      </c>
      <c r="W420" s="58">
        <v>119</v>
      </c>
      <c r="X420" s="29">
        <f t="shared" si="108"/>
        <v>92</v>
      </c>
      <c r="Y420" s="89">
        <v>0.05</v>
      </c>
      <c r="Z420" s="89">
        <v>40000000</v>
      </c>
      <c r="AA420" s="110">
        <v>1</v>
      </c>
      <c r="AB420" s="89">
        <f t="shared" si="122"/>
        <v>40000000</v>
      </c>
      <c r="AD420" s="65">
        <f t="shared" si="116"/>
        <v>1250</v>
      </c>
      <c r="AE420" s="29">
        <f t="shared" si="106"/>
        <v>31.582892818696493</v>
      </c>
      <c r="AF420" s="29">
        <f t="shared" si="109"/>
        <v>38.411421280088689</v>
      </c>
      <c r="AG420" s="6">
        <f t="shared" si="107"/>
        <v>179.72059991327961</v>
      </c>
      <c r="AH420" s="54">
        <f t="shared" si="110"/>
        <v>178.02059991327963</v>
      </c>
      <c r="AI420" s="89">
        <f t="shared" si="117"/>
        <v>9.6028553200221729E-7</v>
      </c>
      <c r="AJ420" s="67">
        <f t="shared" si="118"/>
        <v>254.04119982655925</v>
      </c>
    </row>
    <row r="421" spans="1:36" x14ac:dyDescent="0.3">
      <c r="A421" s="94">
        <v>2024</v>
      </c>
      <c r="B421" s="58">
        <v>9.9</v>
      </c>
      <c r="C421" s="8" t="s">
        <v>23</v>
      </c>
      <c r="D421" s="115" t="s">
        <v>31</v>
      </c>
      <c r="E421" s="105">
        <v>6.5000000000000002E-2</v>
      </c>
      <c r="F421" s="114" t="s">
        <v>3079</v>
      </c>
      <c r="G421" s="113" t="s">
        <v>3098</v>
      </c>
      <c r="H421" s="113" t="s">
        <v>3130</v>
      </c>
      <c r="I421" s="140" t="s">
        <v>3131</v>
      </c>
      <c r="J421" s="148" t="str">
        <f t="shared" si="104"/>
        <v>https://doi.org/10.1109/ISSCC49657.2024.10454566</v>
      </c>
      <c r="K421" s="32" t="s">
        <v>1050</v>
      </c>
      <c r="L421" s="84">
        <v>0.75</v>
      </c>
      <c r="M421" s="84"/>
      <c r="O421" s="58">
        <v>2.5</v>
      </c>
      <c r="P421" s="17">
        <v>3.7199999999999997E-2</v>
      </c>
      <c r="R421" s="89">
        <v>981000</v>
      </c>
      <c r="S421" s="87">
        <v>70.599999999999994</v>
      </c>
      <c r="W421" s="58">
        <v>89.6</v>
      </c>
      <c r="X421" s="29">
        <f t="shared" si="108"/>
        <v>70.599999999999994</v>
      </c>
      <c r="Y421" s="89">
        <v>1.5099999999999999E-5</v>
      </c>
      <c r="Z421" s="89">
        <v>2000000</v>
      </c>
      <c r="AA421" s="110">
        <v>1</v>
      </c>
      <c r="AB421" s="89">
        <f t="shared" si="122"/>
        <v>2000000</v>
      </c>
      <c r="AD421" s="65">
        <f t="shared" si="116"/>
        <v>7.5499999999999989</v>
      </c>
      <c r="AE421" s="29" t="str">
        <f t="shared" si="106"/>
        <v/>
      </c>
      <c r="AF421" s="29">
        <f t="shared" si="109"/>
        <v>2.7264902233615023</v>
      </c>
      <c r="AG421" s="6" t="str">
        <f t="shared" si="107"/>
        <v/>
      </c>
      <c r="AH421" s="54">
        <f t="shared" si="110"/>
        <v>178.81023052706831</v>
      </c>
      <c r="AI421" s="89">
        <f t="shared" si="117"/>
        <v>1.363245111680751E-6</v>
      </c>
      <c r="AJ421" s="67">
        <f t="shared" si="118"/>
        <v>241.82053048370813</v>
      </c>
    </row>
    <row r="422" spans="1:36" x14ac:dyDescent="0.3">
      <c r="A422" s="94">
        <v>2024</v>
      </c>
      <c r="B422" s="58">
        <v>18.100000000000001</v>
      </c>
      <c r="C422" s="8" t="s">
        <v>23</v>
      </c>
      <c r="D422" s="115" t="s">
        <v>592</v>
      </c>
      <c r="E422" s="105">
        <v>1.6E-2</v>
      </c>
      <c r="F422" s="114" t="s">
        <v>3080</v>
      </c>
      <c r="G422" s="113" t="s">
        <v>3081</v>
      </c>
      <c r="H422" s="113" t="s">
        <v>3084</v>
      </c>
      <c r="I422" s="140" t="s">
        <v>3083</v>
      </c>
      <c r="J422" s="148" t="str">
        <f t="shared" si="104"/>
        <v>https://doi.org/10.1109/ISSCC49657.2024.10454499</v>
      </c>
      <c r="K422" s="32" t="s">
        <v>3082</v>
      </c>
      <c r="L422" s="84"/>
      <c r="M422" s="84"/>
      <c r="Q422" s="87">
        <v>42.8</v>
      </c>
      <c r="R422" s="89">
        <v>20900000000</v>
      </c>
      <c r="S422" s="87">
        <v>39.200000000000003</v>
      </c>
      <c r="W422" s="58">
        <v>50.7</v>
      </c>
      <c r="X422" s="29">
        <f t="shared" si="108"/>
        <v>39.200000000000003</v>
      </c>
      <c r="Y422" s="89">
        <v>0.69799999999999995</v>
      </c>
      <c r="Z422" s="122">
        <v>105000000000</v>
      </c>
      <c r="AA422" s="110">
        <v>1</v>
      </c>
      <c r="AB422" s="122">
        <f t="shared" si="122"/>
        <v>105000000000</v>
      </c>
      <c r="AD422" s="65">
        <f t="shared" si="116"/>
        <v>6.6476190476190471</v>
      </c>
      <c r="AE422" s="29">
        <f t="shared" si="106"/>
        <v>58.946990155777655</v>
      </c>
      <c r="AF422" s="29">
        <f t="shared" si="109"/>
        <v>89.2235651244997</v>
      </c>
      <c r="AG422" s="6">
        <f t="shared" si="107"/>
        <v>151.56303880782798</v>
      </c>
      <c r="AH422" s="54">
        <f t="shared" si="110"/>
        <v>147.96303880782796</v>
      </c>
      <c r="AI422" s="89">
        <f t="shared" si="117"/>
        <v>8.4974823928094948E-10</v>
      </c>
      <c r="AJ422" s="67">
        <f t="shared" si="118"/>
        <v>258.17493179852733</v>
      </c>
    </row>
    <row r="423" spans="1:36" x14ac:dyDescent="0.3">
      <c r="A423" s="94">
        <v>2024</v>
      </c>
      <c r="B423" s="58">
        <v>18.399999999999999</v>
      </c>
      <c r="C423" s="8" t="s">
        <v>23</v>
      </c>
      <c r="D423" s="115" t="s">
        <v>592</v>
      </c>
      <c r="E423" s="105">
        <v>5.0000000000000001E-3</v>
      </c>
      <c r="F423" s="17" t="s">
        <v>3085</v>
      </c>
      <c r="G423" s="113" t="s">
        <v>3086</v>
      </c>
      <c r="H423" s="113" t="s">
        <v>3100</v>
      </c>
      <c r="I423" s="140" t="s">
        <v>3099</v>
      </c>
      <c r="J423" s="148" t="str">
        <f t="shared" si="104"/>
        <v>https://doi.org/10.1109/ISSCC49657.2024.10454385</v>
      </c>
      <c r="K423" s="32" t="s">
        <v>3101</v>
      </c>
      <c r="L423" s="84"/>
      <c r="M423" s="84"/>
      <c r="Q423" s="87">
        <v>41.5</v>
      </c>
      <c r="R423" s="89">
        <v>20000000000</v>
      </c>
      <c r="S423" s="87">
        <v>36.1</v>
      </c>
      <c r="W423" s="87">
        <v>42</v>
      </c>
      <c r="X423" s="29">
        <f t="shared" si="108"/>
        <v>36.1</v>
      </c>
      <c r="Y423" s="89">
        <v>0.4</v>
      </c>
      <c r="Z423" s="89">
        <v>200000000000</v>
      </c>
      <c r="AA423" s="110">
        <v>1</v>
      </c>
      <c r="AB423" s="122">
        <f t="shared" si="122"/>
        <v>200000000000</v>
      </c>
      <c r="AD423" s="65">
        <f t="shared" si="116"/>
        <v>2</v>
      </c>
      <c r="AE423" s="29">
        <f t="shared" si="106"/>
        <v>20.598328712128911</v>
      </c>
      <c r="AF423" s="29">
        <f t="shared" si="109"/>
        <v>38.358259317005036</v>
      </c>
      <c r="AG423" s="6">
        <f t="shared" si="107"/>
        <v>155.47940008672037</v>
      </c>
      <c r="AH423" s="54">
        <f t="shared" si="110"/>
        <v>150.07940008672037</v>
      </c>
      <c r="AI423" s="89">
        <f t="shared" si="117"/>
        <v>1.9179129658502518E-10</v>
      </c>
      <c r="AJ423" s="67">
        <f t="shared" si="118"/>
        <v>263.08970004336015</v>
      </c>
    </row>
    <row r="424" spans="1:36" x14ac:dyDescent="0.3">
      <c r="A424" s="94">
        <v>2024</v>
      </c>
      <c r="B424" s="58">
        <v>22.1</v>
      </c>
      <c r="C424" s="8" t="s">
        <v>23</v>
      </c>
      <c r="D424" s="115" t="s">
        <v>260</v>
      </c>
      <c r="E424" s="105">
        <v>2.8000000000000001E-2</v>
      </c>
      <c r="F424" s="114" t="s">
        <v>3087</v>
      </c>
      <c r="G424" s="113" t="s">
        <v>3088</v>
      </c>
      <c r="H424" s="113" t="s">
        <v>3102</v>
      </c>
      <c r="I424" s="144" t="s">
        <v>3103</v>
      </c>
      <c r="J424" s="148" t="str">
        <f t="shared" si="104"/>
        <v>https://doi.org/10.1109/ISSCC49657.2024.10454350</v>
      </c>
      <c r="K424" s="32" t="s">
        <v>1050</v>
      </c>
      <c r="L424" s="84">
        <v>1.1000000000000001</v>
      </c>
      <c r="M424" s="84">
        <v>1</v>
      </c>
      <c r="N424" s="58">
        <v>-0.1</v>
      </c>
      <c r="P424" s="88">
        <v>0.24</v>
      </c>
      <c r="Q424" s="87">
        <v>59.9</v>
      </c>
      <c r="R424" s="89">
        <v>5710000000</v>
      </c>
      <c r="S424" s="87">
        <v>54.1</v>
      </c>
      <c r="W424" s="87">
        <v>66</v>
      </c>
      <c r="X424" s="29">
        <f t="shared" si="108"/>
        <v>54.1</v>
      </c>
      <c r="Y424" s="89">
        <v>0.17979999999999999</v>
      </c>
      <c r="Z424" s="122">
        <v>12000000000</v>
      </c>
      <c r="AA424" s="110">
        <v>1</v>
      </c>
      <c r="AB424" s="122">
        <f t="shared" si="122"/>
        <v>12000000000</v>
      </c>
      <c r="AD424" s="65">
        <f t="shared" ref="AD424:AD428" si="123">IF(AB424&gt;0, Y424/AB424*1000000000000, 0)</f>
        <v>14.983333333333331</v>
      </c>
      <c r="AE424" s="29">
        <f t="shared" si="106"/>
        <v>18.548925162045009</v>
      </c>
      <c r="AF424" s="29">
        <f t="shared" si="109"/>
        <v>36.169928352250047</v>
      </c>
      <c r="AG424" s="6">
        <f t="shared" si="107"/>
        <v>165.13361562986435</v>
      </c>
      <c r="AH424" s="54">
        <f t="shared" si="110"/>
        <v>159.33361562986434</v>
      </c>
      <c r="AI424" s="89">
        <f t="shared" ref="AI424:AI428" si="124">AF424/AB424</f>
        <v>3.0141606960208374E-9</v>
      </c>
      <c r="AJ424" s="67">
        <f t="shared" ref="AJ424:AJ428" si="125">AH424+10*LOG10(AB424)</f>
        <v>260.12542809034062</v>
      </c>
    </row>
    <row r="425" spans="1:36" x14ac:dyDescent="0.3">
      <c r="A425" s="94">
        <v>2024</v>
      </c>
      <c r="B425" s="58">
        <v>22.2</v>
      </c>
      <c r="C425" s="8" t="s">
        <v>23</v>
      </c>
      <c r="D425" s="115" t="s">
        <v>3050</v>
      </c>
      <c r="E425" s="105">
        <v>1.6E-2</v>
      </c>
      <c r="F425" s="114" t="s">
        <v>3089</v>
      </c>
      <c r="G425" s="113" t="s">
        <v>3090</v>
      </c>
      <c r="H425" s="113" t="s">
        <v>3104</v>
      </c>
      <c r="I425" s="140" t="s">
        <v>3105</v>
      </c>
      <c r="J425" s="148" t="str">
        <f t="shared" si="104"/>
        <v>https://doi.org/10.1109/ISSCC49657.2024.10454477</v>
      </c>
      <c r="K425" s="32" t="s">
        <v>1050</v>
      </c>
      <c r="L425" s="84">
        <v>1.8</v>
      </c>
      <c r="M425" s="84">
        <v>1</v>
      </c>
      <c r="N425" s="58">
        <v>0.8</v>
      </c>
      <c r="P425" s="153">
        <v>3</v>
      </c>
      <c r="R425" s="89">
        <v>229000000</v>
      </c>
      <c r="S425" s="87">
        <v>71.2</v>
      </c>
      <c r="T425" s="40">
        <v>73.5</v>
      </c>
      <c r="U425" s="87">
        <v>75.2</v>
      </c>
      <c r="W425" s="87">
        <v>75</v>
      </c>
      <c r="X425" s="29">
        <f t="shared" si="108"/>
        <v>71.2</v>
      </c>
      <c r="Y425" s="89">
        <v>0.70299999999999996</v>
      </c>
      <c r="Z425" s="122">
        <v>6400000000</v>
      </c>
      <c r="AA425" s="110">
        <v>1</v>
      </c>
      <c r="AB425" s="122">
        <f>Z425/AA425</f>
        <v>6400000000</v>
      </c>
      <c r="AD425" s="65">
        <f t="shared" si="123"/>
        <v>109.84375</v>
      </c>
      <c r="AE425" s="29" t="str">
        <f t="shared" si="106"/>
        <v/>
      </c>
      <c r="AF425" s="29">
        <f t="shared" si="109"/>
        <v>37.01939820896424</v>
      </c>
      <c r="AG425" s="6" t="str">
        <f t="shared" si="107"/>
        <v/>
      </c>
      <c r="AH425" s="54">
        <f t="shared" si="110"/>
        <v>167.78194653300085</v>
      </c>
      <c r="AI425" s="89">
        <f t="shared" si="124"/>
        <v>5.7842809701506625E-9</v>
      </c>
      <c r="AJ425" s="67">
        <f t="shared" si="125"/>
        <v>265.84374627283972</v>
      </c>
    </row>
    <row r="426" spans="1:36" x14ac:dyDescent="0.3">
      <c r="A426" s="94">
        <v>2024</v>
      </c>
      <c r="B426" s="58">
        <v>22.3</v>
      </c>
      <c r="C426" s="8" t="s">
        <v>23</v>
      </c>
      <c r="D426" s="115" t="s">
        <v>2983</v>
      </c>
      <c r="E426" s="105">
        <v>2.1999999999999999E-2</v>
      </c>
      <c r="F426" s="114" t="s">
        <v>3091</v>
      </c>
      <c r="G426" s="113" t="s">
        <v>3092</v>
      </c>
      <c r="H426" s="113" t="s">
        <v>3106</v>
      </c>
      <c r="I426" s="144" t="s">
        <v>3107</v>
      </c>
      <c r="J426" s="148" t="str">
        <f t="shared" si="104"/>
        <v>https://doi.org/10.1109/ISSCC49657.2024.10454355</v>
      </c>
      <c r="K426" s="32" t="s">
        <v>3108</v>
      </c>
      <c r="L426" s="84">
        <v>0.85</v>
      </c>
      <c r="M426" s="84"/>
      <c r="O426" s="58">
        <v>2.5000000000000001E-2</v>
      </c>
      <c r="P426" s="88">
        <v>0.10299999999999999</v>
      </c>
      <c r="Q426" s="87">
        <v>37.299999999999997</v>
      </c>
      <c r="R426" s="89">
        <v>20000000000</v>
      </c>
      <c r="S426" s="87">
        <v>32.299999999999997</v>
      </c>
      <c r="W426" s="87">
        <v>45</v>
      </c>
      <c r="X426" s="29">
        <f t="shared" si="108"/>
        <v>32.299999999999997</v>
      </c>
      <c r="Y426" s="89">
        <v>6.6100000000000006E-2</v>
      </c>
      <c r="Z426" s="122">
        <v>40000000000</v>
      </c>
      <c r="AA426" s="110">
        <v>1</v>
      </c>
      <c r="AB426" s="122">
        <f>Z426/AA426</f>
        <v>40000000000</v>
      </c>
      <c r="AD426" s="65">
        <f t="shared" si="123"/>
        <v>1.6525000000000001</v>
      </c>
      <c r="AE426" s="29">
        <f t="shared" si="106"/>
        <v>27.60351474402912</v>
      </c>
      <c r="AF426" s="29">
        <f t="shared" si="109"/>
        <v>49.089577861311007</v>
      </c>
      <c r="AG426" s="6">
        <f t="shared" si="107"/>
        <v>152.10828536178343</v>
      </c>
      <c r="AH426" s="54">
        <f t="shared" si="110"/>
        <v>147.10828536178343</v>
      </c>
      <c r="AI426" s="89">
        <f t="shared" si="124"/>
        <v>1.2272394465327751E-9</v>
      </c>
      <c r="AJ426" s="67">
        <f t="shared" si="125"/>
        <v>253.12888527506306</v>
      </c>
    </row>
    <row r="427" spans="1:36" x14ac:dyDescent="0.3">
      <c r="A427" s="94">
        <v>2024</v>
      </c>
      <c r="B427" s="58">
        <v>22.4</v>
      </c>
      <c r="C427" s="8" t="s">
        <v>23</v>
      </c>
      <c r="D427" s="115" t="s">
        <v>592</v>
      </c>
      <c r="E427" s="105">
        <v>2.8000000000000001E-2</v>
      </c>
      <c r="F427" s="114" t="s">
        <v>3093</v>
      </c>
      <c r="G427" s="113" t="s">
        <v>3094</v>
      </c>
      <c r="H427" s="113" t="s">
        <v>3109</v>
      </c>
      <c r="I427" s="144" t="s">
        <v>3110</v>
      </c>
      <c r="J427" s="148" t="str">
        <f t="shared" si="104"/>
        <v>https://doi.org/10.1109/ISSCC49657.2024.10454299</v>
      </c>
      <c r="K427" s="32" t="s">
        <v>3108</v>
      </c>
      <c r="L427" s="84">
        <v>1.1000000000000001</v>
      </c>
      <c r="M427" s="84">
        <v>0.9</v>
      </c>
      <c r="P427" s="17">
        <v>1.4999999999999999E-2</v>
      </c>
      <c r="R427" s="89">
        <v>2400000000</v>
      </c>
      <c r="S427" s="87">
        <v>44.3</v>
      </c>
      <c r="W427" s="58">
        <v>58.2</v>
      </c>
      <c r="X427" s="29">
        <f t="shared" si="108"/>
        <v>44.3</v>
      </c>
      <c r="Y427" s="89">
        <v>7.7000000000000002E-3</v>
      </c>
      <c r="Z427" s="122">
        <v>4800000000</v>
      </c>
      <c r="AA427" s="110">
        <v>1</v>
      </c>
      <c r="AB427" s="122">
        <f>Z427/AA427</f>
        <v>4800000000</v>
      </c>
      <c r="AD427" s="65">
        <f t="shared" si="123"/>
        <v>1.6041666666666667</v>
      </c>
      <c r="AE427" s="29" t="str">
        <f t="shared" si="106"/>
        <v/>
      </c>
      <c r="AF427" s="29">
        <f t="shared" si="109"/>
        <v>11.968439397736242</v>
      </c>
      <c r="AG427" s="6" t="str">
        <f t="shared" si="107"/>
        <v/>
      </c>
      <c r="AH427" s="54">
        <f t="shared" si="110"/>
        <v>159.23720516539123</v>
      </c>
      <c r="AI427" s="89">
        <f t="shared" si="124"/>
        <v>2.493424874528384E-9</v>
      </c>
      <c r="AJ427" s="67">
        <f t="shared" si="125"/>
        <v>256.04961753914711</v>
      </c>
    </row>
    <row r="428" spans="1:36" x14ac:dyDescent="0.3">
      <c r="A428" s="94">
        <v>2024</v>
      </c>
      <c r="B428" s="58">
        <v>22.5</v>
      </c>
      <c r="C428" s="8" t="s">
        <v>23</v>
      </c>
      <c r="D428" s="115" t="s">
        <v>3097</v>
      </c>
      <c r="E428" s="105">
        <v>1.6E-2</v>
      </c>
      <c r="F428" s="114" t="s">
        <v>3095</v>
      </c>
      <c r="G428" s="113" t="s">
        <v>3096</v>
      </c>
      <c r="H428" s="113" t="s">
        <v>3111</v>
      </c>
      <c r="I428" s="144" t="s">
        <v>3112</v>
      </c>
      <c r="J428" s="148" t="str">
        <f t="shared" si="104"/>
        <v>https://doi.org/10.1109/ISSCC49657.2024.10454361</v>
      </c>
      <c r="K428" s="32" t="s">
        <v>3113</v>
      </c>
      <c r="L428" s="84">
        <v>0.8</v>
      </c>
      <c r="M428" s="84"/>
      <c r="P428" s="17">
        <v>7.0000000000000007E-2</v>
      </c>
      <c r="Q428" s="87">
        <v>32.5</v>
      </c>
      <c r="R428" s="89">
        <v>20800000000</v>
      </c>
      <c r="S428" s="87">
        <v>28.9</v>
      </c>
      <c r="W428" s="58">
        <v>36.299999999999997</v>
      </c>
      <c r="X428" s="29">
        <f t="shared" si="108"/>
        <v>28.9</v>
      </c>
      <c r="Y428" s="89">
        <v>9.6000000000000002E-2</v>
      </c>
      <c r="Z428" s="122">
        <v>42000000000</v>
      </c>
      <c r="AA428" s="110">
        <v>1</v>
      </c>
      <c r="AB428" s="122">
        <f>Z428/AA428</f>
        <v>42000000000</v>
      </c>
      <c r="AD428" s="65">
        <f t="shared" si="123"/>
        <v>2.285714285714286</v>
      </c>
      <c r="AE428" s="29">
        <f t="shared" si="106"/>
        <v>66.354254689583797</v>
      </c>
      <c r="AF428" s="29">
        <f t="shared" si="109"/>
        <v>100.43537675016375</v>
      </c>
      <c r="AG428" s="6">
        <f t="shared" si="107"/>
        <v>145.89948061694349</v>
      </c>
      <c r="AH428" s="54">
        <f t="shared" si="110"/>
        <v>142.2994806169435</v>
      </c>
      <c r="AI428" s="89">
        <f t="shared" si="124"/>
        <v>2.3913184940515179E-9</v>
      </c>
      <c r="AJ428" s="67">
        <f t="shared" si="125"/>
        <v>248.53197352092252</v>
      </c>
    </row>
    <row r="429" spans="1:36" x14ac:dyDescent="0.3">
      <c r="A429" s="152">
        <v>2025</v>
      </c>
      <c r="B429" s="58">
        <v>7.5</v>
      </c>
      <c r="C429" s="58" t="s">
        <v>23</v>
      </c>
      <c r="D429" s="115" t="s">
        <v>2983</v>
      </c>
      <c r="E429" s="105">
        <v>5.0000000000000001E-3</v>
      </c>
      <c r="F429" s="95" t="s">
        <v>3247</v>
      </c>
      <c r="G429" s="96" t="s">
        <v>3248</v>
      </c>
      <c r="H429" s="96" t="s">
        <v>3249</v>
      </c>
      <c r="I429" s="140" t="s">
        <v>3244</v>
      </c>
      <c r="J429" s="148" t="str">
        <f t="shared" si="104"/>
        <v>https://doi.org/10.1109/ISSCC49661.2025.10904707</v>
      </c>
      <c r="K429" s="86" t="s">
        <v>1050</v>
      </c>
      <c r="L429" s="84">
        <v>0.64</v>
      </c>
      <c r="P429" s="158">
        <f>0.307*0.093</f>
        <v>2.8551E-2</v>
      </c>
      <c r="R429" s="89">
        <v>774400000</v>
      </c>
      <c r="S429" s="87">
        <v>34.409999999999997</v>
      </c>
      <c r="T429" s="40">
        <v>35.520000000000003</v>
      </c>
      <c r="V429" s="40">
        <v>40.86</v>
      </c>
      <c r="W429" s="58">
        <v>42.7</v>
      </c>
      <c r="X429" s="29">
        <f t="shared" si="108"/>
        <v>34.409999999999997</v>
      </c>
      <c r="Y429" s="89">
        <v>5.7599999999999998E-2</v>
      </c>
      <c r="Z429" s="89">
        <v>52000000000</v>
      </c>
      <c r="AA429" s="110">
        <v>1</v>
      </c>
      <c r="AB429" s="89">
        <f>Z429/AA429</f>
        <v>52000000000</v>
      </c>
      <c r="AD429" s="65">
        <f t="shared" ref="AD429:AD447" si="126">IF(AB429&gt;0, Y429/AB429*1000000000000, 0)</f>
        <v>1.1076923076923078</v>
      </c>
      <c r="AE429" s="29" t="str">
        <f t="shared" si="106"/>
        <v/>
      </c>
      <c r="AF429" s="29">
        <f t="shared" si="109"/>
        <v>25.808125126963379</v>
      </c>
      <c r="AG429" s="6" t="str">
        <f t="shared" si="107"/>
        <v/>
      </c>
      <c r="AH429" s="54">
        <f t="shared" si="110"/>
        <v>150.95550864547604</v>
      </c>
      <c r="AI429" s="89">
        <f t="shared" ref="AI429:AI447" si="127">AF429/AB429</f>
        <v>4.9631009859544964E-10</v>
      </c>
      <c r="AJ429" s="67">
        <f t="shared" ref="AJ429:AJ447" si="128">AH429+10*LOG10(AB429)</f>
        <v>258.11554208182406</v>
      </c>
    </row>
    <row r="430" spans="1:36" x14ac:dyDescent="0.3">
      <c r="A430" s="94">
        <v>2025</v>
      </c>
      <c r="B430" s="58">
        <v>15.5</v>
      </c>
      <c r="C430" s="8" t="s">
        <v>23</v>
      </c>
      <c r="D430" s="115" t="s">
        <v>3257</v>
      </c>
      <c r="E430" s="105">
        <v>6.5000000000000002E-2</v>
      </c>
      <c r="F430" s="114" t="s">
        <v>3250</v>
      </c>
      <c r="G430" s="113" t="s">
        <v>3251</v>
      </c>
      <c r="H430" s="113" t="s">
        <v>3255</v>
      </c>
      <c r="I430" s="140" t="s">
        <v>3245</v>
      </c>
      <c r="J430" s="148" t="str">
        <f t="shared" si="104"/>
        <v>https://doi.org/10.1109/ISSCC49661.2025.10904733</v>
      </c>
      <c r="K430" s="32" t="s">
        <v>3256</v>
      </c>
      <c r="L430" s="84">
        <v>0.7</v>
      </c>
      <c r="R430" s="89">
        <v>2000</v>
      </c>
      <c r="S430" s="87">
        <v>82</v>
      </c>
      <c r="X430" s="29">
        <f t="shared" si="108"/>
        <v>82</v>
      </c>
      <c r="Y430" s="89">
        <v>7.0999999999999998E-6</v>
      </c>
      <c r="Z430" s="89">
        <v>40000</v>
      </c>
      <c r="AA430" s="110">
        <v>1</v>
      </c>
      <c r="AB430" s="89">
        <f t="shared" ref="AB430" si="129">Z430/AA430</f>
        <v>40000</v>
      </c>
      <c r="AD430" s="65">
        <f t="shared" ref="AD430:AD431" si="130">IF(AB430&gt;0, Y430/AB430*1000000000000, 0)</f>
        <v>177.5</v>
      </c>
      <c r="AE430" s="29" t="str">
        <f t="shared" si="106"/>
        <v/>
      </c>
      <c r="AF430" s="29">
        <f t="shared" si="109"/>
        <v>17.250375301271468</v>
      </c>
      <c r="AG430" s="6" t="str">
        <f t="shared" si="107"/>
        <v/>
      </c>
      <c r="AH430" s="54">
        <f t="shared" si="110"/>
        <v>176.49771646944907</v>
      </c>
      <c r="AI430" s="89">
        <f t="shared" ref="AI430:AI431" si="131">AF430/AB430</f>
        <v>4.3125938253178671E-4</v>
      </c>
      <c r="AJ430" s="67">
        <f t="shared" ref="AJ430:AJ431" si="132">AH430+10*LOG10(AB430)</f>
        <v>222.5183163827287</v>
      </c>
    </row>
    <row r="431" spans="1:36" x14ac:dyDescent="0.3">
      <c r="A431" s="94">
        <v>2025</v>
      </c>
      <c r="B431" s="58">
        <v>15.6</v>
      </c>
      <c r="C431" s="8" t="s">
        <v>22</v>
      </c>
      <c r="D431" s="115" t="s">
        <v>31</v>
      </c>
      <c r="E431" s="105">
        <v>2.1999999999999999E-2</v>
      </c>
      <c r="F431" s="113" t="s">
        <v>3252</v>
      </c>
      <c r="G431" s="113" t="s">
        <v>3253</v>
      </c>
      <c r="H431" s="119" t="s">
        <v>3254</v>
      </c>
      <c r="I431" s="140" t="s">
        <v>3246</v>
      </c>
      <c r="J431" s="148" t="str">
        <f t="shared" si="104"/>
        <v>https://doi.org/10.1109/ISSCC49661.2025.10904745</v>
      </c>
      <c r="K431" s="86" t="s">
        <v>1050</v>
      </c>
      <c r="L431" s="84">
        <v>1</v>
      </c>
      <c r="P431" s="17">
        <v>8.4000000000000005E-2</v>
      </c>
      <c r="R431" s="89">
        <v>1000</v>
      </c>
      <c r="S431" s="87">
        <v>91.81</v>
      </c>
      <c r="T431" s="40">
        <v>92.85</v>
      </c>
      <c r="W431" s="58">
        <v>107.7</v>
      </c>
      <c r="X431" s="29">
        <f t="shared" si="108"/>
        <v>91.81</v>
      </c>
      <c r="Y431" s="89">
        <v>4.6199999999999998E-6</v>
      </c>
      <c r="Z431" s="89">
        <v>200000</v>
      </c>
      <c r="AA431" s="110">
        <f>Z431/AB431</f>
        <v>100</v>
      </c>
      <c r="AB431" s="89">
        <v>2000</v>
      </c>
      <c r="AD431" s="65">
        <f t="shared" si="130"/>
        <v>2310</v>
      </c>
      <c r="AE431" s="29" t="str">
        <f t="shared" si="106"/>
        <v/>
      </c>
      <c r="AF431" s="29">
        <f t="shared" si="109"/>
        <v>72.554322417292397</v>
      </c>
      <c r="AG431" s="6" t="str">
        <f t="shared" si="107"/>
        <v/>
      </c>
      <c r="AH431" s="54">
        <f t="shared" si="110"/>
        <v>175.16358024443875</v>
      </c>
      <c r="AI431" s="89">
        <f t="shared" si="131"/>
        <v>3.62771612086462E-2</v>
      </c>
      <c r="AJ431" s="67">
        <f t="shared" si="132"/>
        <v>208.17388020107856</v>
      </c>
    </row>
    <row r="432" spans="1:36" x14ac:dyDescent="0.3">
      <c r="A432" s="94">
        <v>2025</v>
      </c>
      <c r="B432" s="58">
        <v>18.100000000000001</v>
      </c>
      <c r="C432" s="8" t="s">
        <v>22</v>
      </c>
      <c r="D432" s="115" t="s">
        <v>31</v>
      </c>
      <c r="E432" s="84">
        <v>0.18</v>
      </c>
      <c r="F432" s="95" t="s">
        <v>3192</v>
      </c>
      <c r="G432" s="113" t="s">
        <v>3193</v>
      </c>
      <c r="H432" s="113" t="s">
        <v>3258</v>
      </c>
      <c r="I432" s="144" t="s">
        <v>3232</v>
      </c>
      <c r="J432" s="148" t="str">
        <f t="shared" si="104"/>
        <v>https://doi.org/10.1109/ISSCC49661.2025.10904778</v>
      </c>
      <c r="K432" s="32" t="s">
        <v>1050</v>
      </c>
      <c r="L432" s="84">
        <v>5</v>
      </c>
      <c r="M432" s="84">
        <v>1.8</v>
      </c>
      <c r="O432" s="58">
        <v>4</v>
      </c>
      <c r="P432" s="17">
        <v>0.15</v>
      </c>
      <c r="R432" s="89">
        <v>103</v>
      </c>
      <c r="S432" s="87">
        <v>120.6</v>
      </c>
      <c r="T432" s="40">
        <v>120.8</v>
      </c>
      <c r="U432" s="87">
        <v>123.5</v>
      </c>
      <c r="W432" s="58">
        <v>132.5</v>
      </c>
      <c r="X432" s="29">
        <f t="shared" si="108"/>
        <v>120.6</v>
      </c>
      <c r="Y432" s="89">
        <v>1.3899999999999999E-4</v>
      </c>
      <c r="Z432" s="122">
        <v>2048000</v>
      </c>
      <c r="AA432" s="110">
        <f>Z432/AB432</f>
        <v>1024</v>
      </c>
      <c r="AB432" s="89">
        <v>2000</v>
      </c>
      <c r="AD432" s="65">
        <f t="shared" si="126"/>
        <v>69500</v>
      </c>
      <c r="AE432" s="29" t="str">
        <f t="shared" si="106"/>
        <v/>
      </c>
      <c r="AF432" s="29">
        <f t="shared" si="109"/>
        <v>79.321818895577607</v>
      </c>
      <c r="AG432" s="6" t="str">
        <f t="shared" si="107"/>
        <v/>
      </c>
      <c r="AH432" s="54">
        <f t="shared" si="110"/>
        <v>189.16985199745903</v>
      </c>
      <c r="AI432" s="89">
        <f t="shared" si="127"/>
        <v>3.96609094477888E-2</v>
      </c>
      <c r="AJ432" s="67">
        <f t="shared" si="128"/>
        <v>222.18015195409885</v>
      </c>
    </row>
    <row r="433" spans="1:36" x14ac:dyDescent="0.3">
      <c r="A433" s="94">
        <v>2025</v>
      </c>
      <c r="B433" s="58">
        <v>18.2</v>
      </c>
      <c r="C433" s="8" t="s">
        <v>22</v>
      </c>
      <c r="D433" s="115" t="s">
        <v>25</v>
      </c>
      <c r="E433" s="105">
        <v>5.5E-2</v>
      </c>
      <c r="F433" s="114" t="s">
        <v>3194</v>
      </c>
      <c r="G433" s="156" t="s">
        <v>3195</v>
      </c>
      <c r="H433" s="113" t="s">
        <v>3259</v>
      </c>
      <c r="I433" s="144" t="s">
        <v>3233</v>
      </c>
      <c r="J433" s="148" t="str">
        <f t="shared" si="104"/>
        <v>https://doi.org/10.1109/ISSCC49661.2025.10904732</v>
      </c>
      <c r="K433" s="32" t="s">
        <v>1050</v>
      </c>
      <c r="L433" s="84">
        <v>1</v>
      </c>
      <c r="M433" s="157">
        <v>1.2</v>
      </c>
      <c r="O433" s="58">
        <v>1</v>
      </c>
      <c r="P433" s="17">
        <v>2.9000000000000001E-2</v>
      </c>
      <c r="R433" s="89">
        <v>1327</v>
      </c>
      <c r="S433" s="87">
        <v>99.6</v>
      </c>
      <c r="T433" s="40">
        <v>103.1</v>
      </c>
      <c r="U433" s="87">
        <v>102</v>
      </c>
      <c r="W433" s="58">
        <v>108</v>
      </c>
      <c r="X433" s="29">
        <f t="shared" si="108"/>
        <v>99.6</v>
      </c>
      <c r="Y433" s="89">
        <v>1.22E-5</v>
      </c>
      <c r="Z433" s="122">
        <v>1000000</v>
      </c>
      <c r="AA433" s="110">
        <f>Z433/AB433</f>
        <v>125</v>
      </c>
      <c r="AB433" s="89">
        <v>8000</v>
      </c>
      <c r="AD433" s="65">
        <f t="shared" si="126"/>
        <v>1525</v>
      </c>
      <c r="AE433" s="29" t="str">
        <f t="shared" si="106"/>
        <v/>
      </c>
      <c r="AF433" s="29">
        <f t="shared" si="109"/>
        <v>19.533602213366379</v>
      </c>
      <c r="AG433" s="6" t="str">
        <f t="shared" si="107"/>
        <v/>
      </c>
      <c r="AH433" s="54">
        <f t="shared" si="110"/>
        <v>184.75700160653213</v>
      </c>
      <c r="AI433" s="89">
        <f t="shared" si="127"/>
        <v>2.4417002766707972E-3</v>
      </c>
      <c r="AJ433" s="67">
        <f t="shared" si="128"/>
        <v>223.78790147645157</v>
      </c>
    </row>
    <row r="434" spans="1:36" x14ac:dyDescent="0.3">
      <c r="A434" s="94">
        <v>2025</v>
      </c>
      <c r="B434" s="58">
        <v>18.3</v>
      </c>
      <c r="C434" s="8" t="s">
        <v>22</v>
      </c>
      <c r="D434" s="115" t="s">
        <v>745</v>
      </c>
      <c r="E434" s="105">
        <v>5.5E-2</v>
      </c>
      <c r="F434" s="135" t="s">
        <v>3196</v>
      </c>
      <c r="G434" s="113" t="s">
        <v>3197</v>
      </c>
      <c r="H434" s="113" t="s">
        <v>3260</v>
      </c>
      <c r="I434" s="144" t="s">
        <v>3234</v>
      </c>
      <c r="J434" s="148" t="str">
        <f t="shared" si="104"/>
        <v>https://doi.org/10.1109/ISSCC49661.2025.10904557</v>
      </c>
      <c r="K434" s="32" t="s">
        <v>1050</v>
      </c>
      <c r="L434" s="84">
        <v>1.2</v>
      </c>
      <c r="M434" s="157"/>
      <c r="P434" s="17">
        <v>2.8000000000000001E-2</v>
      </c>
      <c r="R434" s="89">
        <v>27700</v>
      </c>
      <c r="S434" s="87">
        <v>93.3</v>
      </c>
      <c r="U434" s="87">
        <v>95.02</v>
      </c>
      <c r="W434" s="58">
        <v>112.8</v>
      </c>
      <c r="X434" s="29">
        <f t="shared" si="108"/>
        <v>93.3</v>
      </c>
      <c r="Y434" s="89">
        <v>3.0687999999999999E-4</v>
      </c>
      <c r="Z434" s="122">
        <v>20000000</v>
      </c>
      <c r="AA434" s="110">
        <f>Z434/AB434</f>
        <v>64</v>
      </c>
      <c r="AB434" s="89">
        <v>312500</v>
      </c>
      <c r="AD434" s="65">
        <f t="shared" si="126"/>
        <v>982.01600000000008</v>
      </c>
      <c r="AE434" s="29" t="str">
        <f t="shared" si="106"/>
        <v/>
      </c>
      <c r="AF434" s="29">
        <f t="shared" si="109"/>
        <v>25.981394086095282</v>
      </c>
      <c r="AG434" s="6" t="str">
        <f t="shared" si="107"/>
        <v/>
      </c>
      <c r="AH434" s="54">
        <f t="shared" si="110"/>
        <v>180.36851440525544</v>
      </c>
      <c r="AI434" s="89">
        <f t="shared" si="127"/>
        <v>8.3140461075504904E-5</v>
      </c>
      <c r="AJ434" s="67">
        <f t="shared" si="128"/>
        <v>235.31701462205638</v>
      </c>
    </row>
    <row r="435" spans="1:36" x14ac:dyDescent="0.3">
      <c r="A435" s="94">
        <v>2025</v>
      </c>
      <c r="B435" s="58">
        <v>18.399999999999999</v>
      </c>
      <c r="C435" s="8" t="s">
        <v>22</v>
      </c>
      <c r="D435" s="115" t="s">
        <v>1527</v>
      </c>
      <c r="E435" s="105">
        <v>2.8000000000000001E-2</v>
      </c>
      <c r="F435" s="114" t="s">
        <v>3198</v>
      </c>
      <c r="G435" s="113" t="s">
        <v>3199</v>
      </c>
      <c r="H435" s="113" t="s">
        <v>3261</v>
      </c>
      <c r="I435" s="144" t="s">
        <v>3235</v>
      </c>
      <c r="J435" s="148" t="str">
        <f t="shared" si="104"/>
        <v>https://doi.org/10.1109/ISSCC49661.2025.10904507</v>
      </c>
      <c r="K435" s="32" t="s">
        <v>1050</v>
      </c>
      <c r="L435" s="84">
        <v>0.9</v>
      </c>
      <c r="M435" s="157"/>
      <c r="O435" s="58">
        <v>0.8</v>
      </c>
      <c r="P435" s="17">
        <v>3.4000000000000002E-2</v>
      </c>
      <c r="R435" s="89">
        <v>5000</v>
      </c>
      <c r="S435" s="87">
        <v>92.5</v>
      </c>
      <c r="U435" s="87">
        <v>93.1</v>
      </c>
      <c r="W435" s="58">
        <v>113.1</v>
      </c>
      <c r="X435" s="29">
        <f t="shared" si="108"/>
        <v>92.5</v>
      </c>
      <c r="Y435" s="89">
        <v>4.6729999999999997E-4</v>
      </c>
      <c r="Z435" s="122">
        <f>AA435*AB435</f>
        <v>16000000</v>
      </c>
      <c r="AA435" s="110">
        <v>10</v>
      </c>
      <c r="AB435" s="89">
        <v>1600000</v>
      </c>
      <c r="AD435" s="65">
        <f t="shared" si="126"/>
        <v>292.0625</v>
      </c>
      <c r="AE435" s="29" t="str">
        <f t="shared" si="106"/>
        <v/>
      </c>
      <c r="AF435" s="29">
        <f t="shared" si="109"/>
        <v>8.4727359316608073</v>
      </c>
      <c r="AG435" s="6" t="str">
        <f t="shared" si="107"/>
        <v/>
      </c>
      <c r="AH435" s="54">
        <f t="shared" si="110"/>
        <v>184.83494205967631</v>
      </c>
      <c r="AI435" s="89">
        <f t="shared" si="127"/>
        <v>5.2954599572880046E-6</v>
      </c>
      <c r="AJ435" s="67">
        <f t="shared" si="128"/>
        <v>246.87614188623556</v>
      </c>
    </row>
    <row r="436" spans="1:36" x14ac:dyDescent="0.3">
      <c r="A436" s="94">
        <v>2025</v>
      </c>
      <c r="B436" s="58">
        <v>18.5</v>
      </c>
      <c r="C436" s="8" t="s">
        <v>22</v>
      </c>
      <c r="D436" s="115" t="s">
        <v>31</v>
      </c>
      <c r="E436" s="105">
        <v>5.5E-2</v>
      </c>
      <c r="F436" s="114" t="s">
        <v>3200</v>
      </c>
      <c r="G436" s="113" t="s">
        <v>3201</v>
      </c>
      <c r="H436" s="113" t="s">
        <v>3262</v>
      </c>
      <c r="I436" s="144" t="s">
        <v>3236</v>
      </c>
      <c r="J436" s="148" t="str">
        <f t="shared" si="104"/>
        <v>https://doi.org/10.1109/ISSCC49661.2025.10904773</v>
      </c>
      <c r="K436" s="32" t="s">
        <v>3240</v>
      </c>
      <c r="L436" s="84">
        <v>1.2</v>
      </c>
      <c r="M436" s="157"/>
      <c r="P436" s="17">
        <v>4.2999999999999997E-2</v>
      </c>
      <c r="R436" s="89">
        <v>499600</v>
      </c>
      <c r="S436" s="87">
        <v>82.9</v>
      </c>
      <c r="U436" s="87">
        <v>83.2</v>
      </c>
      <c r="W436" s="58">
        <v>105.4</v>
      </c>
      <c r="X436" s="29">
        <f t="shared" si="108"/>
        <v>82.9</v>
      </c>
      <c r="Y436" s="89">
        <v>1.15E-3</v>
      </c>
      <c r="Z436" s="122">
        <v>40000000</v>
      </c>
      <c r="AA436" s="110">
        <f>Z436/AB436</f>
        <v>8</v>
      </c>
      <c r="AB436" s="89">
        <v>5000000</v>
      </c>
      <c r="AD436" s="65">
        <f t="shared" si="126"/>
        <v>230</v>
      </c>
      <c r="AE436" s="29" t="str">
        <f t="shared" si="106"/>
        <v/>
      </c>
      <c r="AF436" s="29">
        <f t="shared" si="109"/>
        <v>20.152250005097837</v>
      </c>
      <c r="AG436" s="6" t="str">
        <f t="shared" si="107"/>
        <v/>
      </c>
      <c r="AH436" s="54">
        <f t="shared" si="110"/>
        <v>176.27242168318426</v>
      </c>
      <c r="AI436" s="89">
        <f t="shared" si="127"/>
        <v>4.0304500010195673E-6</v>
      </c>
      <c r="AJ436" s="67">
        <f t="shared" si="128"/>
        <v>243.26212172654445</v>
      </c>
    </row>
    <row r="437" spans="1:36" x14ac:dyDescent="0.3">
      <c r="A437" s="94">
        <v>2025</v>
      </c>
      <c r="B437" s="58">
        <v>18.600000000000001</v>
      </c>
      <c r="C437" s="8" t="s">
        <v>23</v>
      </c>
      <c r="D437" s="115" t="s">
        <v>745</v>
      </c>
      <c r="E437" s="105">
        <v>2.1999999999999999E-2</v>
      </c>
      <c r="F437" s="113" t="s">
        <v>3202</v>
      </c>
      <c r="G437" s="113" t="s">
        <v>3203</v>
      </c>
      <c r="H437" s="113" t="s">
        <v>3263</v>
      </c>
      <c r="I437" s="144" t="s">
        <v>3237</v>
      </c>
      <c r="J437" s="148" t="str">
        <f t="shared" si="104"/>
        <v>https://doi.org/10.1109/ISSCC49661.2025.10904526</v>
      </c>
      <c r="K437" s="32" t="s">
        <v>3240</v>
      </c>
      <c r="L437" s="84">
        <v>1.8</v>
      </c>
      <c r="M437" s="157">
        <v>0.9</v>
      </c>
      <c r="O437" s="58">
        <v>3.5</v>
      </c>
      <c r="P437" s="17">
        <v>0.06</v>
      </c>
      <c r="R437" s="89">
        <v>7900000</v>
      </c>
      <c r="S437" s="87">
        <v>79.400000000000006</v>
      </c>
      <c r="U437" s="87">
        <v>81.8</v>
      </c>
      <c r="W437" s="58">
        <v>99.4</v>
      </c>
      <c r="X437" s="29">
        <f t="shared" si="108"/>
        <v>79.400000000000006</v>
      </c>
      <c r="Y437" s="89">
        <v>1.6199999999999999E-3</v>
      </c>
      <c r="Z437" s="122">
        <v>16000000</v>
      </c>
      <c r="AA437" s="110">
        <v>1</v>
      </c>
      <c r="AB437" s="122">
        <f>Z437/AA437</f>
        <v>16000000</v>
      </c>
      <c r="AD437" s="65">
        <f t="shared" si="126"/>
        <v>101.25</v>
      </c>
      <c r="AE437" s="29" t="str">
        <f t="shared" si="106"/>
        <v/>
      </c>
      <c r="AF437" s="29">
        <f t="shared" si="109"/>
        <v>13.274194520211198</v>
      </c>
      <c r="AG437" s="6" t="str">
        <f t="shared" si="107"/>
        <v/>
      </c>
      <c r="AH437" s="54">
        <f t="shared" si="110"/>
        <v>176.33574972449313</v>
      </c>
      <c r="AI437" s="89">
        <f t="shared" si="127"/>
        <v>8.2963715751319987E-7</v>
      </c>
      <c r="AJ437" s="67">
        <f t="shared" si="128"/>
        <v>248.37694955105238</v>
      </c>
    </row>
    <row r="438" spans="1:36" x14ac:dyDescent="0.3">
      <c r="A438" s="94">
        <v>2025</v>
      </c>
      <c r="B438" s="58">
        <v>18.7</v>
      </c>
      <c r="C438" s="8" t="s">
        <v>22</v>
      </c>
      <c r="D438" s="115" t="s">
        <v>745</v>
      </c>
      <c r="E438" s="105">
        <v>2.8000000000000001E-2</v>
      </c>
      <c r="F438" s="114" t="s">
        <v>3204</v>
      </c>
      <c r="G438" s="113" t="s">
        <v>3205</v>
      </c>
      <c r="H438" s="113" t="s">
        <v>3264</v>
      </c>
      <c r="I438" s="144" t="s">
        <v>3238</v>
      </c>
      <c r="J438" s="148" t="str">
        <f t="shared" si="104"/>
        <v>https://doi.org/10.1109/ISSCC49661.2025.10904746</v>
      </c>
      <c r="K438" s="32" t="s">
        <v>1050</v>
      </c>
      <c r="L438" s="84"/>
      <c r="M438" s="157"/>
      <c r="P438" s="17">
        <v>3.5999999999999997E-2</v>
      </c>
      <c r="R438" s="89">
        <v>10000000</v>
      </c>
      <c r="S438" s="87">
        <v>70.099999999999994</v>
      </c>
      <c r="U438" s="87">
        <v>72</v>
      </c>
      <c r="W438" s="58">
        <v>83.4</v>
      </c>
      <c r="X438" s="29">
        <f t="shared" si="108"/>
        <v>70.099999999999994</v>
      </c>
      <c r="Y438" s="89">
        <v>4.8700000000000002E-3</v>
      </c>
      <c r="Z438" s="122">
        <v>350000000</v>
      </c>
      <c r="AA438" s="109">
        <f>Z438/AB438</f>
        <v>2.1875</v>
      </c>
      <c r="AB438" s="122">
        <v>160000000</v>
      </c>
      <c r="AD438" s="65">
        <f t="shared" si="126"/>
        <v>30.4375</v>
      </c>
      <c r="AE438" s="29" t="str">
        <f t="shared" si="106"/>
        <v/>
      </c>
      <c r="AF438" s="29">
        <f t="shared" si="109"/>
        <v>11.643095588898536</v>
      </c>
      <c r="AG438" s="6" t="str">
        <f t="shared" si="107"/>
        <v/>
      </c>
      <c r="AH438" s="54">
        <f t="shared" si="110"/>
        <v>172.25561025777307</v>
      </c>
      <c r="AI438" s="89">
        <f t="shared" si="127"/>
        <v>7.276934743061585E-8</v>
      </c>
      <c r="AJ438" s="67">
        <f t="shared" si="128"/>
        <v>254.29681008433232</v>
      </c>
    </row>
    <row r="439" spans="1:36" x14ac:dyDescent="0.3">
      <c r="A439" s="94">
        <v>2025</v>
      </c>
      <c r="B439" s="58">
        <v>18.8</v>
      </c>
      <c r="C439" s="8" t="s">
        <v>23</v>
      </c>
      <c r="D439" s="115" t="s">
        <v>31</v>
      </c>
      <c r="E439" s="84">
        <v>0.04</v>
      </c>
      <c r="F439" s="114" t="s">
        <v>3206</v>
      </c>
      <c r="G439" s="113" t="s">
        <v>3207</v>
      </c>
      <c r="H439" s="113" t="s">
        <v>3265</v>
      </c>
      <c r="I439" s="144" t="s">
        <v>3239</v>
      </c>
      <c r="J439" s="148" t="str">
        <f t="shared" si="104"/>
        <v>https://doi.org/10.1109/ISSCC49661.2025.10904533</v>
      </c>
      <c r="K439" s="32" t="s">
        <v>3241</v>
      </c>
      <c r="L439" s="84">
        <v>1</v>
      </c>
      <c r="M439" s="157"/>
      <c r="O439" s="58">
        <v>4.0000000000000001E-3</v>
      </c>
      <c r="P439" s="17">
        <v>5.5999999999999999E-3</v>
      </c>
      <c r="R439" s="89">
        <v>397130000</v>
      </c>
      <c r="S439" s="87">
        <v>40.74</v>
      </c>
      <c r="T439" s="40">
        <v>40.770000000000003</v>
      </c>
      <c r="W439" s="58">
        <v>64.11</v>
      </c>
      <c r="X439" s="29">
        <f t="shared" si="108"/>
        <v>40.74</v>
      </c>
      <c r="Y439" s="89">
        <v>2.8900000000000002E-3</v>
      </c>
      <c r="Z439" s="122">
        <v>800000000</v>
      </c>
      <c r="AA439" s="110">
        <v>1</v>
      </c>
      <c r="AB439" s="122">
        <f t="shared" ref="AB439:AB446" si="133">Z439/AA439</f>
        <v>800000000</v>
      </c>
      <c r="AD439" s="65">
        <f t="shared" si="126"/>
        <v>3.6125000000000003</v>
      </c>
      <c r="AE439" s="29" t="str">
        <f t="shared" si="106"/>
        <v/>
      </c>
      <c r="AF439" s="29">
        <f t="shared" si="109"/>
        <v>40.608189899663955</v>
      </c>
      <c r="AG439" s="6" t="str">
        <f t="shared" si="107"/>
        <v/>
      </c>
      <c r="AH439" s="54">
        <f t="shared" si="110"/>
        <v>152.15162148571414</v>
      </c>
      <c r="AI439" s="89">
        <f t="shared" si="127"/>
        <v>5.0760237374579945E-8</v>
      </c>
      <c r="AJ439" s="67">
        <f t="shared" si="128"/>
        <v>241.18252135563358</v>
      </c>
    </row>
    <row r="440" spans="1:36" x14ac:dyDescent="0.3">
      <c r="A440" s="94">
        <v>2025</v>
      </c>
      <c r="B440" s="58">
        <v>24.1</v>
      </c>
      <c r="C440" s="8" t="s">
        <v>23</v>
      </c>
      <c r="D440" s="115" t="s">
        <v>26</v>
      </c>
      <c r="E440" s="105">
        <v>2.8000000000000001E-2</v>
      </c>
      <c r="F440" s="114" t="s">
        <v>3208</v>
      </c>
      <c r="G440" s="113" t="s">
        <v>3209</v>
      </c>
      <c r="H440" s="113" t="s">
        <v>3266</v>
      </c>
      <c r="I440" s="144" t="s">
        <v>3224</v>
      </c>
      <c r="J440" s="148" t="str">
        <f t="shared" si="104"/>
        <v>https://doi.org/10.1109/ISSCC49661.2025.10904536</v>
      </c>
      <c r="K440" s="32" t="s">
        <v>1050</v>
      </c>
      <c r="L440" s="84">
        <v>1</v>
      </c>
      <c r="M440" s="157"/>
      <c r="O440" s="58">
        <v>0.48</v>
      </c>
      <c r="P440" s="17">
        <v>0.04</v>
      </c>
      <c r="Q440" s="87">
        <v>61</v>
      </c>
      <c r="R440" s="89">
        <v>1500000000</v>
      </c>
      <c r="S440" s="87">
        <v>58.8</v>
      </c>
      <c r="W440" s="58">
        <v>70.7</v>
      </c>
      <c r="X440" s="29">
        <f t="shared" si="108"/>
        <v>58.8</v>
      </c>
      <c r="Y440" s="89">
        <v>3.2500000000000001E-2</v>
      </c>
      <c r="Z440" s="122">
        <v>3000000000</v>
      </c>
      <c r="AA440" s="110">
        <v>1</v>
      </c>
      <c r="AB440" s="122">
        <f t="shared" si="133"/>
        <v>3000000000</v>
      </c>
      <c r="AD440" s="65">
        <f t="shared" si="126"/>
        <v>10.833333333333334</v>
      </c>
      <c r="AE440" s="29">
        <f t="shared" si="106"/>
        <v>11.81590343274317</v>
      </c>
      <c r="AF440" s="29">
        <f t="shared" si="109"/>
        <v>15.222216513714871</v>
      </c>
      <c r="AG440" s="6">
        <f t="shared" si="107"/>
        <v>167.64207898076808</v>
      </c>
      <c r="AH440" s="54">
        <f t="shared" si="110"/>
        <v>165.44207898076809</v>
      </c>
      <c r="AI440" s="89">
        <f t="shared" si="127"/>
        <v>5.0740721712382902E-9</v>
      </c>
      <c r="AJ440" s="67">
        <f t="shared" si="128"/>
        <v>260.21329152796471</v>
      </c>
    </row>
    <row r="441" spans="1:36" x14ac:dyDescent="0.3">
      <c r="A441" s="94">
        <v>2025</v>
      </c>
      <c r="B441" s="58">
        <v>24.2</v>
      </c>
      <c r="C441" s="8" t="s">
        <v>23</v>
      </c>
      <c r="D441" s="115" t="s">
        <v>26</v>
      </c>
      <c r="E441" s="105">
        <v>2.8000000000000001E-2</v>
      </c>
      <c r="F441" s="114" t="s">
        <v>3210</v>
      </c>
      <c r="G441" s="113" t="s">
        <v>3211</v>
      </c>
      <c r="H441" s="113" t="s">
        <v>3267</v>
      </c>
      <c r="I441" s="140" t="s">
        <v>3225</v>
      </c>
      <c r="J441" s="148" t="str">
        <f t="shared" si="104"/>
        <v>https://doi.org/10.1109/ISSCC49661.2025.10904766</v>
      </c>
      <c r="K441" s="32" t="s">
        <v>1050</v>
      </c>
      <c r="L441" s="84">
        <v>1</v>
      </c>
      <c r="M441" s="157"/>
      <c r="O441" s="58">
        <v>0.85</v>
      </c>
      <c r="P441" s="17">
        <v>2.1899999999999999E-2</v>
      </c>
      <c r="Q441" s="87">
        <v>69.5</v>
      </c>
      <c r="R441" s="89">
        <v>499900000</v>
      </c>
      <c r="S441" s="87">
        <v>68.2</v>
      </c>
      <c r="T441" s="40">
        <v>68.3</v>
      </c>
      <c r="W441" s="58">
        <v>85.8</v>
      </c>
      <c r="X441" s="29">
        <f t="shared" si="108"/>
        <v>68.2</v>
      </c>
      <c r="Y441" s="89">
        <v>1.5299999999999999E-2</v>
      </c>
      <c r="Z441" s="122">
        <v>1000000000</v>
      </c>
      <c r="AA441" s="110">
        <v>1</v>
      </c>
      <c r="AB441" s="122">
        <f t="shared" si="133"/>
        <v>1000000000</v>
      </c>
      <c r="AD441" s="65">
        <f t="shared" si="126"/>
        <v>15.299999999999999</v>
      </c>
      <c r="AE441" s="29">
        <f t="shared" si="106"/>
        <v>6.2712469794519112</v>
      </c>
      <c r="AF441" s="29">
        <f t="shared" si="109"/>
        <v>7.2838397484371997</v>
      </c>
      <c r="AG441" s="6">
        <f t="shared" si="107"/>
        <v>174.64278573518419</v>
      </c>
      <c r="AH441" s="54">
        <f t="shared" si="110"/>
        <v>173.34278573518418</v>
      </c>
      <c r="AI441" s="89">
        <f t="shared" si="127"/>
        <v>7.2838397484371997E-9</v>
      </c>
      <c r="AJ441" s="67">
        <f t="shared" si="128"/>
        <v>263.34278573518418</v>
      </c>
    </row>
    <row r="442" spans="1:36" x14ac:dyDescent="0.3">
      <c r="A442" s="94">
        <v>2025</v>
      </c>
      <c r="B442" s="58">
        <v>24.3</v>
      </c>
      <c r="C442" s="8" t="s">
        <v>23</v>
      </c>
      <c r="D442" s="115" t="s">
        <v>2983</v>
      </c>
      <c r="E442" s="105">
        <v>2.8000000000000001E-2</v>
      </c>
      <c r="F442" s="114" t="s">
        <v>3212</v>
      </c>
      <c r="G442" s="113" t="s">
        <v>3213</v>
      </c>
      <c r="H442" s="113" t="s">
        <v>3268</v>
      </c>
      <c r="I442" s="144" t="s">
        <v>3226</v>
      </c>
      <c r="J442" s="148" t="str">
        <f t="shared" si="104"/>
        <v>https://doi.org/10.1109/ISSCC49661.2025.10904585</v>
      </c>
      <c r="K442" s="32" t="s">
        <v>1050</v>
      </c>
      <c r="L442" s="84">
        <v>0.9</v>
      </c>
      <c r="M442" s="157"/>
      <c r="O442" s="58">
        <v>6.4000000000000001E-2</v>
      </c>
      <c r="P442" s="17">
        <v>4.0000000000000001E-3</v>
      </c>
      <c r="R442" s="89">
        <v>1080000000</v>
      </c>
      <c r="S442" s="87">
        <v>45.8</v>
      </c>
      <c r="W442" s="58">
        <v>65.7</v>
      </c>
      <c r="X442" s="29">
        <f t="shared" si="108"/>
        <v>45.8</v>
      </c>
      <c r="Y442" s="89">
        <v>6.8999999999999999E-3</v>
      </c>
      <c r="Z442" s="122">
        <v>2200000000</v>
      </c>
      <c r="AA442" s="110">
        <v>1</v>
      </c>
      <c r="AB442" s="122">
        <f t="shared" si="133"/>
        <v>2200000000</v>
      </c>
      <c r="AD442" s="65">
        <f t="shared" si="126"/>
        <v>3.1363636363636362</v>
      </c>
      <c r="AE442" s="29" t="str">
        <f t="shared" si="106"/>
        <v/>
      </c>
      <c r="AF442" s="29">
        <f t="shared" si="109"/>
        <v>19.688243554744641</v>
      </c>
      <c r="AG442" s="6" t="str">
        <f t="shared" si="107"/>
        <v/>
      </c>
      <c r="AH442" s="54">
        <f t="shared" si="110"/>
        <v>157.82543594420969</v>
      </c>
      <c r="AI442" s="89">
        <f t="shared" si="127"/>
        <v>8.949201615793018E-9</v>
      </c>
      <c r="AJ442" s="67">
        <f t="shared" si="128"/>
        <v>251.24966275243176</v>
      </c>
    </row>
    <row r="443" spans="1:36" x14ac:dyDescent="0.3">
      <c r="A443" s="94">
        <v>2025</v>
      </c>
      <c r="B443" s="58">
        <v>24.4</v>
      </c>
      <c r="C443" s="8" t="s">
        <v>23</v>
      </c>
      <c r="D443" s="115" t="s">
        <v>1861</v>
      </c>
      <c r="E443" s="105">
        <v>2.8000000000000001E-2</v>
      </c>
      <c r="F443" s="114" t="s">
        <v>3214</v>
      </c>
      <c r="G443" s="113" t="s">
        <v>3215</v>
      </c>
      <c r="H443" s="113" t="s">
        <v>3269</v>
      </c>
      <c r="I443" s="144" t="s">
        <v>3228</v>
      </c>
      <c r="J443" s="148" t="str">
        <f t="shared" si="104"/>
        <v>https://doi.org/10.1109/ISSCC49661.2025.10904818</v>
      </c>
      <c r="K443" s="32" t="s">
        <v>3242</v>
      </c>
      <c r="L443" s="84">
        <v>0.9</v>
      </c>
      <c r="M443" s="157"/>
      <c r="O443" s="58">
        <v>0.20250000000000001</v>
      </c>
      <c r="P443" s="17">
        <v>3.2000000000000001E-2</v>
      </c>
      <c r="R443" s="89">
        <v>1499000000</v>
      </c>
      <c r="S443" s="87">
        <v>49.3</v>
      </c>
      <c r="W443" s="58">
        <v>70.91</v>
      </c>
      <c r="X443" s="29">
        <f t="shared" si="108"/>
        <v>49.3</v>
      </c>
      <c r="Y443" s="89">
        <v>2.29E-2</v>
      </c>
      <c r="Z443" s="122">
        <v>3000000000</v>
      </c>
      <c r="AA443" s="110">
        <v>1</v>
      </c>
      <c r="AB443" s="122">
        <f t="shared" si="133"/>
        <v>3000000000</v>
      </c>
      <c r="AD443" s="65">
        <f t="shared" si="126"/>
        <v>7.6333333333333337</v>
      </c>
      <c r="AE443" s="29" t="str">
        <f t="shared" si="106"/>
        <v/>
      </c>
      <c r="AF443" s="29">
        <f t="shared" si="109"/>
        <v>32.024130845796719</v>
      </c>
      <c r="AG443" s="6" t="str">
        <f t="shared" si="107"/>
        <v/>
      </c>
      <c r="AH443" s="54">
        <f t="shared" si="110"/>
        <v>157.46255776715793</v>
      </c>
      <c r="AI443" s="89">
        <f t="shared" si="127"/>
        <v>1.067471028193224E-8</v>
      </c>
      <c r="AJ443" s="67">
        <f t="shared" si="128"/>
        <v>252.23377031435456</v>
      </c>
    </row>
    <row r="444" spans="1:36" x14ac:dyDescent="0.3">
      <c r="A444" s="94">
        <v>2025</v>
      </c>
      <c r="B444" s="58">
        <v>24.5</v>
      </c>
      <c r="C444" s="8" t="s">
        <v>23</v>
      </c>
      <c r="D444" s="115" t="s">
        <v>1148</v>
      </c>
      <c r="E444" s="105">
        <v>1.6E-2</v>
      </c>
      <c r="F444" s="114" t="s">
        <v>3216</v>
      </c>
      <c r="G444" s="113" t="s">
        <v>3217</v>
      </c>
      <c r="H444" s="113" t="s">
        <v>3270</v>
      </c>
      <c r="I444" s="144" t="s">
        <v>3227</v>
      </c>
      <c r="J444" s="148" t="str">
        <f t="shared" si="104"/>
        <v>https://doi.org/10.1109/ISSCC49661.2025.10904672</v>
      </c>
      <c r="K444" s="32" t="s">
        <v>3243</v>
      </c>
      <c r="L444" s="84">
        <v>0.85</v>
      </c>
      <c r="M444" s="157"/>
      <c r="P444" s="17">
        <v>0.28199999999999997</v>
      </c>
      <c r="Q444" s="87">
        <v>46.4</v>
      </c>
      <c r="R444" s="89">
        <v>20478500000</v>
      </c>
      <c r="S444" s="87">
        <v>41.9</v>
      </c>
      <c r="V444" s="40">
        <v>61.8</v>
      </c>
      <c r="W444" s="58">
        <v>55.3</v>
      </c>
      <c r="X444" s="29">
        <f t="shared" si="108"/>
        <v>41.9</v>
      </c>
      <c r="Y444" s="89">
        <v>0.39329999999999998</v>
      </c>
      <c r="Z444" s="122">
        <v>72000000000</v>
      </c>
      <c r="AA444" s="110">
        <v>1</v>
      </c>
      <c r="AB444" s="122">
        <f t="shared" si="133"/>
        <v>72000000000</v>
      </c>
      <c r="AD444" s="65">
        <f t="shared" si="126"/>
        <v>5.4624999999999995</v>
      </c>
      <c r="AE444" s="29">
        <f t="shared" si="106"/>
        <v>32.001403343253386</v>
      </c>
      <c r="AF444" s="29">
        <f t="shared" si="109"/>
        <v>53.726858288081146</v>
      </c>
      <c r="AG444" s="6">
        <f t="shared" si="107"/>
        <v>156.01578554357542</v>
      </c>
      <c r="AH444" s="54">
        <f t="shared" si="110"/>
        <v>151.51578554357542</v>
      </c>
      <c r="AI444" s="89">
        <f t="shared" si="127"/>
        <v>7.4620636511223816E-10</v>
      </c>
      <c r="AJ444" s="67">
        <f t="shared" si="128"/>
        <v>260.08911050788811</v>
      </c>
    </row>
    <row r="445" spans="1:36" x14ac:dyDescent="0.3">
      <c r="A445" s="94">
        <v>2025</v>
      </c>
      <c r="B445" s="58">
        <v>24.6</v>
      </c>
      <c r="C445" s="8" t="s">
        <v>23</v>
      </c>
      <c r="D445" s="115" t="s">
        <v>1148</v>
      </c>
      <c r="E445" s="105">
        <v>4.0000000000000001E-3</v>
      </c>
      <c r="F445" s="114" t="s">
        <v>3218</v>
      </c>
      <c r="G445" s="113" t="s">
        <v>3219</v>
      </c>
      <c r="H445" s="113" t="s">
        <v>3271</v>
      </c>
      <c r="I445" s="144" t="s">
        <v>3229</v>
      </c>
      <c r="J445" s="148" t="str">
        <f t="shared" si="104"/>
        <v>https://doi.org/10.1109/ISSCC49661.2025.10904740</v>
      </c>
      <c r="K445" s="32" t="s">
        <v>1050</v>
      </c>
      <c r="L445" s="84">
        <v>1.35</v>
      </c>
      <c r="M445" s="157">
        <v>0.85</v>
      </c>
      <c r="P445" s="17">
        <v>0.43</v>
      </c>
      <c r="Q445" s="87">
        <v>53</v>
      </c>
      <c r="R445" s="89">
        <v>7400000000</v>
      </c>
      <c r="S445" s="87">
        <v>47</v>
      </c>
      <c r="V445" s="40">
        <v>58</v>
      </c>
      <c r="W445" s="58">
        <v>58</v>
      </c>
      <c r="X445" s="29">
        <f t="shared" si="108"/>
        <v>47</v>
      </c>
      <c r="Y445" s="89">
        <v>0.56999999999999995</v>
      </c>
      <c r="Z445" s="122">
        <v>16000000000</v>
      </c>
      <c r="AA445" s="110">
        <v>1</v>
      </c>
      <c r="AB445" s="122">
        <f t="shared" si="133"/>
        <v>16000000000</v>
      </c>
      <c r="AD445" s="65">
        <f t="shared" si="126"/>
        <v>35.625</v>
      </c>
      <c r="AE445" s="29">
        <f t="shared" si="106"/>
        <v>97.611179593503508</v>
      </c>
      <c r="AF445" s="29">
        <f t="shared" si="109"/>
        <v>194.77331552770599</v>
      </c>
      <c r="AG445" s="6">
        <f t="shared" si="107"/>
        <v>154.47215131319453</v>
      </c>
      <c r="AH445" s="54">
        <f t="shared" si="110"/>
        <v>148.47215131319453</v>
      </c>
      <c r="AI445" s="89">
        <f t="shared" si="127"/>
        <v>1.2173332220481625E-8</v>
      </c>
      <c r="AJ445" s="67">
        <f t="shared" si="128"/>
        <v>250.51335113975378</v>
      </c>
    </row>
    <row r="446" spans="1:36" x14ac:dyDescent="0.3">
      <c r="A446" s="94">
        <v>2025</v>
      </c>
      <c r="B446" s="58">
        <v>24.7</v>
      </c>
      <c r="C446" s="8" t="s">
        <v>23</v>
      </c>
      <c r="D446" s="115" t="s">
        <v>260</v>
      </c>
      <c r="E446" s="105">
        <v>2.8000000000000001E-2</v>
      </c>
      <c r="F446" s="114" t="s">
        <v>3220</v>
      </c>
      <c r="G446" s="113" t="s">
        <v>3221</v>
      </c>
      <c r="H446" s="113" t="s">
        <v>3272</v>
      </c>
      <c r="I446" s="144" t="s">
        <v>3230</v>
      </c>
      <c r="J446" s="148" t="str">
        <f t="shared" si="104"/>
        <v>https://doi.org/10.1109/ISSCC49661.2025.10904751</v>
      </c>
      <c r="K446" s="32" t="s">
        <v>1050</v>
      </c>
      <c r="L446" s="84">
        <v>1</v>
      </c>
      <c r="M446" s="157"/>
      <c r="P446" s="17">
        <v>8.9999999999999993E-3</v>
      </c>
      <c r="Q446" s="87">
        <v>42</v>
      </c>
      <c r="R446" s="89">
        <v>4840000000</v>
      </c>
      <c r="S446" s="87">
        <v>41.7</v>
      </c>
      <c r="W446" s="58">
        <v>55.3</v>
      </c>
      <c r="X446" s="29">
        <f t="shared" si="108"/>
        <v>41.7</v>
      </c>
      <c r="Y446" s="89">
        <v>2.1899999999999999E-2</v>
      </c>
      <c r="Z446" s="122">
        <v>10000000000</v>
      </c>
      <c r="AA446" s="110">
        <v>1</v>
      </c>
      <c r="AB446" s="122">
        <f t="shared" si="133"/>
        <v>10000000000</v>
      </c>
      <c r="AD446" s="65">
        <f t="shared" si="126"/>
        <v>2.19</v>
      </c>
      <c r="AE446" s="29">
        <f t="shared" si="106"/>
        <v>21.293331348389778</v>
      </c>
      <c r="AF446" s="29">
        <f t="shared" si="109"/>
        <v>22.041701013112974</v>
      </c>
      <c r="AG446" s="6">
        <f t="shared" si="107"/>
        <v>155.585258894959</v>
      </c>
      <c r="AH446" s="54">
        <f t="shared" si="110"/>
        <v>155.28525889495901</v>
      </c>
      <c r="AI446" s="89">
        <f t="shared" si="127"/>
        <v>2.2041701013112975E-9</v>
      </c>
      <c r="AJ446" s="67">
        <f t="shared" si="128"/>
        <v>255.28525889495901</v>
      </c>
    </row>
    <row r="447" spans="1:36" x14ac:dyDescent="0.3">
      <c r="A447" s="94">
        <v>2025</v>
      </c>
      <c r="B447" s="58">
        <v>24.8</v>
      </c>
      <c r="C447" s="8" t="s">
        <v>23</v>
      </c>
      <c r="D447" s="115" t="s">
        <v>592</v>
      </c>
      <c r="E447" s="105">
        <v>1.6E-2</v>
      </c>
      <c r="F447" s="114" t="s">
        <v>3222</v>
      </c>
      <c r="G447" s="113" t="s">
        <v>3223</v>
      </c>
      <c r="H447" s="113" t="s">
        <v>3273</v>
      </c>
      <c r="I447" s="144" t="s">
        <v>3231</v>
      </c>
      <c r="J447" s="148" t="str">
        <f t="shared" si="104"/>
        <v>https://doi.org/10.1109/ISSCC49661.2025.10904660</v>
      </c>
      <c r="K447" s="32" t="s">
        <v>1050</v>
      </c>
      <c r="L447" s="84">
        <v>1.8</v>
      </c>
      <c r="M447" s="157">
        <v>0.8</v>
      </c>
      <c r="P447" s="17">
        <v>0.25</v>
      </c>
      <c r="Q447" s="87">
        <v>49.3</v>
      </c>
      <c r="R447" s="89">
        <v>5337000000</v>
      </c>
      <c r="S447" s="87">
        <v>48.1</v>
      </c>
      <c r="W447" s="58">
        <v>60.8</v>
      </c>
      <c r="X447" s="29">
        <f t="shared" si="108"/>
        <v>48.1</v>
      </c>
      <c r="Y447" s="89">
        <v>0.16</v>
      </c>
      <c r="Z447" s="122">
        <v>12000000000</v>
      </c>
      <c r="AA447" s="110">
        <v>1</v>
      </c>
      <c r="AB447" s="122">
        <f>Z447/AA447</f>
        <v>12000000000</v>
      </c>
      <c r="AD447" s="65">
        <f t="shared" si="126"/>
        <v>13.333333333333334</v>
      </c>
      <c r="AE447" s="29">
        <f t="shared" si="106"/>
        <v>55.937346455540123</v>
      </c>
      <c r="AF447" s="29">
        <f t="shared" si="109"/>
        <v>64.225551136857263</v>
      </c>
      <c r="AG447" s="6">
        <f t="shared" si="107"/>
        <v>155.0403126772772</v>
      </c>
      <c r="AH447" s="54">
        <f t="shared" si="110"/>
        <v>153.84031267727718</v>
      </c>
      <c r="AI447" s="89">
        <f t="shared" si="127"/>
        <v>5.3521292614047721E-9</v>
      </c>
      <c r="AJ447" s="67">
        <f t="shared" si="128"/>
        <v>254.63212513775343</v>
      </c>
    </row>
    <row r="448" spans="1:36" x14ac:dyDescent="0.3">
      <c r="G448" s="96"/>
      <c r="J448" s="148"/>
      <c r="X448" s="29"/>
      <c r="Z448" s="122"/>
      <c r="AD448" s="65"/>
      <c r="AE448" s="29"/>
      <c r="AF448" s="29"/>
      <c r="AG448" s="6"/>
      <c r="AH448" s="54"/>
      <c r="AI448" s="89"/>
      <c r="AJ448" s="67"/>
    </row>
    <row r="449" spans="10:36" x14ac:dyDescent="0.3">
      <c r="J449" s="148"/>
      <c r="X449" s="29"/>
      <c r="Z449" s="122"/>
      <c r="AD449" s="65"/>
      <c r="AE449" s="29"/>
      <c r="AF449" s="29"/>
      <c r="AG449" s="6"/>
      <c r="AH449" s="54"/>
      <c r="AI449" s="89"/>
      <c r="AJ449" s="67"/>
    </row>
    <row r="450" spans="10:36" x14ac:dyDescent="0.3">
      <c r="J450" s="148"/>
      <c r="X450" s="29"/>
      <c r="Z450" s="122"/>
      <c r="AD450" s="65"/>
      <c r="AE450" s="29"/>
      <c r="AF450" s="29"/>
      <c r="AG450" s="6"/>
      <c r="AH450" s="54"/>
      <c r="AI450" s="89"/>
      <c r="AJ450" s="67"/>
    </row>
    <row r="451" spans="10:36" x14ac:dyDescent="0.3">
      <c r="X451" s="29"/>
      <c r="AD451" s="65"/>
      <c r="AE451" s="29"/>
      <c r="AF451" s="29"/>
      <c r="AG451" s="6"/>
      <c r="AH451" s="54"/>
      <c r="AI451" s="89"/>
      <c r="AJ451" s="67"/>
    </row>
    <row r="452" spans="10:36" x14ac:dyDescent="0.3">
      <c r="X452" s="29"/>
      <c r="AD452" s="65"/>
      <c r="AE452" s="29"/>
      <c r="AF452" s="29"/>
      <c r="AG452" s="6"/>
      <c r="AH452" s="54"/>
      <c r="AI452" s="89"/>
      <c r="AJ452" s="67"/>
    </row>
    <row r="453" spans="10:36" x14ac:dyDescent="0.3">
      <c r="X453" s="29"/>
      <c r="AD453" s="65"/>
      <c r="AE453" s="29"/>
      <c r="AF453" s="29"/>
      <c r="AG453" s="6"/>
      <c r="AH453" s="54"/>
      <c r="AI453" s="89"/>
      <c r="AJ453" s="67"/>
    </row>
    <row r="454" spans="10:36" x14ac:dyDescent="0.3">
      <c r="X454" s="29"/>
      <c r="AD454" s="65"/>
      <c r="AE454" s="29"/>
      <c r="AF454" s="29"/>
      <c r="AG454" s="6"/>
      <c r="AH454" s="54"/>
      <c r="AI454" s="89"/>
      <c r="AJ454" s="67"/>
    </row>
    <row r="455" spans="10:36" x14ac:dyDescent="0.3">
      <c r="X455" s="29"/>
      <c r="AD455" s="65"/>
      <c r="AE455" s="29"/>
      <c r="AF455" s="29"/>
      <c r="AG455" s="6"/>
      <c r="AH455" s="54"/>
      <c r="AI455" s="89"/>
      <c r="AJ455" s="67"/>
    </row>
    <row r="456" spans="10:36" x14ac:dyDescent="0.3">
      <c r="X456" s="29"/>
      <c r="AD456" s="65"/>
      <c r="AE456" s="29"/>
      <c r="AF456" s="29"/>
      <c r="AG456" s="6"/>
      <c r="AH456" s="54"/>
      <c r="AI456" s="89"/>
      <c r="AJ456" s="67"/>
    </row>
    <row r="457" spans="10:36" x14ac:dyDescent="0.3">
      <c r="X457" s="29"/>
      <c r="AD457" s="65"/>
      <c r="AE457" s="29"/>
      <c r="AF457" s="29"/>
      <c r="AG457" s="6"/>
      <c r="AH457" s="54"/>
      <c r="AI457" s="89"/>
      <c r="AJ457" s="67"/>
    </row>
    <row r="458" spans="10:36" x14ac:dyDescent="0.3">
      <c r="X458" s="29"/>
      <c r="AD458" s="65"/>
      <c r="AE458" s="29"/>
      <c r="AF458" s="29"/>
      <c r="AG458" s="6"/>
      <c r="AH458" s="54"/>
      <c r="AI458" s="89"/>
      <c r="AJ458" s="67"/>
    </row>
    <row r="459" spans="10:36" x14ac:dyDescent="0.3">
      <c r="AD459" s="65"/>
      <c r="AE459" s="29"/>
      <c r="AF459" s="29"/>
      <c r="AG459" s="6"/>
      <c r="AH459" s="54"/>
      <c r="AI459" s="89"/>
      <c r="AJ459" s="67"/>
    </row>
    <row r="460" spans="10:36" x14ac:dyDescent="0.3">
      <c r="AD460" s="65"/>
      <c r="AE460" s="29"/>
      <c r="AF460" s="29"/>
      <c r="AG460" s="6"/>
      <c r="AH460" s="54"/>
      <c r="AI460" s="89"/>
      <c r="AJ460" s="67"/>
    </row>
  </sheetData>
  <phoneticPr fontId="0" type="noConversion"/>
  <conditionalFormatting sqref="X412:X65537">
    <cfRule type="expression" dxfId="5" priority="11" stopIfTrue="1">
      <formula>"if($s:$s&gt;$t:$t)"</formula>
    </cfRule>
  </conditionalFormatting>
  <conditionalFormatting sqref="Z2">
    <cfRule type="cellIs" dxfId="4" priority="7" stopIfTrue="1" operator="greaterThan">
      <formula>1000000000</formula>
    </cfRule>
  </conditionalFormatting>
  <conditionalFormatting sqref="AB2:AB394 AB409:AB501">
    <cfRule type="cellIs" dxfId="3" priority="3" stopIfTrue="1" operator="greaterThan">
      <formula>1000000000</formula>
    </cfRule>
  </conditionalFormatting>
  <pageMargins left="0.75" right="0.75" top="1" bottom="1" header="0.5" footer="0.5"/>
  <pageSetup orientation="portrait" r:id="rId1"/>
  <headerFooter alignWithMargins="0"/>
  <ignoredErrors>
    <ignoredError sqref="AB32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02"/>
  <sheetViews>
    <sheetView zoomScaleNormal="100" workbookViewId="0">
      <pane ySplit="1" topLeftCell="A262" activePane="bottomLeft" state="frozen"/>
      <selection pane="bottomLeft" activeCell="U295" sqref="U295"/>
    </sheetView>
  </sheetViews>
  <sheetFormatPr defaultColWidth="9.08984375" defaultRowHeight="13" x14ac:dyDescent="0.3"/>
  <cols>
    <col min="1" max="1" width="6.36328125" style="28" customWidth="1"/>
    <col min="2" max="2" width="7" style="28" bestFit="1" customWidth="1"/>
    <col min="3" max="3" width="6.08984375" style="30" customWidth="1"/>
    <col min="4" max="4" width="17.36328125" style="30" customWidth="1"/>
    <col min="5" max="5" width="15.7265625" style="30" customWidth="1"/>
    <col min="6" max="6" width="7.81640625" style="28" customWidth="1"/>
    <col min="7" max="7" width="17.54296875" style="28" customWidth="1"/>
    <col min="8" max="10" width="12.81640625" style="28" customWidth="1"/>
    <col min="11" max="11" width="13.6328125" style="28" customWidth="1"/>
    <col min="12" max="12" width="10.54296875" style="28" customWidth="1"/>
    <col min="13" max="13" width="9.81640625" style="30" customWidth="1"/>
    <col min="14" max="14" width="9.453125" style="28" customWidth="1"/>
    <col min="15" max="15" width="13.36328125" style="30" bestFit="1" customWidth="1"/>
    <col min="16" max="16" width="15.36328125" style="30" bestFit="1" customWidth="1"/>
    <col min="17" max="17" width="15.54296875" style="30" bestFit="1" customWidth="1"/>
    <col min="18" max="18" width="12.54296875" style="30" bestFit="1" customWidth="1"/>
    <col min="19" max="19" width="16.36328125" style="30" bestFit="1" customWidth="1"/>
    <col min="20" max="20" width="11.08984375" style="30" bestFit="1" customWidth="1"/>
    <col min="21" max="21" width="9.6328125" style="30" bestFit="1" customWidth="1"/>
    <col min="22" max="22" width="12.08984375" style="30" bestFit="1" customWidth="1"/>
    <col min="23" max="23" width="12.54296875" style="30" bestFit="1" customWidth="1"/>
    <col min="24" max="24" width="14.6328125" style="28" bestFit="1" customWidth="1"/>
    <col min="25" max="25" width="12" style="30" bestFit="1" customWidth="1"/>
    <col min="26" max="26" width="8.54296875" style="28" bestFit="1" customWidth="1"/>
    <col min="27" max="27" width="8.6328125" style="31" customWidth="1"/>
    <col min="28" max="28" width="9.6328125" style="63" bestFit="1" customWidth="1"/>
    <col min="29" max="29" width="10.81640625" style="63" bestFit="1" customWidth="1"/>
    <col min="30" max="30" width="14.36328125" style="111" bestFit="1" customWidth="1"/>
    <col min="31" max="31" width="21.08984375" style="28" bestFit="1" customWidth="1"/>
    <col min="32" max="32" width="21.7265625" style="31" bestFit="1" customWidth="1"/>
    <col min="33" max="33" width="12.1796875" style="28" bestFit="1" customWidth="1"/>
    <col min="34" max="34" width="12.81640625" style="30" bestFit="1" customWidth="1"/>
    <col min="35" max="35" width="14.08984375" style="28" bestFit="1" customWidth="1"/>
    <col min="36" max="36" width="19.08984375" style="28" bestFit="1" customWidth="1"/>
    <col min="37" max="16384" width="9.08984375" style="28"/>
  </cols>
  <sheetData>
    <row r="1" spans="1:36" s="27" customFormat="1" x14ac:dyDescent="0.3">
      <c r="A1" s="51" t="s">
        <v>34</v>
      </c>
      <c r="B1" s="51" t="s">
        <v>20</v>
      </c>
      <c r="C1" s="51" t="s">
        <v>21</v>
      </c>
      <c r="D1" s="51" t="s">
        <v>24</v>
      </c>
      <c r="E1" s="51" t="s">
        <v>202</v>
      </c>
      <c r="F1" s="51" t="s">
        <v>103</v>
      </c>
      <c r="G1" s="51" t="s">
        <v>104</v>
      </c>
      <c r="H1" s="51" t="s">
        <v>771</v>
      </c>
      <c r="I1" s="51" t="s">
        <v>2240</v>
      </c>
      <c r="J1" s="51" t="s">
        <v>2242</v>
      </c>
      <c r="K1" s="52" t="s">
        <v>105</v>
      </c>
      <c r="L1" s="52" t="s">
        <v>2707</v>
      </c>
      <c r="M1" s="51" t="s">
        <v>2708</v>
      </c>
      <c r="N1" s="52" t="s">
        <v>2709</v>
      </c>
      <c r="O1" s="2" t="s">
        <v>1087</v>
      </c>
      <c r="P1" s="51" t="s">
        <v>864</v>
      </c>
      <c r="Q1" s="6" t="s">
        <v>1043</v>
      </c>
      <c r="R1" s="55" t="s">
        <v>1044</v>
      </c>
      <c r="S1" s="55" t="s">
        <v>1042</v>
      </c>
      <c r="T1" s="55" t="s">
        <v>107</v>
      </c>
      <c r="U1" s="55" t="s">
        <v>108</v>
      </c>
      <c r="V1" s="51" t="s">
        <v>1072</v>
      </c>
      <c r="W1" s="55" t="s">
        <v>109</v>
      </c>
      <c r="X1" s="51" t="s">
        <v>1073</v>
      </c>
      <c r="Y1" s="55" t="s">
        <v>772</v>
      </c>
      <c r="Z1" s="55" t="s">
        <v>106</v>
      </c>
      <c r="AA1" s="31" t="s">
        <v>773</v>
      </c>
      <c r="AB1" s="111" t="s">
        <v>774</v>
      </c>
      <c r="AC1" s="31" t="s">
        <v>2095</v>
      </c>
      <c r="AD1" s="112" t="s">
        <v>110</v>
      </c>
      <c r="AE1" s="31" t="s">
        <v>1047</v>
      </c>
      <c r="AF1" s="31" t="s">
        <v>1045</v>
      </c>
      <c r="AG1" s="31" t="s">
        <v>1048</v>
      </c>
      <c r="AH1" s="31" t="s">
        <v>1046</v>
      </c>
      <c r="AI1" s="8" t="s">
        <v>1177</v>
      </c>
      <c r="AJ1" s="17" t="s">
        <v>1181</v>
      </c>
    </row>
    <row r="2" spans="1:36" s="3" customFormat="1" x14ac:dyDescent="0.3">
      <c r="A2" s="59">
        <v>1997</v>
      </c>
      <c r="B2" s="30">
        <v>3.2</v>
      </c>
      <c r="C2" s="30" t="s">
        <v>22</v>
      </c>
      <c r="D2" s="64" t="s">
        <v>30</v>
      </c>
      <c r="E2" s="39">
        <v>0.5</v>
      </c>
      <c r="F2" s="129" t="s">
        <v>2227</v>
      </c>
      <c r="G2" s="136" t="s">
        <v>0</v>
      </c>
      <c r="H2" s="28" t="s">
        <v>267</v>
      </c>
      <c r="I2" s="28" t="s">
        <v>2473</v>
      </c>
      <c r="J2" s="149" t="str">
        <f>IF(I2&lt;&gt;"?", HYPERLINK(CONCATENATE("https://doi.org/",I2)), "")</f>
        <v>https://doi.org/10.1109/VLSIC.1997.623781</v>
      </c>
      <c r="K2" s="28" t="s">
        <v>1050</v>
      </c>
      <c r="L2" s="38">
        <v>1.2</v>
      </c>
      <c r="M2" s="38"/>
      <c r="N2" s="38"/>
      <c r="O2" s="39" t="s">
        <v>1050</v>
      </c>
      <c r="P2" s="30"/>
      <c r="Q2" s="60"/>
      <c r="R2" s="63">
        <v>20000</v>
      </c>
      <c r="S2" s="60">
        <v>91.5</v>
      </c>
      <c r="T2" s="60">
        <v>92</v>
      </c>
      <c r="U2" s="60">
        <v>94</v>
      </c>
      <c r="V2" s="60"/>
      <c r="W2" s="60"/>
      <c r="X2" s="29">
        <f t="shared" ref="X2:X33" si="0">+IF(ISNUMBER($S2),$S2,MIN($V2,$T2,$U2,$W2))</f>
        <v>91.5</v>
      </c>
      <c r="Y2" s="63">
        <v>6.4999999999999997E-3</v>
      </c>
      <c r="Z2" s="63">
        <v>6140000</v>
      </c>
      <c r="AA2" s="64">
        <v>153.5</v>
      </c>
      <c r="AB2" s="63">
        <f t="shared" ref="AB2:AB33" si="1">Z2/AA2</f>
        <v>40000</v>
      </c>
      <c r="AC2" s="5" t="s">
        <v>2096</v>
      </c>
      <c r="AD2" s="111">
        <f t="shared" ref="AD2:AD33" si="2">Y2/AB2*1000000000000</f>
        <v>162499.99999999997</v>
      </c>
      <c r="AE2" s="29" t="str">
        <f t="shared" ref="AE2:AE33" si="3">IF(ISNUMBER($Q2),$AD2*1000/2^(($Q2-1.76)/6.02), "")</f>
        <v/>
      </c>
      <c r="AF2" s="29">
        <f t="shared" ref="AF2:AF33" si="4">$AD2*1000/2^(($X2-1.76)/6.02)</f>
        <v>5289.3976830280035</v>
      </c>
      <c r="AG2" s="29" t="str">
        <f t="shared" ref="AG2:AG33" si="5">IF(ISNUMBER($Q2), $Q2+10*LOG10($AB2/2/$Y2), "")</f>
        <v/>
      </c>
      <c r="AH2" s="29">
        <f t="shared" ref="AH2:AH33" si="6">$X2+10*LOG10($AB2/2/$Y2)</f>
        <v>156.38116639021126</v>
      </c>
      <c r="AI2" s="33">
        <f>AF2/AB2</f>
        <v>0.13223494207570008</v>
      </c>
      <c r="AJ2" s="48">
        <f>AH2+10*LOG10(AB2)</f>
        <v>202.40176630349089</v>
      </c>
    </row>
    <row r="3" spans="1:36" x14ac:dyDescent="0.3">
      <c r="A3" s="64">
        <v>1997</v>
      </c>
      <c r="B3" s="30">
        <v>3.4</v>
      </c>
      <c r="C3" s="30" t="s">
        <v>23</v>
      </c>
      <c r="D3" s="64" t="s">
        <v>762</v>
      </c>
      <c r="E3" s="39" t="s">
        <v>210</v>
      </c>
      <c r="F3" s="129" t="s">
        <v>268</v>
      </c>
      <c r="G3" s="136" t="s">
        <v>763</v>
      </c>
      <c r="H3" s="28" t="s">
        <v>2235</v>
      </c>
      <c r="I3" s="28" t="s">
        <v>2474</v>
      </c>
      <c r="J3" s="149" t="str">
        <f t="shared" ref="J3:J66" si="7">IF(I3&lt;&gt;"?", HYPERLINK(CONCATENATE("https://doi.org/",I3)), "")</f>
        <v>https://doi.org/10.1109/VLSIC.1997.623783</v>
      </c>
      <c r="K3" s="28" t="s">
        <v>269</v>
      </c>
      <c r="L3" s="38"/>
      <c r="M3" s="38"/>
      <c r="N3" s="38"/>
      <c r="O3" s="39" t="s">
        <v>1050</v>
      </c>
      <c r="P3" s="30">
        <v>29.68</v>
      </c>
      <c r="Q3" s="60">
        <f>7.5*6.02+1.76</f>
        <v>46.91</v>
      </c>
      <c r="R3" s="63">
        <v>4000000000</v>
      </c>
      <c r="S3" s="60">
        <f>3.7*6.02+1.76</f>
        <v>24.034000000000002</v>
      </c>
      <c r="T3" s="60"/>
      <c r="U3" s="60"/>
      <c r="V3" s="60"/>
      <c r="W3" s="60"/>
      <c r="X3" s="29">
        <f t="shared" si="0"/>
        <v>24.034000000000002</v>
      </c>
      <c r="Y3" s="63">
        <v>12.5</v>
      </c>
      <c r="Z3" s="63">
        <v>8000000000</v>
      </c>
      <c r="AA3" s="64">
        <v>1</v>
      </c>
      <c r="AB3" s="63">
        <f t="shared" si="1"/>
        <v>8000000000</v>
      </c>
      <c r="AC3" s="5" t="s">
        <v>2096</v>
      </c>
      <c r="AD3" s="111">
        <f t="shared" si="2"/>
        <v>1562.5</v>
      </c>
      <c r="AE3" s="29">
        <f t="shared" si="3"/>
        <v>8631.6745750311002</v>
      </c>
      <c r="AF3" s="29">
        <f t="shared" si="4"/>
        <v>120228.94661571443</v>
      </c>
      <c r="AG3" s="29">
        <f t="shared" si="5"/>
        <v>131.96149978319906</v>
      </c>
      <c r="AH3" s="29">
        <f t="shared" si="6"/>
        <v>109.08549978319907</v>
      </c>
      <c r="AI3" s="33">
        <f t="shared" ref="AI3:AI67" si="8">AF3/AB3</f>
        <v>1.5028618326964304E-5</v>
      </c>
      <c r="AJ3" s="48">
        <f t="shared" ref="AJ3:AJ67" si="9">AH3+10*LOG10(AB3)</f>
        <v>208.11639965311849</v>
      </c>
    </row>
    <row r="4" spans="1:36" x14ac:dyDescent="0.3">
      <c r="A4" s="59">
        <v>1998</v>
      </c>
      <c r="B4" s="30">
        <v>14.2</v>
      </c>
      <c r="C4" s="61" t="s">
        <v>23</v>
      </c>
      <c r="D4" s="61" t="s">
        <v>26</v>
      </c>
      <c r="E4" s="61">
        <v>0.6</v>
      </c>
      <c r="F4" s="27" t="s">
        <v>764</v>
      </c>
      <c r="G4" s="136" t="s">
        <v>765</v>
      </c>
      <c r="H4" s="27" t="s">
        <v>2236</v>
      </c>
      <c r="I4" s="27" t="s">
        <v>2693</v>
      </c>
      <c r="J4" s="149" t="str">
        <f t="shared" si="7"/>
        <v>https://doi.org/10.1109/VLSIC.1998.688071</v>
      </c>
      <c r="K4" s="28" t="s">
        <v>1050</v>
      </c>
      <c r="L4" s="38">
        <v>1.5</v>
      </c>
      <c r="M4" s="38"/>
      <c r="N4" s="38"/>
      <c r="O4" s="39" t="s">
        <v>1050</v>
      </c>
      <c r="P4" s="30">
        <v>5.75</v>
      </c>
      <c r="Q4" s="60"/>
      <c r="R4" s="63">
        <f>14300000/2</f>
        <v>7150000</v>
      </c>
      <c r="S4" s="60">
        <v>58.5</v>
      </c>
      <c r="T4" s="60"/>
      <c r="U4" s="60"/>
      <c r="V4" s="60"/>
      <c r="W4" s="60"/>
      <c r="X4" s="29">
        <f t="shared" si="0"/>
        <v>58.5</v>
      </c>
      <c r="Y4" s="63">
        <v>3.5999999999999997E-2</v>
      </c>
      <c r="Z4" s="63">
        <v>14300000</v>
      </c>
      <c r="AA4" s="64">
        <v>1</v>
      </c>
      <c r="AB4" s="63">
        <f t="shared" si="1"/>
        <v>14300000</v>
      </c>
      <c r="AC4" s="5" t="s">
        <v>2096</v>
      </c>
      <c r="AD4" s="111">
        <f t="shared" si="2"/>
        <v>2517.4825174825169</v>
      </c>
      <c r="AE4" s="29" t="str">
        <f t="shared" si="3"/>
        <v/>
      </c>
      <c r="AF4" s="29">
        <f t="shared" si="4"/>
        <v>3661.7083188559845</v>
      </c>
      <c r="AG4" s="29" t="str">
        <f t="shared" si="5"/>
        <v/>
      </c>
      <c r="AH4" s="29">
        <f t="shared" si="6"/>
        <v>141.48003541033793</v>
      </c>
      <c r="AI4" s="33">
        <f t="shared" si="8"/>
        <v>2.5606351880111779E-4</v>
      </c>
      <c r="AJ4" s="48">
        <f t="shared" si="9"/>
        <v>213.03339578498856</v>
      </c>
    </row>
    <row r="5" spans="1:36" x14ac:dyDescent="0.3">
      <c r="A5" s="64">
        <v>1998</v>
      </c>
      <c r="B5" s="30">
        <v>14.3</v>
      </c>
      <c r="C5" s="61" t="s">
        <v>23</v>
      </c>
      <c r="D5" s="61" t="s">
        <v>2229</v>
      </c>
      <c r="E5" s="61" t="s">
        <v>270</v>
      </c>
      <c r="F5" s="27" t="s">
        <v>271</v>
      </c>
      <c r="G5" s="136" t="s">
        <v>264</v>
      </c>
      <c r="H5" s="27" t="s">
        <v>272</v>
      </c>
      <c r="I5" s="27" t="s">
        <v>2890</v>
      </c>
      <c r="J5" s="149" t="str">
        <f t="shared" si="7"/>
        <v>https://doi.org/10.1109/VLSIC.1998.688073</v>
      </c>
      <c r="K5" s="28" t="s">
        <v>1050</v>
      </c>
      <c r="L5" s="38">
        <v>2.5</v>
      </c>
      <c r="M5" s="38"/>
      <c r="N5" s="38"/>
      <c r="O5" s="39" t="s">
        <v>1050</v>
      </c>
      <c r="P5" s="30">
        <v>3.3</v>
      </c>
      <c r="Q5" s="60"/>
      <c r="R5" s="63">
        <f>100000000/2</f>
        <v>50000000</v>
      </c>
      <c r="S5" s="60">
        <v>43.3</v>
      </c>
      <c r="T5" s="60"/>
      <c r="U5" s="60"/>
      <c r="V5" s="60"/>
      <c r="W5" s="60"/>
      <c r="X5" s="29">
        <f t="shared" si="0"/>
        <v>43.3</v>
      </c>
      <c r="Y5" s="63">
        <v>0.18</v>
      </c>
      <c r="Z5" s="63">
        <v>100000000</v>
      </c>
      <c r="AA5" s="64">
        <v>1</v>
      </c>
      <c r="AB5" s="63">
        <f t="shared" si="1"/>
        <v>100000000</v>
      </c>
      <c r="AC5" s="5" t="s">
        <v>2096</v>
      </c>
      <c r="AD5" s="111">
        <f t="shared" si="2"/>
        <v>1800</v>
      </c>
      <c r="AE5" s="29" t="str">
        <f t="shared" si="3"/>
        <v/>
      </c>
      <c r="AF5" s="29">
        <f t="shared" si="4"/>
        <v>15068.343957176261</v>
      </c>
      <c r="AG5" s="29" t="str">
        <f t="shared" si="5"/>
        <v/>
      </c>
      <c r="AH5" s="29">
        <f t="shared" si="6"/>
        <v>127.73697499232712</v>
      </c>
      <c r="AI5" s="33">
        <f t="shared" si="8"/>
        <v>1.5068343957176262E-4</v>
      </c>
      <c r="AJ5" s="48">
        <f t="shared" si="9"/>
        <v>207.73697499232713</v>
      </c>
    </row>
    <row r="6" spans="1:36" x14ac:dyDescent="0.3">
      <c r="A6" s="64">
        <v>1998</v>
      </c>
      <c r="B6" s="30">
        <v>14.4</v>
      </c>
      <c r="C6" s="61" t="s">
        <v>22</v>
      </c>
      <c r="D6" s="61" t="s">
        <v>1955</v>
      </c>
      <c r="E6" s="61" t="s">
        <v>273</v>
      </c>
      <c r="F6" s="27" t="s">
        <v>274</v>
      </c>
      <c r="G6" s="136" t="s">
        <v>265</v>
      </c>
      <c r="H6" s="27" t="s">
        <v>275</v>
      </c>
      <c r="I6" s="27" t="s">
        <v>2891</v>
      </c>
      <c r="J6" s="149" t="str">
        <f t="shared" si="7"/>
        <v>https://doi.org/10.1109/VLSIC.1998.688074</v>
      </c>
      <c r="K6" s="28" t="s">
        <v>1050</v>
      </c>
      <c r="L6" s="38">
        <v>5</v>
      </c>
      <c r="M6" s="38"/>
      <c r="N6" s="38"/>
      <c r="O6" s="39" t="s">
        <v>1050</v>
      </c>
      <c r="P6" s="30">
        <v>1.24</v>
      </c>
      <c r="Q6" s="60"/>
      <c r="R6" s="63">
        <v>4000000</v>
      </c>
      <c r="S6" s="60"/>
      <c r="T6" s="60">
        <v>53</v>
      </c>
      <c r="U6" s="60">
        <v>62</v>
      </c>
      <c r="V6" s="60"/>
      <c r="W6" s="60">
        <v>69</v>
      </c>
      <c r="X6" s="29">
        <f t="shared" si="0"/>
        <v>53</v>
      </c>
      <c r="Y6" s="63">
        <v>0.35</v>
      </c>
      <c r="Z6" s="63">
        <v>4000000000</v>
      </c>
      <c r="AA6" s="64">
        <v>500</v>
      </c>
      <c r="AB6" s="63">
        <f t="shared" si="1"/>
        <v>8000000</v>
      </c>
      <c r="AC6" s="5">
        <v>1000000000</v>
      </c>
      <c r="AD6" s="111">
        <f t="shared" si="2"/>
        <v>43750</v>
      </c>
      <c r="AE6" s="29" t="str">
        <f t="shared" si="3"/>
        <v/>
      </c>
      <c r="AF6" s="29">
        <f t="shared" si="4"/>
        <v>119873.3784481622</v>
      </c>
      <c r="AG6" s="29" t="str">
        <f t="shared" si="5"/>
        <v/>
      </c>
      <c r="AH6" s="29">
        <f t="shared" si="6"/>
        <v>123.57991946977687</v>
      </c>
      <c r="AI6" s="33">
        <f t="shared" si="8"/>
        <v>1.4984172306020276E-2</v>
      </c>
      <c r="AJ6" s="48">
        <f t="shared" si="9"/>
        <v>192.61081933969632</v>
      </c>
    </row>
    <row r="7" spans="1:36" x14ac:dyDescent="0.3">
      <c r="A7" s="59">
        <v>1999</v>
      </c>
      <c r="B7" s="30">
        <v>8.1999999999999993</v>
      </c>
      <c r="C7" s="61" t="s">
        <v>23</v>
      </c>
      <c r="D7" s="61" t="s">
        <v>26</v>
      </c>
      <c r="E7" s="61" t="s">
        <v>210</v>
      </c>
      <c r="F7" s="27" t="s">
        <v>276</v>
      </c>
      <c r="G7" s="136" t="s">
        <v>2100</v>
      </c>
      <c r="H7" s="27" t="s">
        <v>2234</v>
      </c>
      <c r="I7" s="27" t="s">
        <v>2892</v>
      </c>
      <c r="J7" s="149" t="str">
        <f t="shared" si="7"/>
        <v>https://doi.org/10.1109/VLSIC.1999.797241</v>
      </c>
      <c r="K7" s="28" t="s">
        <v>1050</v>
      </c>
      <c r="L7" s="38">
        <v>2</v>
      </c>
      <c r="M7" s="38">
        <v>-3.3</v>
      </c>
      <c r="N7" s="38"/>
      <c r="O7" s="39" t="s">
        <v>1050</v>
      </c>
      <c r="P7" s="30">
        <v>5.5</v>
      </c>
      <c r="Q7" s="60"/>
      <c r="R7" s="63">
        <v>250000000</v>
      </c>
      <c r="S7" s="60">
        <v>45</v>
      </c>
      <c r="T7" s="60"/>
      <c r="U7" s="60"/>
      <c r="V7" s="60"/>
      <c r="W7" s="60"/>
      <c r="X7" s="29">
        <f t="shared" si="0"/>
        <v>45</v>
      </c>
      <c r="Y7" s="63">
        <v>0.95</v>
      </c>
      <c r="Z7" s="63">
        <v>500000000</v>
      </c>
      <c r="AA7" s="64">
        <v>1</v>
      </c>
      <c r="AB7" s="63">
        <f t="shared" si="1"/>
        <v>500000000</v>
      </c>
      <c r="AC7" s="5" t="s">
        <v>2096</v>
      </c>
      <c r="AD7" s="111">
        <f t="shared" si="2"/>
        <v>1900</v>
      </c>
      <c r="AE7" s="29" t="str">
        <f t="shared" si="3"/>
        <v/>
      </c>
      <c r="AF7" s="29">
        <f t="shared" si="4"/>
        <v>13077.904160337508</v>
      </c>
      <c r="AG7" s="29" t="str">
        <f t="shared" si="5"/>
        <v/>
      </c>
      <c r="AH7" s="29">
        <f t="shared" si="6"/>
        <v>129.20216403383191</v>
      </c>
      <c r="AI7" s="33">
        <f t="shared" si="8"/>
        <v>2.6155808320675015E-5</v>
      </c>
      <c r="AJ7" s="48">
        <f t="shared" si="9"/>
        <v>216.19186407719209</v>
      </c>
    </row>
    <row r="8" spans="1:36" x14ac:dyDescent="0.3">
      <c r="A8" s="64">
        <v>1999</v>
      </c>
      <c r="B8" s="30">
        <v>8.3000000000000007</v>
      </c>
      <c r="C8" s="61" t="s">
        <v>23</v>
      </c>
      <c r="D8" s="61" t="s">
        <v>27</v>
      </c>
      <c r="E8" s="61">
        <v>0.35</v>
      </c>
      <c r="F8" s="27" t="s">
        <v>78</v>
      </c>
      <c r="G8" s="136" t="s">
        <v>266</v>
      </c>
      <c r="H8" s="27" t="s">
        <v>79</v>
      </c>
      <c r="I8" s="27" t="s">
        <v>2893</v>
      </c>
      <c r="J8" s="149" t="str">
        <f t="shared" si="7"/>
        <v>https://doi.org/10.1109/VLSIC.1999.797242</v>
      </c>
      <c r="K8" s="28" t="s">
        <v>1050</v>
      </c>
      <c r="L8" s="38"/>
      <c r="M8" s="38"/>
      <c r="N8" s="38"/>
      <c r="O8" s="39" t="s">
        <v>1050</v>
      </c>
      <c r="P8" s="30">
        <v>4.8</v>
      </c>
      <c r="Q8" s="60"/>
      <c r="R8" s="63">
        <v>25000000</v>
      </c>
      <c r="S8" s="60">
        <v>33.5</v>
      </c>
      <c r="T8" s="60"/>
      <c r="U8" s="60"/>
      <c r="V8" s="60"/>
      <c r="W8" s="60"/>
      <c r="X8" s="29">
        <f t="shared" si="0"/>
        <v>33.5</v>
      </c>
      <c r="Y8" s="63">
        <v>0.02</v>
      </c>
      <c r="Z8" s="63">
        <v>50000000</v>
      </c>
      <c r="AA8" s="64">
        <v>1</v>
      </c>
      <c r="AB8" s="63">
        <f t="shared" si="1"/>
        <v>50000000</v>
      </c>
      <c r="AC8" s="5" t="s">
        <v>2096</v>
      </c>
      <c r="AD8" s="111">
        <f t="shared" si="2"/>
        <v>400</v>
      </c>
      <c r="AE8" s="29" t="str">
        <f t="shared" si="3"/>
        <v/>
      </c>
      <c r="AF8" s="29">
        <f t="shared" si="4"/>
        <v>10349.082318830473</v>
      </c>
      <c r="AG8" s="29" t="str">
        <f t="shared" si="5"/>
        <v/>
      </c>
      <c r="AH8" s="29">
        <f t="shared" si="6"/>
        <v>124.46910013008056</v>
      </c>
      <c r="AI8" s="33">
        <f t="shared" si="8"/>
        <v>2.0698164637660945E-4</v>
      </c>
      <c r="AJ8" s="48">
        <f t="shared" si="9"/>
        <v>201.45880017344075</v>
      </c>
    </row>
    <row r="9" spans="1:36" x14ac:dyDescent="0.3">
      <c r="A9" s="64">
        <v>1999</v>
      </c>
      <c r="B9" s="30">
        <v>8.4</v>
      </c>
      <c r="C9" s="61" t="s">
        <v>23</v>
      </c>
      <c r="D9" s="61" t="s">
        <v>150</v>
      </c>
      <c r="E9" s="61">
        <v>0.5</v>
      </c>
      <c r="F9" s="27" t="s">
        <v>766</v>
      </c>
      <c r="G9" s="136" t="s">
        <v>767</v>
      </c>
      <c r="H9" s="27" t="s">
        <v>80</v>
      </c>
      <c r="I9" s="27" t="s">
        <v>2894</v>
      </c>
      <c r="J9" s="149" t="str">
        <f t="shared" si="7"/>
        <v>https://doi.org/10.1109/VLSIC.1999.797243</v>
      </c>
      <c r="K9" s="28" t="s">
        <v>1050</v>
      </c>
      <c r="L9" s="38"/>
      <c r="M9" s="38"/>
      <c r="N9" s="38"/>
      <c r="O9" s="39" t="s">
        <v>1050</v>
      </c>
      <c r="P9" s="30">
        <v>1.68</v>
      </c>
      <c r="Q9" s="60"/>
      <c r="R9" s="63">
        <v>50000000</v>
      </c>
      <c r="S9" s="60">
        <v>42.3</v>
      </c>
      <c r="T9" s="60">
        <v>46.5</v>
      </c>
      <c r="U9" s="60"/>
      <c r="V9" s="60"/>
      <c r="W9" s="60"/>
      <c r="X9" s="29">
        <f t="shared" si="0"/>
        <v>42.3</v>
      </c>
      <c r="Y9" s="63">
        <v>0.16500000000000001</v>
      </c>
      <c r="Z9" s="63">
        <v>100000000</v>
      </c>
      <c r="AA9" s="64">
        <v>1</v>
      </c>
      <c r="AB9" s="63">
        <f t="shared" si="1"/>
        <v>100000000</v>
      </c>
      <c r="AC9" s="5" t="s">
        <v>2096</v>
      </c>
      <c r="AD9" s="111">
        <f t="shared" si="2"/>
        <v>1650</v>
      </c>
      <c r="AE9" s="29" t="str">
        <f t="shared" si="3"/>
        <v/>
      </c>
      <c r="AF9" s="29">
        <f t="shared" si="4"/>
        <v>15498.224473133783</v>
      </c>
      <c r="AG9" s="29" t="str">
        <f t="shared" si="5"/>
        <v/>
      </c>
      <c r="AH9" s="29">
        <f t="shared" si="6"/>
        <v>127.11486060122111</v>
      </c>
      <c r="AI9" s="33">
        <f t="shared" si="8"/>
        <v>1.5498224473133783E-4</v>
      </c>
      <c r="AJ9" s="48">
        <f t="shared" si="9"/>
        <v>207.1148606012211</v>
      </c>
    </row>
    <row r="10" spans="1:36" x14ac:dyDescent="0.3">
      <c r="A10" s="59">
        <v>2000</v>
      </c>
      <c r="B10" s="30">
        <v>11.1</v>
      </c>
      <c r="C10" s="61" t="s">
        <v>22</v>
      </c>
      <c r="D10" s="61" t="s">
        <v>25</v>
      </c>
      <c r="E10" s="61">
        <v>0.25</v>
      </c>
      <c r="F10" s="27" t="s">
        <v>81</v>
      </c>
      <c r="G10" s="136" t="s">
        <v>366</v>
      </c>
      <c r="H10" s="27" t="s">
        <v>82</v>
      </c>
      <c r="I10" s="27" t="s">
        <v>2895</v>
      </c>
      <c r="J10" s="149" t="str">
        <f t="shared" si="7"/>
        <v>https://doi.org/10.1109/VLSIC.2000.852873</v>
      </c>
      <c r="K10" s="28" t="s">
        <v>1050</v>
      </c>
      <c r="L10" s="38">
        <v>2.5</v>
      </c>
      <c r="M10" s="38"/>
      <c r="N10" s="38"/>
      <c r="O10" s="39" t="s">
        <v>1050</v>
      </c>
      <c r="P10" s="30">
        <v>1.1000000000000001</v>
      </c>
      <c r="Q10" s="60"/>
      <c r="R10" s="63">
        <v>1000000</v>
      </c>
      <c r="S10" s="60">
        <v>78</v>
      </c>
      <c r="T10" s="60">
        <v>80</v>
      </c>
      <c r="U10" s="60"/>
      <c r="V10" s="60"/>
      <c r="W10" s="60"/>
      <c r="X10" s="29">
        <f t="shared" si="0"/>
        <v>78</v>
      </c>
      <c r="Y10" s="63">
        <v>0.05</v>
      </c>
      <c r="Z10" s="63">
        <v>80000000</v>
      </c>
      <c r="AA10" s="64">
        <v>40</v>
      </c>
      <c r="AB10" s="63">
        <f t="shared" si="1"/>
        <v>2000000</v>
      </c>
      <c r="AC10" s="5" t="s">
        <v>2096</v>
      </c>
      <c r="AD10" s="111">
        <f t="shared" si="2"/>
        <v>25000.000000000004</v>
      </c>
      <c r="AE10" s="29" t="str">
        <f t="shared" si="3"/>
        <v/>
      </c>
      <c r="AF10" s="29">
        <f t="shared" si="4"/>
        <v>3850.8812817661601</v>
      </c>
      <c r="AG10" s="29" t="str">
        <f t="shared" si="5"/>
        <v/>
      </c>
      <c r="AH10" s="29">
        <f t="shared" si="6"/>
        <v>151.01029995663981</v>
      </c>
      <c r="AI10" s="33">
        <f t="shared" si="8"/>
        <v>1.9254406408830799E-3</v>
      </c>
      <c r="AJ10" s="48">
        <f t="shared" si="9"/>
        <v>214.02059991327963</v>
      </c>
    </row>
    <row r="11" spans="1:36" x14ac:dyDescent="0.3">
      <c r="A11" s="64">
        <v>2000</v>
      </c>
      <c r="B11" s="30">
        <v>16.100000000000001</v>
      </c>
      <c r="C11" s="61" t="s">
        <v>23</v>
      </c>
      <c r="D11" s="61" t="s">
        <v>26</v>
      </c>
      <c r="E11" s="61" t="s">
        <v>83</v>
      </c>
      <c r="F11" s="27" t="s">
        <v>84</v>
      </c>
      <c r="G11" s="136" t="s">
        <v>367</v>
      </c>
      <c r="H11" s="27" t="s">
        <v>85</v>
      </c>
      <c r="I11" s="27" t="s">
        <v>2896</v>
      </c>
      <c r="J11" s="149" t="str">
        <f t="shared" si="7"/>
        <v>https://doi.org/10.1109/VLSIC.2000.852892</v>
      </c>
      <c r="K11" s="28" t="s">
        <v>1050</v>
      </c>
      <c r="L11" s="38"/>
      <c r="M11" s="38"/>
      <c r="N11" s="38"/>
      <c r="O11" s="39" t="s">
        <v>1050</v>
      </c>
      <c r="Q11" s="60"/>
      <c r="R11" s="63">
        <f>105000000/2</f>
        <v>52500000</v>
      </c>
      <c r="S11" s="60"/>
      <c r="T11" s="60">
        <v>68</v>
      </c>
      <c r="U11" s="60"/>
      <c r="V11" s="60"/>
      <c r="W11" s="60">
        <v>78</v>
      </c>
      <c r="X11" s="29">
        <f t="shared" si="0"/>
        <v>68</v>
      </c>
      <c r="Y11" s="63">
        <v>0.85</v>
      </c>
      <c r="Z11" s="63">
        <f>105000000</f>
        <v>105000000</v>
      </c>
      <c r="AA11" s="64">
        <v>1</v>
      </c>
      <c r="AB11" s="63">
        <f t="shared" si="1"/>
        <v>105000000</v>
      </c>
      <c r="AC11" s="5" t="s">
        <v>2096</v>
      </c>
      <c r="AD11" s="111">
        <f t="shared" si="2"/>
        <v>8095.2380952380954</v>
      </c>
      <c r="AE11" s="29" t="str">
        <f t="shared" si="3"/>
        <v/>
      </c>
      <c r="AF11" s="29">
        <f t="shared" si="4"/>
        <v>3943.6609917060478</v>
      </c>
      <c r="AG11" s="29" t="str">
        <f t="shared" si="5"/>
        <v/>
      </c>
      <c r="AH11" s="29">
        <f t="shared" si="6"/>
        <v>145.90740377691662</v>
      </c>
      <c r="AI11" s="33">
        <f t="shared" si="8"/>
        <v>3.7558676111486169E-5</v>
      </c>
      <c r="AJ11" s="48">
        <f t="shared" si="9"/>
        <v>226.11929676761599</v>
      </c>
    </row>
    <row r="12" spans="1:36" x14ac:dyDescent="0.3">
      <c r="A12" s="64">
        <v>2000</v>
      </c>
      <c r="B12" s="30">
        <v>16.2</v>
      </c>
      <c r="C12" s="61" t="s">
        <v>23</v>
      </c>
      <c r="D12" s="61" t="s">
        <v>28</v>
      </c>
      <c r="E12" s="61">
        <v>0.35</v>
      </c>
      <c r="F12" s="27" t="s">
        <v>86</v>
      </c>
      <c r="G12" s="136" t="s">
        <v>2101</v>
      </c>
      <c r="H12" s="27" t="s">
        <v>87</v>
      </c>
      <c r="I12" s="27" t="s">
        <v>2897</v>
      </c>
      <c r="J12" s="149" t="str">
        <f t="shared" si="7"/>
        <v>https://doi.org/10.1109/VLSIC.2000.852893</v>
      </c>
      <c r="K12" s="28" t="s">
        <v>1050</v>
      </c>
      <c r="L12" s="38"/>
      <c r="M12" s="38"/>
      <c r="N12" s="38"/>
      <c r="O12" s="39" t="s">
        <v>1050</v>
      </c>
      <c r="P12" s="30">
        <v>0.8</v>
      </c>
      <c r="Q12" s="60"/>
      <c r="R12" s="63">
        <f>125000000/2</f>
        <v>62500000</v>
      </c>
      <c r="S12" s="60">
        <v>40.200000000000003</v>
      </c>
      <c r="T12" s="60"/>
      <c r="U12" s="60"/>
      <c r="V12" s="60"/>
      <c r="W12" s="60"/>
      <c r="X12" s="29">
        <f t="shared" si="0"/>
        <v>40.200000000000003</v>
      </c>
      <c r="Y12" s="63">
        <v>0.11</v>
      </c>
      <c r="Z12" s="63">
        <f>125000000</f>
        <v>125000000</v>
      </c>
      <c r="AA12" s="64">
        <v>1</v>
      </c>
      <c r="AB12" s="63">
        <f t="shared" si="1"/>
        <v>125000000</v>
      </c>
      <c r="AC12" s="5" t="s">
        <v>2096</v>
      </c>
      <c r="AD12" s="111">
        <f t="shared" si="2"/>
        <v>880</v>
      </c>
      <c r="AE12" s="29" t="str">
        <f t="shared" si="3"/>
        <v/>
      </c>
      <c r="AF12" s="29">
        <f t="shared" si="4"/>
        <v>10526.673148610813</v>
      </c>
      <c r="AG12" s="29" t="str">
        <f t="shared" si="5"/>
        <v/>
      </c>
      <c r="AH12" s="29">
        <f t="shared" si="6"/>
        <v>127.74487332185849</v>
      </c>
      <c r="AI12" s="33">
        <f t="shared" si="8"/>
        <v>8.4213385188886499E-5</v>
      </c>
      <c r="AJ12" s="48">
        <f t="shared" si="9"/>
        <v>208.71397345193907</v>
      </c>
    </row>
    <row r="13" spans="1:36" x14ac:dyDescent="0.3">
      <c r="A13" s="59">
        <v>2001</v>
      </c>
      <c r="B13" s="30">
        <v>19.2</v>
      </c>
      <c r="C13" s="61" t="s">
        <v>23</v>
      </c>
      <c r="D13" s="61" t="s">
        <v>28</v>
      </c>
      <c r="E13" s="61">
        <v>0.18</v>
      </c>
      <c r="F13" s="27" t="s">
        <v>88</v>
      </c>
      <c r="G13" s="136" t="s">
        <v>368</v>
      </c>
      <c r="H13" s="27" t="s">
        <v>89</v>
      </c>
      <c r="I13" s="27" t="s">
        <v>2898</v>
      </c>
      <c r="J13" s="149" t="str">
        <f t="shared" si="7"/>
        <v>https://doi.org/10.1109/VLSIC.2001.934241</v>
      </c>
      <c r="K13" s="28" t="s">
        <v>1050</v>
      </c>
      <c r="L13" s="38">
        <v>1.8</v>
      </c>
      <c r="M13" s="38"/>
      <c r="N13" s="38"/>
      <c r="O13" s="39" t="s">
        <v>1050</v>
      </c>
      <c r="P13" s="30">
        <v>0.96</v>
      </c>
      <c r="Q13" s="60"/>
      <c r="R13" s="63">
        <v>15000000</v>
      </c>
      <c r="S13" s="60">
        <v>45</v>
      </c>
      <c r="T13" s="60"/>
      <c r="U13" s="60"/>
      <c r="V13" s="60"/>
      <c r="W13" s="60"/>
      <c r="X13" s="29">
        <f t="shared" si="0"/>
        <v>45</v>
      </c>
      <c r="Y13" s="63">
        <v>1.7999999999999999E-2</v>
      </c>
      <c r="Z13" s="63">
        <v>30000000</v>
      </c>
      <c r="AA13" s="64">
        <v>1</v>
      </c>
      <c r="AB13" s="63">
        <f t="shared" si="1"/>
        <v>30000000</v>
      </c>
      <c r="AC13" s="5" t="s">
        <v>2096</v>
      </c>
      <c r="AD13" s="111">
        <f t="shared" si="2"/>
        <v>600</v>
      </c>
      <c r="AE13" s="29" t="str">
        <f t="shared" si="3"/>
        <v/>
      </c>
      <c r="AF13" s="29">
        <f t="shared" si="4"/>
        <v>4129.8644716855288</v>
      </c>
      <c r="AG13" s="29" t="str">
        <f t="shared" si="5"/>
        <v/>
      </c>
      <c r="AH13" s="29">
        <f t="shared" si="6"/>
        <v>134.20818753952375</v>
      </c>
      <c r="AI13" s="33">
        <f t="shared" si="8"/>
        <v>1.3766214905618429E-4</v>
      </c>
      <c r="AJ13" s="48">
        <f t="shared" si="9"/>
        <v>208.97940008672037</v>
      </c>
    </row>
    <row r="14" spans="1:36" x14ac:dyDescent="0.3">
      <c r="A14" s="64">
        <v>2001</v>
      </c>
      <c r="B14" s="30">
        <v>19.3</v>
      </c>
      <c r="C14" s="61" t="s">
        <v>23</v>
      </c>
      <c r="D14" s="61" t="s">
        <v>26</v>
      </c>
      <c r="E14" s="61">
        <v>0.35</v>
      </c>
      <c r="F14" s="27" t="s">
        <v>768</v>
      </c>
      <c r="G14" s="136" t="s">
        <v>769</v>
      </c>
      <c r="H14" s="27" t="s">
        <v>90</v>
      </c>
      <c r="I14" s="27" t="s">
        <v>2898</v>
      </c>
      <c r="J14" s="149" t="str">
        <f t="shared" si="7"/>
        <v>https://doi.org/10.1109/VLSIC.2001.934241</v>
      </c>
      <c r="K14" s="28" t="s">
        <v>1050</v>
      </c>
      <c r="L14" s="38"/>
      <c r="M14" s="38"/>
      <c r="N14" s="38"/>
      <c r="O14" s="39" t="s">
        <v>1050</v>
      </c>
      <c r="Q14" s="60"/>
      <c r="R14" s="63">
        <f>51000000/2</f>
        <v>25500000</v>
      </c>
      <c r="S14" s="60">
        <v>67</v>
      </c>
      <c r="T14" s="60"/>
      <c r="U14" s="60"/>
      <c r="V14" s="60">
        <v>75</v>
      </c>
      <c r="W14" s="60">
        <v>77</v>
      </c>
      <c r="X14" s="29">
        <f t="shared" si="0"/>
        <v>67</v>
      </c>
      <c r="Y14" s="63">
        <f>(435+165)*0.001</f>
        <v>0.6</v>
      </c>
      <c r="Z14" s="63">
        <f>51000000</f>
        <v>51000000</v>
      </c>
      <c r="AA14" s="64">
        <v>1</v>
      </c>
      <c r="AB14" s="63">
        <f t="shared" si="1"/>
        <v>51000000</v>
      </c>
      <c r="AC14" s="5" t="s">
        <v>2096</v>
      </c>
      <c r="AD14" s="111">
        <f t="shared" si="2"/>
        <v>11764.705882352941</v>
      </c>
      <c r="AE14" s="29" t="str">
        <f t="shared" si="3"/>
        <v/>
      </c>
      <c r="AF14" s="29">
        <f t="shared" si="4"/>
        <v>6430.6667624215706</v>
      </c>
      <c r="AG14" s="29" t="str">
        <f t="shared" si="5"/>
        <v/>
      </c>
      <c r="AH14" s="29">
        <f t="shared" si="6"/>
        <v>143.28388930050312</v>
      </c>
      <c r="AI14" s="33">
        <f t="shared" si="8"/>
        <v>1.26091505145521E-4</v>
      </c>
      <c r="AJ14" s="48">
        <f t="shared" si="9"/>
        <v>220.35959106148249</v>
      </c>
    </row>
    <row r="15" spans="1:36" x14ac:dyDescent="0.3">
      <c r="A15" s="59">
        <v>2002</v>
      </c>
      <c r="B15" s="30">
        <v>23.1</v>
      </c>
      <c r="C15" s="61" t="s">
        <v>23</v>
      </c>
      <c r="D15" s="61" t="s">
        <v>27</v>
      </c>
      <c r="E15" s="61">
        <v>0.18</v>
      </c>
      <c r="F15" s="27" t="s">
        <v>91</v>
      </c>
      <c r="G15" s="136" t="s">
        <v>2102</v>
      </c>
      <c r="H15" s="27" t="s">
        <v>92</v>
      </c>
      <c r="I15" s="27" t="s">
        <v>2899</v>
      </c>
      <c r="J15" s="149" t="str">
        <f t="shared" si="7"/>
        <v>https://doi.org/10.1109/VLSIC.2002.1015116</v>
      </c>
      <c r="K15" s="28" t="s">
        <v>1050</v>
      </c>
      <c r="L15" s="38">
        <v>2.4</v>
      </c>
      <c r="M15" s="38">
        <v>1.8</v>
      </c>
      <c r="N15" s="38"/>
      <c r="O15" s="39" t="s">
        <v>1050</v>
      </c>
      <c r="P15" s="30">
        <v>0.26879999999999998</v>
      </c>
      <c r="Q15" s="60"/>
      <c r="R15" s="63">
        <v>200000000</v>
      </c>
      <c r="S15" s="60">
        <v>31</v>
      </c>
      <c r="T15" s="60">
        <v>35</v>
      </c>
      <c r="U15" s="60"/>
      <c r="V15" s="60"/>
      <c r="W15" s="60"/>
      <c r="X15" s="29">
        <f t="shared" si="0"/>
        <v>31</v>
      </c>
      <c r="Y15" s="63">
        <v>7.0000000000000007E-2</v>
      </c>
      <c r="Z15" s="63">
        <v>400000000</v>
      </c>
      <c r="AA15" s="64">
        <v>1</v>
      </c>
      <c r="AB15" s="63">
        <f t="shared" si="1"/>
        <v>400000000</v>
      </c>
      <c r="AC15" s="5" t="s">
        <v>2096</v>
      </c>
      <c r="AD15" s="111">
        <f t="shared" si="2"/>
        <v>175.00000000000003</v>
      </c>
      <c r="AE15" s="29" t="str">
        <f t="shared" si="3"/>
        <v/>
      </c>
      <c r="AF15" s="29">
        <f t="shared" si="4"/>
        <v>6037.9895279036618</v>
      </c>
      <c r="AG15" s="29" t="str">
        <f t="shared" si="5"/>
        <v/>
      </c>
      <c r="AH15" s="29">
        <f t="shared" si="6"/>
        <v>125.55931955649724</v>
      </c>
      <c r="AI15" s="33">
        <f t="shared" si="8"/>
        <v>1.5094973819759155E-5</v>
      </c>
      <c r="AJ15" s="48">
        <f t="shared" si="9"/>
        <v>211.57991946977688</v>
      </c>
    </row>
    <row r="16" spans="1:36" x14ac:dyDescent="0.3">
      <c r="A16" s="64">
        <v>2002</v>
      </c>
      <c r="B16" s="30">
        <v>23.2</v>
      </c>
      <c r="C16" s="61" t="s">
        <v>23</v>
      </c>
      <c r="D16" s="61" t="s">
        <v>28</v>
      </c>
      <c r="E16" s="61">
        <v>0.12</v>
      </c>
      <c r="F16" s="27" t="s">
        <v>2103</v>
      </c>
      <c r="G16" s="136" t="s">
        <v>2104</v>
      </c>
      <c r="H16" s="27" t="s">
        <v>93</v>
      </c>
      <c r="I16" s="27" t="s">
        <v>2900</v>
      </c>
      <c r="J16" s="149" t="str">
        <f t="shared" si="7"/>
        <v>https://doi.org/10.1109/VLSIC.2002.1015117</v>
      </c>
      <c r="K16" s="28" t="s">
        <v>1050</v>
      </c>
      <c r="L16" s="38">
        <v>1.2</v>
      </c>
      <c r="M16" s="38"/>
      <c r="N16" s="38"/>
      <c r="O16" s="39" t="s">
        <v>1050</v>
      </c>
      <c r="P16" s="30">
        <v>0.32</v>
      </c>
      <c r="Q16" s="60"/>
      <c r="R16" s="63">
        <v>50000000</v>
      </c>
      <c r="S16" s="60">
        <f>8.83*6.02+1.76</f>
        <v>54.916599999999995</v>
      </c>
      <c r="T16" s="60"/>
      <c r="U16" s="60"/>
      <c r="V16" s="60"/>
      <c r="W16" s="60"/>
      <c r="X16" s="29">
        <f t="shared" si="0"/>
        <v>54.916599999999995</v>
      </c>
      <c r="Y16" s="63">
        <v>0.18</v>
      </c>
      <c r="Z16" s="63">
        <v>100000000</v>
      </c>
      <c r="AA16" s="64">
        <v>1</v>
      </c>
      <c r="AB16" s="63">
        <f t="shared" si="1"/>
        <v>100000000</v>
      </c>
      <c r="AC16" s="5" t="s">
        <v>2096</v>
      </c>
      <c r="AD16" s="111">
        <f t="shared" si="2"/>
        <v>1800</v>
      </c>
      <c r="AE16" s="29" t="str">
        <f t="shared" si="3"/>
        <v/>
      </c>
      <c r="AF16" s="29">
        <f t="shared" si="4"/>
        <v>3955.2837352340962</v>
      </c>
      <c r="AG16" s="29" t="str">
        <f t="shared" si="5"/>
        <v/>
      </c>
      <c r="AH16" s="29">
        <f t="shared" si="6"/>
        <v>139.35357499232711</v>
      </c>
      <c r="AI16" s="33">
        <f t="shared" si="8"/>
        <v>3.9552837352340959E-5</v>
      </c>
      <c r="AJ16" s="48">
        <f t="shared" si="9"/>
        <v>219.35357499232711</v>
      </c>
    </row>
    <row r="17" spans="1:36" x14ac:dyDescent="0.3">
      <c r="A17" s="59">
        <v>2003</v>
      </c>
      <c r="B17" s="30">
        <v>6.1</v>
      </c>
      <c r="C17" s="61" t="s">
        <v>23</v>
      </c>
      <c r="D17" s="61" t="s">
        <v>26</v>
      </c>
      <c r="E17" s="61">
        <v>0.18</v>
      </c>
      <c r="F17" s="27" t="s">
        <v>954</v>
      </c>
      <c r="G17" s="136" t="s">
        <v>2105</v>
      </c>
      <c r="H17" s="27" t="s">
        <v>94</v>
      </c>
      <c r="I17" s="27" t="s">
        <v>2901</v>
      </c>
      <c r="J17" s="149" t="str">
        <f t="shared" si="7"/>
        <v>https://doi.org/10.1109/VLSIC.2003.1221164</v>
      </c>
      <c r="K17" s="28" t="s">
        <v>95</v>
      </c>
      <c r="L17" s="38"/>
      <c r="M17" s="38"/>
      <c r="N17" s="38"/>
      <c r="O17" s="39" t="s">
        <v>1050</v>
      </c>
      <c r="P17" s="30">
        <v>1.44</v>
      </c>
      <c r="Q17" s="60"/>
      <c r="R17" s="63">
        <v>500000</v>
      </c>
      <c r="S17" s="60">
        <v>55</v>
      </c>
      <c r="T17" s="60"/>
      <c r="U17" s="60"/>
      <c r="V17" s="60"/>
      <c r="W17" s="60">
        <v>75</v>
      </c>
      <c r="X17" s="29">
        <f t="shared" si="0"/>
        <v>55</v>
      </c>
      <c r="Y17" s="63">
        <v>8.9999999999999993E-3</v>
      </c>
      <c r="Z17" s="63">
        <v>1000000</v>
      </c>
      <c r="AA17" s="64">
        <v>1</v>
      </c>
      <c r="AB17" s="63">
        <f t="shared" si="1"/>
        <v>1000000</v>
      </c>
      <c r="AC17" s="5" t="s">
        <v>2096</v>
      </c>
      <c r="AD17" s="111">
        <f t="shared" si="2"/>
        <v>9000</v>
      </c>
      <c r="AE17" s="29" t="str">
        <f t="shared" si="3"/>
        <v/>
      </c>
      <c r="AF17" s="29">
        <f t="shared" si="4"/>
        <v>19587.419840365365</v>
      </c>
      <c r="AG17" s="29" t="str">
        <f t="shared" si="5"/>
        <v/>
      </c>
      <c r="AH17" s="29">
        <f t="shared" si="6"/>
        <v>132.44727494896694</v>
      </c>
      <c r="AI17" s="33">
        <f t="shared" si="8"/>
        <v>1.9587419840365366E-2</v>
      </c>
      <c r="AJ17" s="48">
        <f t="shared" si="9"/>
        <v>192.44727494896694</v>
      </c>
    </row>
    <row r="18" spans="1:36" x14ac:dyDescent="0.3">
      <c r="A18" s="64">
        <v>2003</v>
      </c>
      <c r="B18" s="30">
        <v>6.2</v>
      </c>
      <c r="C18" s="61" t="s">
        <v>22</v>
      </c>
      <c r="D18" s="61" t="s">
        <v>25</v>
      </c>
      <c r="E18" s="61">
        <v>0.35</v>
      </c>
      <c r="F18" s="27" t="s">
        <v>2106</v>
      </c>
      <c r="G18" s="136" t="s">
        <v>2107</v>
      </c>
      <c r="H18" s="27" t="s">
        <v>96</v>
      </c>
      <c r="I18" s="27" t="s">
        <v>2902</v>
      </c>
      <c r="J18" s="149" t="str">
        <f t="shared" si="7"/>
        <v>https://doi.org/10.1109/VLSIC.2003.1221165</v>
      </c>
      <c r="K18" s="28" t="s">
        <v>1050</v>
      </c>
      <c r="L18" s="38"/>
      <c r="M18" s="38"/>
      <c r="N18" s="38"/>
      <c r="O18" s="39" t="s">
        <v>1050</v>
      </c>
      <c r="P18" s="30">
        <v>6.25</v>
      </c>
      <c r="Q18" s="60"/>
      <c r="R18" s="63">
        <v>500000</v>
      </c>
      <c r="S18" s="60"/>
      <c r="T18" s="60">
        <v>85.7</v>
      </c>
      <c r="U18" s="60">
        <v>87</v>
      </c>
      <c r="V18" s="60"/>
      <c r="W18" s="60"/>
      <c r="X18" s="29">
        <f t="shared" si="0"/>
        <v>85.7</v>
      </c>
      <c r="Y18" s="63">
        <v>0.15</v>
      </c>
      <c r="Z18" s="63">
        <v>1000000</v>
      </c>
      <c r="AA18" s="64">
        <v>1</v>
      </c>
      <c r="AB18" s="63">
        <f t="shared" si="1"/>
        <v>1000000</v>
      </c>
      <c r="AC18" s="5" t="s">
        <v>2096</v>
      </c>
      <c r="AD18" s="111">
        <f t="shared" si="2"/>
        <v>150000</v>
      </c>
      <c r="AE18" s="29" t="str">
        <f t="shared" si="3"/>
        <v/>
      </c>
      <c r="AF18" s="29">
        <f t="shared" si="4"/>
        <v>9520.7906102118523</v>
      </c>
      <c r="AG18" s="29" t="str">
        <f t="shared" si="5"/>
        <v/>
      </c>
      <c r="AH18" s="29">
        <f t="shared" si="6"/>
        <v>150.92878745280336</v>
      </c>
      <c r="AI18" s="33">
        <f t="shared" si="8"/>
        <v>9.5207906102118527E-3</v>
      </c>
      <c r="AJ18" s="48">
        <f t="shared" si="9"/>
        <v>210.92878745280336</v>
      </c>
    </row>
    <row r="19" spans="1:36" x14ac:dyDescent="0.3">
      <c r="A19" s="64">
        <v>2003</v>
      </c>
      <c r="B19" s="30">
        <v>6.3</v>
      </c>
      <c r="C19" s="61" t="s">
        <v>22</v>
      </c>
      <c r="D19" s="61" t="s">
        <v>1956</v>
      </c>
      <c r="E19" s="61">
        <v>0.25</v>
      </c>
      <c r="F19" s="27" t="s">
        <v>97</v>
      </c>
      <c r="G19" s="136" t="s">
        <v>2108</v>
      </c>
      <c r="H19" s="27" t="s">
        <v>98</v>
      </c>
      <c r="I19" s="27" t="s">
        <v>2903</v>
      </c>
      <c r="J19" s="149" t="str">
        <f t="shared" si="7"/>
        <v>https://doi.org/10.1109/VLSIC.2003.1221166</v>
      </c>
      <c r="K19" s="28" t="s">
        <v>1050</v>
      </c>
      <c r="L19" s="38">
        <v>2</v>
      </c>
      <c r="M19" s="38"/>
      <c r="N19" s="38"/>
      <c r="O19" s="39" t="s">
        <v>1050</v>
      </c>
      <c r="P19" s="30">
        <v>0.38940000000000002</v>
      </c>
      <c r="Q19" s="60"/>
      <c r="R19" s="63">
        <v>270000</v>
      </c>
      <c r="S19" s="60">
        <v>78.400000000000006</v>
      </c>
      <c r="T19" s="60"/>
      <c r="U19" s="60">
        <v>82</v>
      </c>
      <c r="V19" s="60"/>
      <c r="W19" s="60"/>
      <c r="X19" s="29">
        <f t="shared" si="0"/>
        <v>78.400000000000006</v>
      </c>
      <c r="Y19" s="63">
        <v>4.5999999999999999E-3</v>
      </c>
      <c r="Z19" s="63">
        <v>13000000</v>
      </c>
      <c r="AA19" s="64">
        <v>24.074074074074073</v>
      </c>
      <c r="AB19" s="63">
        <f t="shared" si="1"/>
        <v>540000</v>
      </c>
      <c r="AC19" s="5">
        <v>100000</v>
      </c>
      <c r="AD19" s="111">
        <f t="shared" si="2"/>
        <v>8518.5185185185182</v>
      </c>
      <c r="AE19" s="29" t="str">
        <f t="shared" si="3"/>
        <v/>
      </c>
      <c r="AF19" s="29">
        <f t="shared" si="4"/>
        <v>1253.0898151633683</v>
      </c>
      <c r="AG19" s="29" t="str">
        <f t="shared" si="5"/>
        <v/>
      </c>
      <c r="AH19" s="29">
        <f t="shared" si="6"/>
        <v>156.08605932477414</v>
      </c>
      <c r="AI19" s="33">
        <f t="shared" si="8"/>
        <v>2.320536694746978E-3</v>
      </c>
      <c r="AJ19" s="48">
        <f t="shared" si="9"/>
        <v>213.40999692300383</v>
      </c>
    </row>
    <row r="20" spans="1:36" x14ac:dyDescent="0.3">
      <c r="A20" s="59">
        <v>2004</v>
      </c>
      <c r="B20" s="30">
        <v>6.1</v>
      </c>
      <c r="C20" s="61" t="s">
        <v>23</v>
      </c>
      <c r="D20" s="61" t="s">
        <v>238</v>
      </c>
      <c r="E20" s="61">
        <v>0.13</v>
      </c>
      <c r="F20" s="27" t="s">
        <v>2109</v>
      </c>
      <c r="G20" s="136" t="s">
        <v>2110</v>
      </c>
      <c r="H20" s="27" t="s">
        <v>227</v>
      </c>
      <c r="I20" s="27" t="s">
        <v>2904</v>
      </c>
      <c r="J20" s="149" t="str">
        <f>IF(I20&lt;&gt;"?", HYPERLINK(CONCATENATE("https://doi.org/",I20)), "")</f>
        <v>https://doi.org/10.1109/VLSIC.2004.1346509</v>
      </c>
      <c r="K20" s="28" t="s">
        <v>1050</v>
      </c>
      <c r="L20" s="38"/>
      <c r="M20" s="38"/>
      <c r="N20" s="38"/>
      <c r="O20" s="39" t="s">
        <v>1050</v>
      </c>
      <c r="P20" s="30">
        <v>0.5</v>
      </c>
      <c r="Q20" s="60"/>
      <c r="R20" s="63">
        <f>500000/2</f>
        <v>250000</v>
      </c>
      <c r="S20" s="60">
        <v>77.400000000000006</v>
      </c>
      <c r="T20" s="60"/>
      <c r="U20" s="60"/>
      <c r="V20" s="60">
        <v>90.2</v>
      </c>
      <c r="W20" s="60"/>
      <c r="X20" s="29">
        <f t="shared" si="0"/>
        <v>77.400000000000006</v>
      </c>
      <c r="Y20" s="63">
        <v>6.0000000000000001E-3</v>
      </c>
      <c r="Z20" s="63">
        <f>500000</f>
        <v>500000</v>
      </c>
      <c r="AA20" s="64">
        <v>1</v>
      </c>
      <c r="AB20" s="63">
        <f t="shared" si="1"/>
        <v>500000</v>
      </c>
      <c r="AC20" s="5" t="s">
        <v>2096</v>
      </c>
      <c r="AD20" s="111">
        <f t="shared" si="2"/>
        <v>12000</v>
      </c>
      <c r="AE20" s="29" t="str">
        <f t="shared" si="3"/>
        <v/>
      </c>
      <c r="AF20" s="29">
        <f t="shared" si="4"/>
        <v>1980.6345793503306</v>
      </c>
      <c r="AG20" s="29" t="str">
        <f t="shared" si="5"/>
        <v/>
      </c>
      <c r="AH20" s="29">
        <f t="shared" si="6"/>
        <v>153.59788758288394</v>
      </c>
      <c r="AI20" s="33">
        <f t="shared" si="8"/>
        <v>3.961269158700661E-3</v>
      </c>
      <c r="AJ20" s="48">
        <f t="shared" si="9"/>
        <v>210.58758762624413</v>
      </c>
    </row>
    <row r="21" spans="1:36" x14ac:dyDescent="0.3">
      <c r="A21" s="64">
        <v>2004</v>
      </c>
      <c r="B21" s="30">
        <v>6.2</v>
      </c>
      <c r="C21" s="61" t="s">
        <v>22</v>
      </c>
      <c r="D21" s="61" t="s">
        <v>25</v>
      </c>
      <c r="E21" s="61">
        <v>0.18</v>
      </c>
      <c r="F21" s="27" t="s">
        <v>2111</v>
      </c>
      <c r="G21" s="136" t="s">
        <v>2112</v>
      </c>
      <c r="H21" s="27" t="s">
        <v>228</v>
      </c>
      <c r="I21" s="27" t="s">
        <v>2905</v>
      </c>
      <c r="J21" s="149" t="str">
        <f t="shared" si="7"/>
        <v>https://doi.org/10.1109/VLSIC.2004.1346510</v>
      </c>
      <c r="K21" s="28" t="s">
        <v>229</v>
      </c>
      <c r="L21" s="38"/>
      <c r="M21" s="38"/>
      <c r="N21" s="38"/>
      <c r="O21" s="39" t="s">
        <v>1050</v>
      </c>
      <c r="P21" s="30">
        <v>0.7</v>
      </c>
      <c r="Q21" s="60"/>
      <c r="R21" s="63">
        <v>200000</v>
      </c>
      <c r="S21" s="60"/>
      <c r="T21" s="60"/>
      <c r="U21" s="60">
        <v>76</v>
      </c>
      <c r="V21" s="60"/>
      <c r="W21" s="60"/>
      <c r="X21" s="29">
        <f t="shared" si="0"/>
        <v>76</v>
      </c>
      <c r="Y21" s="63">
        <v>4.0000000000000001E-3</v>
      </c>
      <c r="Z21" s="63">
        <v>3200000</v>
      </c>
      <c r="AA21" s="64">
        <v>8</v>
      </c>
      <c r="AB21" s="63">
        <f t="shared" si="1"/>
        <v>400000</v>
      </c>
      <c r="AC21" s="5" t="s">
        <v>2096</v>
      </c>
      <c r="AD21" s="111">
        <f t="shared" si="2"/>
        <v>10000</v>
      </c>
      <c r="AE21" s="29" t="str">
        <f t="shared" si="3"/>
        <v/>
      </c>
      <c r="AF21" s="29">
        <f t="shared" si="4"/>
        <v>1939.2334185767224</v>
      </c>
      <c r="AG21" s="29" t="str">
        <f t="shared" si="5"/>
        <v/>
      </c>
      <c r="AH21" s="29">
        <f t="shared" si="6"/>
        <v>152.98970004336019</v>
      </c>
      <c r="AI21" s="33">
        <f t="shared" si="8"/>
        <v>4.8480835464418063E-3</v>
      </c>
      <c r="AJ21" s="48">
        <f t="shared" si="9"/>
        <v>209.01029995663981</v>
      </c>
    </row>
    <row r="22" spans="1:36" x14ac:dyDescent="0.3">
      <c r="A22" s="64">
        <v>2004</v>
      </c>
      <c r="B22" s="30">
        <v>6.2</v>
      </c>
      <c r="C22" s="61" t="s">
        <v>22</v>
      </c>
      <c r="D22" s="61" t="s">
        <v>25</v>
      </c>
      <c r="E22" s="61">
        <v>0.18</v>
      </c>
      <c r="F22" s="28" t="s">
        <v>2111</v>
      </c>
      <c r="G22" s="28" t="s">
        <v>2112</v>
      </c>
      <c r="H22" s="28" t="str">
        <f>+IF(OR(ISBLANK(H21),ISERROR(H21)),"",H21)</f>
        <v xml:space="preserve">Jae Hoon Shim   Beomsup Kim   </v>
      </c>
      <c r="I22" s="27" t="s">
        <v>2905</v>
      </c>
      <c r="J22" s="149" t="str">
        <f t="shared" si="7"/>
        <v>https://doi.org/10.1109/VLSIC.2004.1346510</v>
      </c>
      <c r="K22" s="28" t="s">
        <v>230</v>
      </c>
      <c r="L22" s="38"/>
      <c r="M22" s="38"/>
      <c r="N22" s="38"/>
      <c r="O22" s="39" t="s">
        <v>1050</v>
      </c>
      <c r="P22" s="30">
        <v>0.7</v>
      </c>
      <c r="Q22" s="60"/>
      <c r="R22" s="63">
        <v>5000000</v>
      </c>
      <c r="S22" s="60"/>
      <c r="T22" s="60"/>
      <c r="U22" s="60">
        <v>55</v>
      </c>
      <c r="V22" s="60"/>
      <c r="W22" s="60"/>
      <c r="X22" s="29">
        <f t="shared" si="0"/>
        <v>55</v>
      </c>
      <c r="Y22" s="63">
        <v>4.0000000000000001E-3</v>
      </c>
      <c r="Z22" s="63">
        <v>40000000</v>
      </c>
      <c r="AA22" s="64">
        <v>4</v>
      </c>
      <c r="AB22" s="63">
        <f t="shared" si="1"/>
        <v>10000000</v>
      </c>
      <c r="AC22" s="5" t="s">
        <v>2096</v>
      </c>
      <c r="AD22" s="111">
        <f t="shared" si="2"/>
        <v>400</v>
      </c>
      <c r="AE22" s="29" t="str">
        <f t="shared" si="3"/>
        <v/>
      </c>
      <c r="AF22" s="29">
        <f t="shared" si="4"/>
        <v>870.55199290512724</v>
      </c>
      <c r="AG22" s="29" t="str">
        <f t="shared" si="5"/>
        <v/>
      </c>
      <c r="AH22" s="29">
        <f t="shared" si="6"/>
        <v>145.96910013008056</v>
      </c>
      <c r="AI22" s="33">
        <f t="shared" si="8"/>
        <v>8.7055199290512721E-5</v>
      </c>
      <c r="AJ22" s="48">
        <f t="shared" si="9"/>
        <v>215.96910013008056</v>
      </c>
    </row>
    <row r="23" spans="1:36" x14ac:dyDescent="0.3">
      <c r="A23" s="64">
        <v>2004</v>
      </c>
      <c r="B23" s="30">
        <v>6.3</v>
      </c>
      <c r="C23" s="61" t="s">
        <v>22</v>
      </c>
      <c r="D23" s="61" t="s">
        <v>30</v>
      </c>
      <c r="E23" s="61">
        <v>0.13</v>
      </c>
      <c r="F23" s="27" t="s">
        <v>2113</v>
      </c>
      <c r="G23" s="136" t="s">
        <v>2243</v>
      </c>
      <c r="H23" s="27" t="s">
        <v>231</v>
      </c>
      <c r="I23" s="27" t="s">
        <v>2906</v>
      </c>
      <c r="J23" s="149" t="str">
        <f t="shared" si="7"/>
        <v>https://doi.org/10.1109/VLSIC.2004.1346511</v>
      </c>
      <c r="K23" s="28" t="s">
        <v>1050</v>
      </c>
      <c r="L23" s="38">
        <v>1.5</v>
      </c>
      <c r="M23" s="38"/>
      <c r="N23" s="38"/>
      <c r="O23" s="39" t="s">
        <v>1050</v>
      </c>
      <c r="Q23" s="60"/>
      <c r="R23" s="63">
        <v>12000000</v>
      </c>
      <c r="S23" s="60">
        <v>61</v>
      </c>
      <c r="T23" s="60">
        <v>64</v>
      </c>
      <c r="U23" s="60">
        <v>76</v>
      </c>
      <c r="V23" s="60"/>
      <c r="W23" s="60"/>
      <c r="X23" s="29">
        <f t="shared" si="0"/>
        <v>61</v>
      </c>
      <c r="Y23" s="63">
        <v>7.0000000000000007E-2</v>
      </c>
      <c r="Z23" s="63">
        <v>400000000</v>
      </c>
      <c r="AA23" s="64">
        <v>16.666666666666668</v>
      </c>
      <c r="AB23" s="63">
        <f t="shared" si="1"/>
        <v>24000000</v>
      </c>
      <c r="AC23" s="5" t="s">
        <v>2096</v>
      </c>
      <c r="AD23" s="111">
        <f t="shared" si="2"/>
        <v>2916.666666666667</v>
      </c>
      <c r="AE23" s="29" t="str">
        <f t="shared" si="3"/>
        <v/>
      </c>
      <c r="AF23" s="29">
        <f t="shared" si="4"/>
        <v>3181.2047703539306</v>
      </c>
      <c r="AG23" s="29" t="str">
        <f t="shared" si="5"/>
        <v/>
      </c>
      <c r="AH23" s="29">
        <f t="shared" si="6"/>
        <v>143.3408320603337</v>
      </c>
      <c r="AI23" s="33">
        <f t="shared" si="8"/>
        <v>1.3255019876474712E-4</v>
      </c>
      <c r="AJ23" s="48">
        <f t="shared" si="9"/>
        <v>217.14294447744976</v>
      </c>
    </row>
    <row r="24" spans="1:36" x14ac:dyDescent="0.3">
      <c r="A24" s="64">
        <v>2004</v>
      </c>
      <c r="B24" s="30">
        <v>6.4</v>
      </c>
      <c r="C24" s="61" t="s">
        <v>22</v>
      </c>
      <c r="D24" s="61" t="s">
        <v>1955</v>
      </c>
      <c r="E24" s="61">
        <v>0.35</v>
      </c>
      <c r="F24" s="27" t="s">
        <v>2114</v>
      </c>
      <c r="G24" s="136" t="s">
        <v>2115</v>
      </c>
      <c r="H24" s="27" t="s">
        <v>232</v>
      </c>
      <c r="I24" s="27" t="s">
        <v>2907</v>
      </c>
      <c r="J24" s="149" t="str">
        <f t="shared" si="7"/>
        <v>https://doi.org/10.1109/VLSIC.2004.1346512</v>
      </c>
      <c r="K24" s="28" t="s">
        <v>1050</v>
      </c>
      <c r="L24" s="38"/>
      <c r="M24" s="38"/>
      <c r="N24" s="38"/>
      <c r="O24" s="39" t="s">
        <v>1050</v>
      </c>
      <c r="P24" s="30">
        <v>1.2</v>
      </c>
      <c r="Q24" s="60"/>
      <c r="R24" s="63">
        <v>200000</v>
      </c>
      <c r="S24" s="60">
        <v>72</v>
      </c>
      <c r="T24" s="60"/>
      <c r="U24" s="60"/>
      <c r="V24" s="60"/>
      <c r="W24" s="60"/>
      <c r="X24" s="29">
        <f t="shared" si="0"/>
        <v>72</v>
      </c>
      <c r="Y24" s="63">
        <v>3.6999999999999998E-2</v>
      </c>
      <c r="Z24" s="63">
        <v>240000000</v>
      </c>
      <c r="AA24" s="64">
        <v>600</v>
      </c>
      <c r="AB24" s="63">
        <f t="shared" si="1"/>
        <v>400000</v>
      </c>
      <c r="AC24" s="5">
        <v>60000000</v>
      </c>
      <c r="AD24" s="111">
        <f t="shared" si="2"/>
        <v>92500</v>
      </c>
      <c r="AE24" s="29" t="str">
        <f t="shared" si="3"/>
        <v/>
      </c>
      <c r="AF24" s="29">
        <f t="shared" si="4"/>
        <v>28430.974780592209</v>
      </c>
      <c r="AG24" s="29" t="str">
        <f t="shared" si="5"/>
        <v/>
      </c>
      <c r="AH24" s="29">
        <f t="shared" si="6"/>
        <v>139.32828271596986</v>
      </c>
      <c r="AI24" s="33">
        <f t="shared" si="8"/>
        <v>7.1077436951480527E-2</v>
      </c>
      <c r="AJ24" s="48">
        <f t="shared" si="9"/>
        <v>195.34888262924949</v>
      </c>
    </row>
    <row r="25" spans="1:36" x14ac:dyDescent="0.3">
      <c r="A25" s="64">
        <v>2004</v>
      </c>
      <c r="B25" s="30">
        <v>6.4</v>
      </c>
      <c r="C25" s="61" t="s">
        <v>22</v>
      </c>
      <c r="D25" s="61" t="s">
        <v>1957</v>
      </c>
      <c r="E25" s="61">
        <v>0.35</v>
      </c>
      <c r="F25" s="27" t="s">
        <v>2114</v>
      </c>
      <c r="G25" s="137" t="s">
        <v>2115</v>
      </c>
      <c r="H25" s="27" t="str">
        <f>+IF(OR(ISBLANK(H24),ISERROR(H24)),"",H24)</f>
        <v xml:space="preserve">Cheung, V.S.L.   Luong, H.C.   </v>
      </c>
      <c r="I25" s="27" t="s">
        <v>2907</v>
      </c>
      <c r="J25" s="149" t="str">
        <f t="shared" si="7"/>
        <v>https://doi.org/10.1109/VLSIC.2004.1346512</v>
      </c>
      <c r="K25" s="28" t="s">
        <v>1050</v>
      </c>
      <c r="L25" s="38"/>
      <c r="M25" s="38"/>
      <c r="N25" s="38"/>
      <c r="O25" s="39" t="s">
        <v>1050</v>
      </c>
      <c r="P25" s="30">
        <v>1.2</v>
      </c>
      <c r="Q25" s="60"/>
      <c r="R25" s="63">
        <v>1000000</v>
      </c>
      <c r="S25" s="60">
        <v>55</v>
      </c>
      <c r="T25" s="60"/>
      <c r="U25" s="60"/>
      <c r="V25" s="60"/>
      <c r="W25" s="60"/>
      <c r="X25" s="29">
        <f t="shared" si="0"/>
        <v>55</v>
      </c>
      <c r="Y25" s="63">
        <v>3.6999999999999998E-2</v>
      </c>
      <c r="Z25" s="63">
        <v>240000000</v>
      </c>
      <c r="AA25" s="64">
        <v>120</v>
      </c>
      <c r="AB25" s="63">
        <f t="shared" si="1"/>
        <v>2000000</v>
      </c>
      <c r="AC25" s="5">
        <v>60000000</v>
      </c>
      <c r="AD25" s="111">
        <f t="shared" si="2"/>
        <v>18500</v>
      </c>
      <c r="AE25" s="29" t="str">
        <f t="shared" si="3"/>
        <v/>
      </c>
      <c r="AF25" s="29">
        <f t="shared" si="4"/>
        <v>40263.029671862132</v>
      </c>
      <c r="AG25" s="29" t="str">
        <f t="shared" si="5"/>
        <v/>
      </c>
      <c r="AH25" s="29">
        <f t="shared" si="6"/>
        <v>129.31798275933005</v>
      </c>
      <c r="AI25" s="33">
        <f t="shared" si="8"/>
        <v>2.0131514835931067E-2</v>
      </c>
      <c r="AJ25" s="48">
        <f t="shared" si="9"/>
        <v>192.32828271596986</v>
      </c>
    </row>
    <row r="26" spans="1:36" x14ac:dyDescent="0.3">
      <c r="A26" s="64">
        <v>2004</v>
      </c>
      <c r="B26" s="30">
        <v>6.4</v>
      </c>
      <c r="C26" s="61" t="s">
        <v>22</v>
      </c>
      <c r="D26" s="61" t="s">
        <v>1957</v>
      </c>
      <c r="E26" s="61">
        <v>0.35</v>
      </c>
      <c r="F26" s="27" t="s">
        <v>2114</v>
      </c>
      <c r="G26" s="137" t="s">
        <v>2115</v>
      </c>
      <c r="H26" s="27" t="str">
        <f>+IF(OR(ISBLANK(H25),ISERROR(H25)),"",H25)</f>
        <v xml:space="preserve">Cheung, V.S.L.   Luong, H.C.   </v>
      </c>
      <c r="I26" s="27" t="s">
        <v>2907</v>
      </c>
      <c r="J26" s="149" t="str">
        <f t="shared" si="7"/>
        <v>https://doi.org/10.1109/VLSIC.2004.1346512</v>
      </c>
      <c r="K26" s="28" t="s">
        <v>1050</v>
      </c>
      <c r="L26" s="38"/>
      <c r="M26" s="38"/>
      <c r="N26" s="38"/>
      <c r="O26" s="39" t="s">
        <v>1050</v>
      </c>
      <c r="P26" s="30">
        <v>1.2</v>
      </c>
      <c r="Q26" s="60"/>
      <c r="R26" s="63">
        <v>1250000</v>
      </c>
      <c r="S26" s="60">
        <v>52</v>
      </c>
      <c r="T26" s="60"/>
      <c r="U26" s="60"/>
      <c r="V26" s="60"/>
      <c r="W26" s="60"/>
      <c r="X26" s="29">
        <f t="shared" si="0"/>
        <v>52</v>
      </c>
      <c r="Y26" s="63">
        <v>3.6999999999999998E-2</v>
      </c>
      <c r="Z26" s="63">
        <v>240000000</v>
      </c>
      <c r="AA26" s="64">
        <v>96</v>
      </c>
      <c r="AB26" s="63">
        <f t="shared" si="1"/>
        <v>2500000</v>
      </c>
      <c r="AC26" s="5">
        <v>60000000</v>
      </c>
      <c r="AD26" s="111">
        <f t="shared" si="2"/>
        <v>14799.999999999998</v>
      </c>
      <c r="AE26" s="29" t="str">
        <f t="shared" si="3"/>
        <v/>
      </c>
      <c r="AF26" s="29">
        <f t="shared" si="4"/>
        <v>45499.998897388847</v>
      </c>
      <c r="AG26" s="29" t="str">
        <f t="shared" si="5"/>
        <v/>
      </c>
      <c r="AH26" s="29">
        <f t="shared" si="6"/>
        <v>127.28708288941061</v>
      </c>
      <c r="AI26" s="33">
        <f t="shared" si="8"/>
        <v>1.819999955895554E-2</v>
      </c>
      <c r="AJ26" s="48">
        <f t="shared" si="9"/>
        <v>191.26648297613099</v>
      </c>
    </row>
    <row r="27" spans="1:36" x14ac:dyDescent="0.3">
      <c r="A27" s="64">
        <v>2004</v>
      </c>
      <c r="B27" s="30">
        <v>25.1</v>
      </c>
      <c r="C27" s="61" t="s">
        <v>23</v>
      </c>
      <c r="D27" s="61" t="s">
        <v>27</v>
      </c>
      <c r="E27" s="61">
        <v>0.13</v>
      </c>
      <c r="F27" s="27" t="s">
        <v>2116</v>
      </c>
      <c r="G27" s="136" t="s">
        <v>2117</v>
      </c>
      <c r="H27" s="27" t="s">
        <v>233</v>
      </c>
      <c r="I27" s="27" t="s">
        <v>2908</v>
      </c>
      <c r="J27" s="149" t="str">
        <f t="shared" si="7"/>
        <v>https://doi.org/10.1109/VLSIC.2004.1346637</v>
      </c>
      <c r="K27" s="28" t="s">
        <v>234</v>
      </c>
      <c r="L27" s="38">
        <v>1.5</v>
      </c>
      <c r="M27" s="38"/>
      <c r="N27" s="38"/>
      <c r="O27" s="39" t="s">
        <v>1050</v>
      </c>
      <c r="P27" s="30">
        <v>0.5</v>
      </c>
      <c r="Q27" s="60"/>
      <c r="R27" s="63">
        <v>2000000000</v>
      </c>
      <c r="S27" s="60"/>
      <c r="T27" s="60"/>
      <c r="U27" s="60"/>
      <c r="V27" s="60"/>
      <c r="W27" s="60">
        <v>30</v>
      </c>
      <c r="X27" s="29">
        <f t="shared" si="0"/>
        <v>30</v>
      </c>
      <c r="Y27" s="63">
        <v>0.99</v>
      </c>
      <c r="Z27" s="63">
        <v>4000000000</v>
      </c>
      <c r="AA27" s="64">
        <v>1</v>
      </c>
      <c r="AB27" s="63">
        <f t="shared" si="1"/>
        <v>4000000000</v>
      </c>
      <c r="AC27" s="5" t="s">
        <v>2096</v>
      </c>
      <c r="AD27" s="111">
        <f t="shared" si="2"/>
        <v>247.49999999999997</v>
      </c>
      <c r="AE27" s="29" t="str">
        <f t="shared" si="3"/>
        <v/>
      </c>
      <c r="AF27" s="29">
        <f t="shared" si="4"/>
        <v>9581.5218146536808</v>
      </c>
      <c r="AG27" s="29" t="str">
        <f t="shared" si="5"/>
        <v/>
      </c>
      <c r="AH27" s="29">
        <f t="shared" si="6"/>
        <v>123.0539480106643</v>
      </c>
      <c r="AI27" s="33">
        <f t="shared" si="8"/>
        <v>2.39538045366342E-6</v>
      </c>
      <c r="AJ27" s="48">
        <f t="shared" si="9"/>
        <v>219.07454792394392</v>
      </c>
    </row>
    <row r="28" spans="1:36" x14ac:dyDescent="0.3">
      <c r="A28" s="64">
        <v>2004</v>
      </c>
      <c r="B28" s="30">
        <v>25.2</v>
      </c>
      <c r="C28" s="61" t="s">
        <v>23</v>
      </c>
      <c r="D28" s="61" t="s">
        <v>28</v>
      </c>
      <c r="E28" s="61">
        <v>0.18</v>
      </c>
      <c r="F28" s="27" t="s">
        <v>2118</v>
      </c>
      <c r="G28" s="136" t="s">
        <v>2119</v>
      </c>
      <c r="H28" s="27" t="s">
        <v>235</v>
      </c>
      <c r="I28" s="27" t="s">
        <v>2909</v>
      </c>
      <c r="J28" s="149" t="str">
        <f t="shared" si="7"/>
        <v>https://doi.org/10.1109/VLSIC.2004.1346638</v>
      </c>
      <c r="K28" s="28" t="s">
        <v>1050</v>
      </c>
      <c r="L28" s="38">
        <v>1.8</v>
      </c>
      <c r="M28" s="38"/>
      <c r="N28" s="38"/>
      <c r="O28" s="39" t="s">
        <v>1050</v>
      </c>
      <c r="P28" s="30">
        <v>0.5</v>
      </c>
      <c r="Q28" s="60"/>
      <c r="R28" s="63">
        <f>600000000/2</f>
        <v>300000000</v>
      </c>
      <c r="S28" s="60">
        <v>40</v>
      </c>
      <c r="T28" s="60"/>
      <c r="U28" s="60">
        <f>7.5*6.02+1.76</f>
        <v>46.91</v>
      </c>
      <c r="V28" s="60"/>
      <c r="W28" s="60"/>
      <c r="X28" s="29">
        <f t="shared" si="0"/>
        <v>40</v>
      </c>
      <c r="Y28" s="63">
        <v>0.20699999999999999</v>
      </c>
      <c r="Z28" s="63">
        <f>600000000</f>
        <v>600000000</v>
      </c>
      <c r="AA28" s="64">
        <v>1</v>
      </c>
      <c r="AB28" s="63">
        <f t="shared" si="1"/>
        <v>600000000</v>
      </c>
      <c r="AC28" s="5" t="s">
        <v>2096</v>
      </c>
      <c r="AD28" s="111">
        <f t="shared" si="2"/>
        <v>345</v>
      </c>
      <c r="AE28" s="29" t="str">
        <f t="shared" si="3"/>
        <v/>
      </c>
      <c r="AF28" s="29">
        <f t="shared" si="4"/>
        <v>4223.0726998419632</v>
      </c>
      <c r="AG28" s="29" t="str">
        <f t="shared" si="5"/>
        <v/>
      </c>
      <c r="AH28" s="29">
        <f t="shared" si="6"/>
        <v>131.61150909262744</v>
      </c>
      <c r="AI28" s="33">
        <f t="shared" si="8"/>
        <v>7.0384544997366051E-6</v>
      </c>
      <c r="AJ28" s="48">
        <f t="shared" si="9"/>
        <v>219.39302159646388</v>
      </c>
    </row>
    <row r="29" spans="1:36" x14ac:dyDescent="0.3">
      <c r="A29" s="64">
        <v>2004</v>
      </c>
      <c r="B29" s="30">
        <v>25.3</v>
      </c>
      <c r="C29" s="61" t="s">
        <v>23</v>
      </c>
      <c r="D29" s="61" t="s">
        <v>26</v>
      </c>
      <c r="E29" s="61" t="s">
        <v>236</v>
      </c>
      <c r="F29" s="27" t="s">
        <v>770</v>
      </c>
      <c r="G29" s="136" t="s">
        <v>629</v>
      </c>
      <c r="H29" s="27" t="s">
        <v>237</v>
      </c>
      <c r="I29" s="27" t="s">
        <v>2910</v>
      </c>
      <c r="J29" s="149" t="str">
        <f t="shared" si="7"/>
        <v>https://doi.org/10.1109/VLSIC.2004.1346639</v>
      </c>
      <c r="K29" s="28" t="s">
        <v>1050</v>
      </c>
      <c r="L29" s="38">
        <v>3.3</v>
      </c>
      <c r="M29" s="38"/>
      <c r="N29" s="38"/>
      <c r="O29" s="39" t="s">
        <v>1050</v>
      </c>
      <c r="P29" s="30">
        <v>8</v>
      </c>
      <c r="Q29" s="60"/>
      <c r="R29" s="63">
        <f>180000000/2</f>
        <v>90000000</v>
      </c>
      <c r="S29" s="60">
        <f>9.74*6.02+1.76</f>
        <v>60.394799999999996</v>
      </c>
      <c r="T29" s="60">
        <v>60.7</v>
      </c>
      <c r="U29" s="60"/>
      <c r="V29" s="60">
        <v>72</v>
      </c>
      <c r="W29" s="60"/>
      <c r="X29" s="29">
        <f t="shared" si="0"/>
        <v>60.394799999999996</v>
      </c>
      <c r="Y29" s="63">
        <v>1.2</v>
      </c>
      <c r="Z29" s="63">
        <f>180000000</f>
        <v>180000000</v>
      </c>
      <c r="AA29" s="64">
        <v>1</v>
      </c>
      <c r="AB29" s="63">
        <f t="shared" si="1"/>
        <v>180000000</v>
      </c>
      <c r="AC29" s="5" t="s">
        <v>2096</v>
      </c>
      <c r="AD29" s="111">
        <f t="shared" si="2"/>
        <v>6666.666666666667</v>
      </c>
      <c r="AE29" s="29" t="str">
        <f t="shared" si="3"/>
        <v/>
      </c>
      <c r="AF29" s="29">
        <f t="shared" si="4"/>
        <v>7796.085316529483</v>
      </c>
      <c r="AG29" s="29" t="str">
        <f t="shared" si="5"/>
        <v/>
      </c>
      <c r="AH29" s="29">
        <f t="shared" si="6"/>
        <v>139.145412633917</v>
      </c>
      <c r="AI29" s="33">
        <f t="shared" si="8"/>
        <v>4.331158509183046E-5</v>
      </c>
      <c r="AJ29" s="48">
        <f t="shared" si="9"/>
        <v>221.69813768495007</v>
      </c>
    </row>
    <row r="30" spans="1:36" x14ac:dyDescent="0.3">
      <c r="A30" s="64">
        <v>2004</v>
      </c>
      <c r="B30" s="30">
        <v>25.4</v>
      </c>
      <c r="C30" s="61" t="s">
        <v>23</v>
      </c>
      <c r="D30" s="61" t="s">
        <v>630</v>
      </c>
      <c r="E30" s="61">
        <v>0.18</v>
      </c>
      <c r="F30" s="27" t="s">
        <v>631</v>
      </c>
      <c r="G30" s="136" t="s">
        <v>2120</v>
      </c>
      <c r="H30" s="27" t="s">
        <v>2224</v>
      </c>
      <c r="I30" s="27" t="s">
        <v>2911</v>
      </c>
      <c r="J30" s="149" t="str">
        <f t="shared" si="7"/>
        <v>https://doi.org/10.1109/VLSIC.2004.1346640</v>
      </c>
      <c r="K30" s="28" t="s">
        <v>1050</v>
      </c>
      <c r="L30" s="38">
        <v>1.5</v>
      </c>
      <c r="M30" s="38"/>
      <c r="N30" s="38"/>
      <c r="O30" s="39" t="s">
        <v>1050</v>
      </c>
      <c r="P30" s="30">
        <v>1.3</v>
      </c>
      <c r="Q30" s="60"/>
      <c r="R30" s="63">
        <f>50000000/2</f>
        <v>25000000</v>
      </c>
      <c r="S30" s="60">
        <v>57.2</v>
      </c>
      <c r="T30" s="60">
        <v>62</v>
      </c>
      <c r="U30" s="60"/>
      <c r="V30" s="60">
        <v>60.3</v>
      </c>
      <c r="W30" s="60">
        <v>62.3</v>
      </c>
      <c r="X30" s="29">
        <f t="shared" si="0"/>
        <v>57.2</v>
      </c>
      <c r="Y30" s="63">
        <v>2.9000000000000001E-2</v>
      </c>
      <c r="Z30" s="63">
        <f>50000000</f>
        <v>50000000</v>
      </c>
      <c r="AA30" s="64">
        <v>1</v>
      </c>
      <c r="AB30" s="63">
        <f t="shared" si="1"/>
        <v>50000000</v>
      </c>
      <c r="AC30" s="5" t="s">
        <v>2096</v>
      </c>
      <c r="AD30" s="111">
        <f t="shared" si="2"/>
        <v>580.00000000000011</v>
      </c>
      <c r="AE30" s="29" t="str">
        <f t="shared" si="3"/>
        <v/>
      </c>
      <c r="AF30" s="29">
        <f t="shared" si="4"/>
        <v>979.83230592718951</v>
      </c>
      <c r="AG30" s="29" t="str">
        <f t="shared" si="5"/>
        <v/>
      </c>
      <c r="AH30" s="29">
        <f t="shared" si="6"/>
        <v>146.55542010773081</v>
      </c>
      <c r="AI30" s="33">
        <f t="shared" si="8"/>
        <v>1.959664611854379E-5</v>
      </c>
      <c r="AJ30" s="48">
        <f t="shared" si="9"/>
        <v>223.545120151091</v>
      </c>
    </row>
    <row r="31" spans="1:36" x14ac:dyDescent="0.3">
      <c r="A31" s="64">
        <v>2004</v>
      </c>
      <c r="B31" s="30">
        <v>25.5</v>
      </c>
      <c r="C31" s="61" t="s">
        <v>23</v>
      </c>
      <c r="D31" s="61" t="s">
        <v>238</v>
      </c>
      <c r="E31" s="61">
        <v>0.18</v>
      </c>
      <c r="F31" s="27" t="s">
        <v>239</v>
      </c>
      <c r="G31" s="136" t="s">
        <v>2121</v>
      </c>
      <c r="H31" s="27" t="s">
        <v>2225</v>
      </c>
      <c r="I31" s="27" t="s">
        <v>2912</v>
      </c>
      <c r="J31" s="149" t="str">
        <f t="shared" si="7"/>
        <v>https://doi.org/10.1109/VLSIC.2004.1346641</v>
      </c>
      <c r="K31" s="28" t="s">
        <v>1050</v>
      </c>
      <c r="L31" s="38">
        <v>0.9</v>
      </c>
      <c r="M31" s="38"/>
      <c r="N31" s="38"/>
      <c r="O31" s="39" t="s">
        <v>1050</v>
      </c>
      <c r="P31" s="30">
        <v>1.4</v>
      </c>
      <c r="Q31" s="60"/>
      <c r="R31" s="63">
        <v>2000000</v>
      </c>
      <c r="S31" s="60">
        <v>55</v>
      </c>
      <c r="T31" s="60">
        <v>55</v>
      </c>
      <c r="U31" s="60"/>
      <c r="V31" s="60"/>
      <c r="W31" s="60">
        <v>81</v>
      </c>
      <c r="X31" s="29">
        <f t="shared" si="0"/>
        <v>55</v>
      </c>
      <c r="Y31" s="63">
        <v>1.2E-2</v>
      </c>
      <c r="Z31" s="63">
        <v>4000000</v>
      </c>
      <c r="AA31" s="64">
        <v>1</v>
      </c>
      <c r="AB31" s="63">
        <f t="shared" si="1"/>
        <v>4000000</v>
      </c>
      <c r="AC31" s="5" t="s">
        <v>2096</v>
      </c>
      <c r="AD31" s="111">
        <f t="shared" si="2"/>
        <v>3000</v>
      </c>
      <c r="AE31" s="29" t="str">
        <f t="shared" si="3"/>
        <v/>
      </c>
      <c r="AF31" s="29">
        <f t="shared" si="4"/>
        <v>6529.1399467884539</v>
      </c>
      <c r="AG31" s="29" t="str">
        <f t="shared" si="5"/>
        <v/>
      </c>
      <c r="AH31" s="29">
        <f t="shared" si="6"/>
        <v>137.21848749616356</v>
      </c>
      <c r="AI31" s="33">
        <f t="shared" si="8"/>
        <v>1.6322849866971135E-3</v>
      </c>
      <c r="AJ31" s="48">
        <f t="shared" si="9"/>
        <v>203.23908740944319</v>
      </c>
    </row>
    <row r="32" spans="1:36" x14ac:dyDescent="0.3">
      <c r="A32" s="59">
        <v>2005</v>
      </c>
      <c r="B32" s="30">
        <v>12.2</v>
      </c>
      <c r="C32" s="61" t="s">
        <v>22</v>
      </c>
      <c r="D32" s="61" t="s">
        <v>25</v>
      </c>
      <c r="E32" s="61">
        <v>0.25</v>
      </c>
      <c r="F32" s="27" t="s">
        <v>240</v>
      </c>
      <c r="G32" s="136" t="s">
        <v>2122</v>
      </c>
      <c r="H32" s="27" t="s">
        <v>2226</v>
      </c>
      <c r="I32" s="27" t="s">
        <v>2913</v>
      </c>
      <c r="J32" s="149" t="str">
        <f t="shared" si="7"/>
        <v>https://doi.org/10.1109/VLSIC.2005.1469361</v>
      </c>
      <c r="K32" s="28" t="s">
        <v>1189</v>
      </c>
      <c r="L32" s="38">
        <v>0.9</v>
      </c>
      <c r="M32" s="38"/>
      <c r="N32" s="38"/>
      <c r="O32" s="39" t="s">
        <v>1050</v>
      </c>
      <c r="P32" s="30">
        <v>0.5</v>
      </c>
      <c r="Q32" s="60"/>
      <c r="R32" s="63">
        <v>8000</v>
      </c>
      <c r="S32" s="60">
        <v>69</v>
      </c>
      <c r="T32" s="60">
        <v>72</v>
      </c>
      <c r="U32" s="60"/>
      <c r="V32" s="60"/>
      <c r="W32" s="60"/>
      <c r="X32" s="29">
        <f t="shared" si="0"/>
        <v>69</v>
      </c>
      <c r="Y32" s="63">
        <v>2.6299999999999999E-5</v>
      </c>
      <c r="Z32" s="63">
        <v>1024000</v>
      </c>
      <c r="AA32" s="64">
        <v>64</v>
      </c>
      <c r="AB32" s="63">
        <f t="shared" si="1"/>
        <v>16000</v>
      </c>
      <c r="AC32" s="5" t="s">
        <v>2096</v>
      </c>
      <c r="AD32" s="111">
        <f t="shared" si="2"/>
        <v>1643.7499999999998</v>
      </c>
      <c r="AE32" s="29" t="str">
        <f t="shared" si="3"/>
        <v/>
      </c>
      <c r="AF32" s="29">
        <f t="shared" si="4"/>
        <v>713.67540671475206</v>
      </c>
      <c r="AG32" s="29" t="str">
        <f t="shared" si="5"/>
        <v/>
      </c>
      <c r="AH32" s="29">
        <f t="shared" si="6"/>
        <v>153.83134238502186</v>
      </c>
      <c r="AI32" s="33">
        <f t="shared" si="8"/>
        <v>4.4604712919672003E-2</v>
      </c>
      <c r="AJ32" s="48">
        <f t="shared" si="9"/>
        <v>195.87254221158111</v>
      </c>
    </row>
    <row r="33" spans="1:38" x14ac:dyDescent="0.3">
      <c r="A33" s="64">
        <v>2005</v>
      </c>
      <c r="B33" s="30">
        <v>12.3</v>
      </c>
      <c r="C33" s="61" t="s">
        <v>22</v>
      </c>
      <c r="D33" s="61" t="s">
        <v>25</v>
      </c>
      <c r="E33" s="61">
        <v>0.13</v>
      </c>
      <c r="F33" s="27" t="s">
        <v>2123</v>
      </c>
      <c r="G33" s="136" t="s">
        <v>2124</v>
      </c>
      <c r="H33" s="27" t="s">
        <v>241</v>
      </c>
      <c r="I33" s="27" t="s">
        <v>2914</v>
      </c>
      <c r="J33" s="149" t="str">
        <f t="shared" si="7"/>
        <v>https://doi.org/10.1109/VLSIC.2005.1469362</v>
      </c>
      <c r="K33" s="28" t="s">
        <v>1050</v>
      </c>
      <c r="L33" s="38">
        <v>1</v>
      </c>
      <c r="M33" s="38"/>
      <c r="N33" s="38"/>
      <c r="O33" s="39" t="s">
        <v>1050</v>
      </c>
      <c r="P33" s="30">
        <v>0.60160000000000002</v>
      </c>
      <c r="Q33" s="60"/>
      <c r="R33" s="63">
        <v>500000</v>
      </c>
      <c r="S33" s="60"/>
      <c r="T33" s="60"/>
      <c r="U33" s="60">
        <v>88</v>
      </c>
      <c r="V33" s="60"/>
      <c r="W33" s="60"/>
      <c r="X33" s="29">
        <f t="shared" si="0"/>
        <v>88</v>
      </c>
      <c r="Y33" s="63">
        <v>7.4000000000000003E-3</v>
      </c>
      <c r="Z33" s="63">
        <v>64000000</v>
      </c>
      <c r="AA33" s="64">
        <v>64</v>
      </c>
      <c r="AB33" s="63">
        <f t="shared" si="1"/>
        <v>1000000</v>
      </c>
      <c r="AC33" s="5" t="s">
        <v>2096</v>
      </c>
      <c r="AD33" s="111">
        <f t="shared" si="2"/>
        <v>7400</v>
      </c>
      <c r="AE33" s="29" t="str">
        <f t="shared" si="3"/>
        <v/>
      </c>
      <c r="AF33" s="29">
        <f t="shared" si="4"/>
        <v>360.41430036903301</v>
      </c>
      <c r="AG33" s="29" t="str">
        <f t="shared" si="5"/>
        <v/>
      </c>
      <c r="AH33" s="29">
        <f t="shared" si="6"/>
        <v>166.29738284605043</v>
      </c>
      <c r="AI33" s="33">
        <f t="shared" si="8"/>
        <v>3.6041430036903301E-4</v>
      </c>
      <c r="AJ33" s="48">
        <f t="shared" si="9"/>
        <v>226.29738284605043</v>
      </c>
    </row>
    <row r="34" spans="1:38" x14ac:dyDescent="0.3">
      <c r="A34" s="64">
        <v>2005</v>
      </c>
      <c r="B34" s="30">
        <v>12.4</v>
      </c>
      <c r="C34" s="61" t="s">
        <v>22</v>
      </c>
      <c r="D34" s="61" t="s">
        <v>25</v>
      </c>
      <c r="E34" s="61">
        <v>0.35</v>
      </c>
      <c r="F34" s="27" t="s">
        <v>2097</v>
      </c>
      <c r="G34" s="136" t="s">
        <v>2098</v>
      </c>
      <c r="H34" s="27" t="s">
        <v>2099</v>
      </c>
      <c r="I34" s="27" t="s">
        <v>2915</v>
      </c>
      <c r="J34" s="149" t="str">
        <f t="shared" si="7"/>
        <v>https://doi.org/10.1109/VLSIC.2005.1469363</v>
      </c>
      <c r="K34" s="28" t="s">
        <v>2720</v>
      </c>
      <c r="L34" s="38"/>
      <c r="M34" s="38"/>
      <c r="N34" s="38"/>
      <c r="O34" s="39"/>
      <c r="Q34" s="60"/>
      <c r="R34" s="63"/>
      <c r="S34" s="60">
        <v>66.099999999999994</v>
      </c>
      <c r="T34" s="60"/>
      <c r="U34" s="60"/>
      <c r="V34" s="60"/>
      <c r="W34" s="60">
        <v>87</v>
      </c>
      <c r="X34" s="29">
        <v>66.099999999999994</v>
      </c>
      <c r="Y34" s="63"/>
      <c r="Z34" s="63">
        <v>2300000</v>
      </c>
      <c r="AA34" s="64"/>
      <c r="AB34" s="63">
        <v>18000</v>
      </c>
      <c r="AC34" s="5" t="s">
        <v>2096</v>
      </c>
      <c r="AD34" s="111">
        <v>10000000000</v>
      </c>
      <c r="AE34" s="29"/>
      <c r="AF34" s="111">
        <v>10000000000</v>
      </c>
      <c r="AG34" s="29"/>
      <c r="AH34" s="29">
        <v>1</v>
      </c>
      <c r="AI34" s="33"/>
      <c r="AJ34" s="48"/>
      <c r="AK34" s="5" t="s">
        <v>2096</v>
      </c>
      <c r="AL34" s="3"/>
    </row>
    <row r="35" spans="1:38" x14ac:dyDescent="0.3">
      <c r="A35" s="64">
        <v>2005</v>
      </c>
      <c r="B35" s="30">
        <v>21.1</v>
      </c>
      <c r="C35" s="61" t="s">
        <v>23</v>
      </c>
      <c r="D35" s="61" t="s">
        <v>260</v>
      </c>
      <c r="E35" s="61">
        <v>0.18</v>
      </c>
      <c r="F35" s="27" t="s">
        <v>111</v>
      </c>
      <c r="G35" s="136" t="s">
        <v>2125</v>
      </c>
      <c r="H35" s="27" t="s">
        <v>112</v>
      </c>
      <c r="I35" s="27" t="s">
        <v>2916</v>
      </c>
      <c r="J35" s="149" t="str">
        <f t="shared" si="7"/>
        <v>https://doi.org/10.1109/VLSIC.2005.1469396</v>
      </c>
      <c r="K35" s="28" t="s">
        <v>1050</v>
      </c>
      <c r="L35" s="38">
        <v>1.8</v>
      </c>
      <c r="M35" s="38"/>
      <c r="N35" s="38"/>
      <c r="O35" s="39" t="s">
        <v>1050</v>
      </c>
      <c r="P35" s="30">
        <v>2.88</v>
      </c>
      <c r="Q35" s="60"/>
      <c r="R35" s="63">
        <v>3000000000</v>
      </c>
      <c r="S35" s="60">
        <v>22.5</v>
      </c>
      <c r="T35" s="60"/>
      <c r="U35" s="60"/>
      <c r="V35" s="60"/>
      <c r="W35" s="60"/>
      <c r="X35" s="29">
        <f t="shared" ref="X35:X66" si="10">+IF(ISNUMBER($S35),$S35,MIN($V35,$T35,$U35,$W35))</f>
        <v>22.5</v>
      </c>
      <c r="Y35" s="63">
        <v>0.78</v>
      </c>
      <c r="Z35" s="63">
        <v>6000000000</v>
      </c>
      <c r="AA35" s="64">
        <v>1</v>
      </c>
      <c r="AB35" s="63">
        <f t="shared" ref="AB35:AB66" si="11">Z35/AA35</f>
        <v>6000000000</v>
      </c>
      <c r="AC35" s="5" t="s">
        <v>2096</v>
      </c>
      <c r="AD35" s="111">
        <f t="shared" ref="AD35:AD98" si="12">Y35/AB35*1000000000000</f>
        <v>130.00000000000003</v>
      </c>
      <c r="AE35" s="29" t="str">
        <f t="shared" ref="AE35:AE98" si="13">IF(ISNUMBER($Q35),$AD35*1000/2^(($Q35-1.76)/6.02), "")</f>
        <v/>
      </c>
      <c r="AF35" s="29">
        <f t="shared" ref="AF35:AF98" si="14">$AD35*1000/2^(($X35-1.76)/6.02)</f>
        <v>11935.483363387582</v>
      </c>
      <c r="AG35" s="29" t="str">
        <f t="shared" ref="AG35:AG98" si="15">IF(ISNUMBER($Q35), $Q35+10*LOG10($AB35/2/$Y35), "")</f>
        <v/>
      </c>
      <c r="AH35" s="29">
        <f t="shared" ref="AH35:AH98" si="16">$X35+10*LOG10($AB35/2/$Y35)</f>
        <v>118.35026652029183</v>
      </c>
      <c r="AI35" s="33">
        <f t="shared" si="8"/>
        <v>1.9892472272312636E-6</v>
      </c>
      <c r="AJ35" s="48">
        <f t="shared" si="9"/>
        <v>216.13177902412826</v>
      </c>
    </row>
    <row r="36" spans="1:38" x14ac:dyDescent="0.3">
      <c r="A36" s="64">
        <v>2005</v>
      </c>
      <c r="B36" s="30">
        <v>21.2</v>
      </c>
      <c r="C36" s="61" t="s">
        <v>23</v>
      </c>
      <c r="D36" s="61" t="s">
        <v>26</v>
      </c>
      <c r="E36" s="61">
        <v>0.18</v>
      </c>
      <c r="F36" s="27" t="s">
        <v>2126</v>
      </c>
      <c r="G36" s="136" t="s">
        <v>2127</v>
      </c>
      <c r="H36" s="27" t="s">
        <v>113</v>
      </c>
      <c r="I36" s="27" t="s">
        <v>2917</v>
      </c>
      <c r="J36" s="149" t="str">
        <f t="shared" si="7"/>
        <v>https://doi.org/10.1109/VLSIC.2005.1469397</v>
      </c>
      <c r="K36" s="28" t="s">
        <v>1050</v>
      </c>
      <c r="L36" s="38"/>
      <c r="M36" s="38"/>
      <c r="N36" s="38"/>
      <c r="O36" s="39" t="s">
        <v>1050</v>
      </c>
      <c r="P36" s="30">
        <v>1.9</v>
      </c>
      <c r="Q36" s="60"/>
      <c r="R36" s="63">
        <v>5000000</v>
      </c>
      <c r="S36" s="60">
        <v>58.8</v>
      </c>
      <c r="T36" s="60">
        <v>59</v>
      </c>
      <c r="U36" s="60"/>
      <c r="V36" s="60">
        <v>71.099999999999994</v>
      </c>
      <c r="W36" s="60">
        <v>76.3</v>
      </c>
      <c r="X36" s="29">
        <f t="shared" si="10"/>
        <v>58.8</v>
      </c>
      <c r="Y36" s="63">
        <v>8.1000000000000003E-2</v>
      </c>
      <c r="Z36" s="63">
        <v>10000000</v>
      </c>
      <c r="AA36" s="64">
        <v>1</v>
      </c>
      <c r="AB36" s="63">
        <f t="shared" si="11"/>
        <v>10000000</v>
      </c>
      <c r="AC36" s="5" t="s">
        <v>2096</v>
      </c>
      <c r="AD36" s="111">
        <f t="shared" si="12"/>
        <v>8100</v>
      </c>
      <c r="AE36" s="29" t="str">
        <f t="shared" si="13"/>
        <v/>
      </c>
      <c r="AF36" s="29">
        <f t="shared" si="14"/>
        <v>11381.534193331425</v>
      </c>
      <c r="AG36" s="29" t="str">
        <f t="shared" si="15"/>
        <v/>
      </c>
      <c r="AH36" s="29">
        <f t="shared" si="16"/>
        <v>136.70484985457369</v>
      </c>
      <c r="AI36" s="33">
        <f t="shared" si="8"/>
        <v>1.1381534193331425E-3</v>
      </c>
      <c r="AJ36" s="48">
        <f t="shared" si="9"/>
        <v>206.70484985457369</v>
      </c>
    </row>
    <row r="37" spans="1:38" x14ac:dyDescent="0.3">
      <c r="A37" s="64">
        <v>2005</v>
      </c>
      <c r="B37" s="30">
        <v>21.2</v>
      </c>
      <c r="C37" s="61" t="s">
        <v>23</v>
      </c>
      <c r="D37" s="61" t="s">
        <v>26</v>
      </c>
      <c r="E37" s="61">
        <v>0.18</v>
      </c>
      <c r="F37" s="28" t="s">
        <v>2126</v>
      </c>
      <c r="G37" s="28" t="s">
        <v>2127</v>
      </c>
      <c r="H37" s="28" t="str">
        <f>+IF(OR(ISBLANK(H36),ISERROR(H36)),"",H36)</f>
        <v xml:space="preserve">Anderson, M.   Norling, K.   Dreyfert, A.   Yuan, J.   </v>
      </c>
      <c r="I37" s="27" t="s">
        <v>2917</v>
      </c>
      <c r="J37" s="149" t="str">
        <f t="shared" si="7"/>
        <v>https://doi.org/10.1109/VLSIC.2005.1469397</v>
      </c>
      <c r="K37" s="28" t="s">
        <v>1050</v>
      </c>
      <c r="L37" s="38"/>
      <c r="M37" s="38"/>
      <c r="N37" s="38"/>
      <c r="O37" s="39" t="s">
        <v>1050</v>
      </c>
      <c r="P37" s="30">
        <v>1.9</v>
      </c>
      <c r="Q37" s="60"/>
      <c r="R37" s="63">
        <v>40000000</v>
      </c>
      <c r="S37" s="60">
        <v>56.5</v>
      </c>
      <c r="T37" s="60">
        <v>56.9</v>
      </c>
      <c r="U37" s="60"/>
      <c r="V37" s="60">
        <v>67</v>
      </c>
      <c r="W37" s="60">
        <v>69.099999999999994</v>
      </c>
      <c r="X37" s="29">
        <f t="shared" si="10"/>
        <v>56.5</v>
      </c>
      <c r="Y37" s="63">
        <v>9.4E-2</v>
      </c>
      <c r="Z37" s="63">
        <v>80000000</v>
      </c>
      <c r="AA37" s="64">
        <v>1</v>
      </c>
      <c r="AB37" s="63">
        <f t="shared" si="11"/>
        <v>80000000</v>
      </c>
      <c r="AC37" s="5" t="s">
        <v>2096</v>
      </c>
      <c r="AD37" s="111">
        <f t="shared" si="12"/>
        <v>1175</v>
      </c>
      <c r="AE37" s="29" t="str">
        <f t="shared" si="13"/>
        <v/>
      </c>
      <c r="AF37" s="29">
        <f t="shared" si="14"/>
        <v>2151.6177349111795</v>
      </c>
      <c r="AG37" s="29" t="str">
        <f t="shared" si="15"/>
        <v/>
      </c>
      <c r="AH37" s="29">
        <f t="shared" si="16"/>
        <v>142.78932137728265</v>
      </c>
      <c r="AI37" s="33">
        <f t="shared" si="8"/>
        <v>2.6895221686389744E-5</v>
      </c>
      <c r="AJ37" s="48">
        <f t="shared" si="9"/>
        <v>221.82022124720208</v>
      </c>
    </row>
    <row r="38" spans="1:38" x14ac:dyDescent="0.3">
      <c r="A38" s="64">
        <v>2005</v>
      </c>
      <c r="B38" s="30">
        <v>21.3</v>
      </c>
      <c r="C38" s="61" t="s">
        <v>23</v>
      </c>
      <c r="D38" s="61" t="s">
        <v>26</v>
      </c>
      <c r="E38" s="61">
        <v>0.18</v>
      </c>
      <c r="F38" s="27" t="s">
        <v>632</v>
      </c>
      <c r="G38" s="136" t="s">
        <v>2128</v>
      </c>
      <c r="H38" s="27" t="s">
        <v>114</v>
      </c>
      <c r="I38" s="27" t="s">
        <v>2918</v>
      </c>
      <c r="J38" s="149" t="str">
        <f t="shared" si="7"/>
        <v>https://doi.org/10.1109/VLSIC.2005.1469398</v>
      </c>
      <c r="K38" s="28" t="s">
        <v>1050</v>
      </c>
      <c r="L38" s="38"/>
      <c r="M38" s="38"/>
      <c r="N38" s="38"/>
      <c r="O38" s="39" t="s">
        <v>1050</v>
      </c>
      <c r="P38" s="30">
        <v>1.1499999999999999</v>
      </c>
      <c r="Q38" s="60"/>
      <c r="R38" s="63">
        <v>10000000</v>
      </c>
      <c r="S38" s="60">
        <v>70.400000000000006</v>
      </c>
      <c r="T38" s="60">
        <v>73.2</v>
      </c>
      <c r="U38" s="60"/>
      <c r="V38" s="60"/>
      <c r="W38" s="60"/>
      <c r="X38" s="29">
        <f t="shared" si="10"/>
        <v>70.400000000000006</v>
      </c>
      <c r="Y38" s="63">
        <v>3.3700000000000001E-2</v>
      </c>
      <c r="Z38" s="63">
        <v>20000000</v>
      </c>
      <c r="AA38" s="64">
        <v>1</v>
      </c>
      <c r="AB38" s="63">
        <f t="shared" si="11"/>
        <v>20000000</v>
      </c>
      <c r="AC38" s="5" t="s">
        <v>2096</v>
      </c>
      <c r="AD38" s="111">
        <f t="shared" si="12"/>
        <v>1685</v>
      </c>
      <c r="AE38" s="29" t="str">
        <f t="shared" si="13"/>
        <v/>
      </c>
      <c r="AF38" s="29">
        <f t="shared" si="14"/>
        <v>622.66993227081934</v>
      </c>
      <c r="AG38" s="29" t="str">
        <f t="shared" si="15"/>
        <v/>
      </c>
      <c r="AH38" s="29">
        <f t="shared" si="16"/>
        <v>155.12370099128663</v>
      </c>
      <c r="AI38" s="33">
        <f t="shared" si="8"/>
        <v>3.1133496613540968E-5</v>
      </c>
      <c r="AJ38" s="48">
        <f t="shared" si="9"/>
        <v>228.13400094792644</v>
      </c>
    </row>
    <row r="39" spans="1:38" x14ac:dyDescent="0.3">
      <c r="A39" s="59">
        <v>2006</v>
      </c>
      <c r="B39" s="30">
        <v>6.2</v>
      </c>
      <c r="C39" s="61" t="s">
        <v>23</v>
      </c>
      <c r="D39" s="61" t="s">
        <v>238</v>
      </c>
      <c r="E39" s="61">
        <v>0.13</v>
      </c>
      <c r="F39" s="27" t="s">
        <v>2129</v>
      </c>
      <c r="G39" s="136" t="s">
        <v>2130</v>
      </c>
      <c r="H39" s="27" t="s">
        <v>2213</v>
      </c>
      <c r="I39" s="27" t="s">
        <v>2919</v>
      </c>
      <c r="J39" s="149" t="str">
        <f t="shared" si="7"/>
        <v>https://doi.org/10.1109/VLSIC.2006.1705305</v>
      </c>
      <c r="K39" s="28" t="s">
        <v>1050</v>
      </c>
      <c r="L39" s="38"/>
      <c r="M39" s="38"/>
      <c r="N39" s="38"/>
      <c r="O39" s="39" t="s">
        <v>1050</v>
      </c>
      <c r="P39" s="30">
        <v>5.5E-2</v>
      </c>
      <c r="Q39" s="60"/>
      <c r="R39" s="63">
        <f>41670/2</f>
        <v>20835</v>
      </c>
      <c r="S39" s="60">
        <v>60</v>
      </c>
      <c r="T39" s="60"/>
      <c r="U39" s="60"/>
      <c r="V39" s="60"/>
      <c r="W39" s="60">
        <v>80</v>
      </c>
      <c r="X39" s="29">
        <f t="shared" si="10"/>
        <v>60</v>
      </c>
      <c r="Y39" s="63">
        <v>3.1999999999999999E-5</v>
      </c>
      <c r="Z39" s="63">
        <v>41670</v>
      </c>
      <c r="AA39" s="64">
        <v>1</v>
      </c>
      <c r="AB39" s="63">
        <f t="shared" si="11"/>
        <v>41670</v>
      </c>
      <c r="AC39" s="5" t="s">
        <v>2096</v>
      </c>
      <c r="AD39" s="111">
        <f t="shared" si="12"/>
        <v>767.93856491480676</v>
      </c>
      <c r="AE39" s="29" t="str">
        <f t="shared" si="13"/>
        <v/>
      </c>
      <c r="AF39" s="29">
        <f t="shared" si="14"/>
        <v>939.80183194479866</v>
      </c>
      <c r="AG39" s="29" t="str">
        <f t="shared" si="15"/>
        <v/>
      </c>
      <c r="AH39" s="29">
        <f t="shared" si="16"/>
        <v>148.1364352647339</v>
      </c>
      <c r="AI39" s="33">
        <f t="shared" si="8"/>
        <v>2.2553439691499848E-2</v>
      </c>
      <c r="AJ39" s="48">
        <f t="shared" si="9"/>
        <v>194.33467026930668</v>
      </c>
    </row>
    <row r="40" spans="1:38" x14ac:dyDescent="0.3">
      <c r="A40" s="64">
        <v>2006</v>
      </c>
      <c r="B40" s="30">
        <v>6.3</v>
      </c>
      <c r="C40" s="61" t="s">
        <v>23</v>
      </c>
      <c r="D40" s="61" t="s">
        <v>238</v>
      </c>
      <c r="E40" s="61">
        <v>0.13</v>
      </c>
      <c r="F40" s="27" t="s">
        <v>2131</v>
      </c>
      <c r="G40" s="136" t="s">
        <v>2132</v>
      </c>
      <c r="H40" s="27" t="s">
        <v>115</v>
      </c>
      <c r="I40" s="27" t="s">
        <v>2920</v>
      </c>
      <c r="J40" s="149" t="str">
        <f t="shared" si="7"/>
        <v>https://doi.org/10.1109/VLSIC.2006.1705306</v>
      </c>
      <c r="K40" s="28" t="s">
        <v>1050</v>
      </c>
      <c r="L40" s="38">
        <v>3</v>
      </c>
      <c r="M40" s="38"/>
      <c r="N40" s="38"/>
      <c r="O40" s="39" t="s">
        <v>1050</v>
      </c>
      <c r="P40" s="30">
        <v>0.19</v>
      </c>
      <c r="Q40" s="60"/>
      <c r="R40" s="63">
        <f>10000000/2</f>
        <v>5000000</v>
      </c>
      <c r="S40" s="60">
        <v>56</v>
      </c>
      <c r="T40" s="60">
        <v>58</v>
      </c>
      <c r="U40" s="60"/>
      <c r="V40" s="60"/>
      <c r="W40" s="60">
        <v>69</v>
      </c>
      <c r="X40" s="29">
        <f t="shared" si="10"/>
        <v>56</v>
      </c>
      <c r="Y40" s="63">
        <v>0.01</v>
      </c>
      <c r="Z40" s="63">
        <v>10000000</v>
      </c>
      <c r="AA40" s="64">
        <v>1</v>
      </c>
      <c r="AB40" s="63">
        <f t="shared" si="11"/>
        <v>10000000</v>
      </c>
      <c r="AC40" s="5" t="s">
        <v>2096</v>
      </c>
      <c r="AD40" s="111">
        <f t="shared" si="12"/>
        <v>1000.0000000000001</v>
      </c>
      <c r="AE40" s="29" t="str">
        <f t="shared" si="13"/>
        <v/>
      </c>
      <c r="AF40" s="29">
        <f t="shared" si="14"/>
        <v>1939.6784468337237</v>
      </c>
      <c r="AG40" s="29" t="str">
        <f t="shared" si="15"/>
        <v/>
      </c>
      <c r="AH40" s="29">
        <f t="shared" si="16"/>
        <v>142.98970004336019</v>
      </c>
      <c r="AI40" s="33">
        <f t="shared" si="8"/>
        <v>1.9396784468337237E-4</v>
      </c>
      <c r="AJ40" s="48">
        <f t="shared" si="9"/>
        <v>212.98970004336019</v>
      </c>
    </row>
    <row r="41" spans="1:38" x14ac:dyDescent="0.3">
      <c r="A41" s="64">
        <v>2006</v>
      </c>
      <c r="B41" s="30">
        <v>16.100000000000001</v>
      </c>
      <c r="C41" s="61" t="s">
        <v>23</v>
      </c>
      <c r="D41" s="61" t="s">
        <v>26</v>
      </c>
      <c r="E41" s="61">
        <v>0.18</v>
      </c>
      <c r="F41" s="27" t="s">
        <v>633</v>
      </c>
      <c r="G41" s="136" t="s">
        <v>2133</v>
      </c>
      <c r="H41" s="27" t="s">
        <v>2212</v>
      </c>
      <c r="I41" s="27" t="s">
        <v>2921</v>
      </c>
      <c r="J41" s="149" t="str">
        <f t="shared" si="7"/>
        <v>https://doi.org/10.1109/VLSIC.2006.1705346</v>
      </c>
      <c r="K41" s="28" t="s">
        <v>1050</v>
      </c>
      <c r="L41" s="38">
        <v>1.8</v>
      </c>
      <c r="M41" s="38"/>
      <c r="N41" s="38"/>
      <c r="O41" s="39" t="s">
        <v>1050</v>
      </c>
      <c r="P41" s="30">
        <v>0.5</v>
      </c>
      <c r="Q41" s="60"/>
      <c r="R41" s="63">
        <v>400000000</v>
      </c>
      <c r="S41" s="60">
        <v>33.700000000000003</v>
      </c>
      <c r="T41" s="60"/>
      <c r="U41" s="60"/>
      <c r="V41" s="60"/>
      <c r="W41" s="60">
        <v>47.5</v>
      </c>
      <c r="X41" s="29">
        <f t="shared" si="10"/>
        <v>33.700000000000003</v>
      </c>
      <c r="Y41" s="63">
        <v>0.105</v>
      </c>
      <c r="Z41" s="63">
        <v>800000000</v>
      </c>
      <c r="AA41" s="64">
        <v>1</v>
      </c>
      <c r="AB41" s="63">
        <f t="shared" si="11"/>
        <v>800000000</v>
      </c>
      <c r="AC41" s="5" t="s">
        <v>2096</v>
      </c>
      <c r="AD41" s="111">
        <f t="shared" si="12"/>
        <v>131.25</v>
      </c>
      <c r="AE41" s="29" t="str">
        <f t="shared" si="13"/>
        <v/>
      </c>
      <c r="AF41" s="29">
        <f t="shared" si="14"/>
        <v>3318.4873437943556</v>
      </c>
      <c r="AG41" s="29" t="str">
        <f t="shared" si="15"/>
        <v/>
      </c>
      <c r="AH41" s="29">
        <f t="shared" si="16"/>
        <v>129.50870692258025</v>
      </c>
      <c r="AI41" s="33">
        <f t="shared" si="8"/>
        <v>4.148109179742945E-6</v>
      </c>
      <c r="AJ41" s="48">
        <f t="shared" si="9"/>
        <v>218.53960679249968</v>
      </c>
    </row>
    <row r="42" spans="1:38" x14ac:dyDescent="0.3">
      <c r="A42" s="64">
        <v>2006</v>
      </c>
      <c r="B42" s="30">
        <v>16.2</v>
      </c>
      <c r="C42" s="61" t="s">
        <v>23</v>
      </c>
      <c r="D42" s="61" t="s">
        <v>634</v>
      </c>
      <c r="E42" s="61">
        <v>0.18</v>
      </c>
      <c r="F42" s="27" t="s">
        <v>635</v>
      </c>
      <c r="G42" s="136" t="s">
        <v>636</v>
      </c>
      <c r="H42" s="27" t="s">
        <v>2211</v>
      </c>
      <c r="I42" s="27" t="s">
        <v>2922</v>
      </c>
      <c r="J42" s="149" t="str">
        <f t="shared" si="7"/>
        <v>https://doi.org/10.1109/VLSIC.2006.1705347</v>
      </c>
      <c r="K42" s="28" t="s">
        <v>116</v>
      </c>
      <c r="L42" s="38">
        <v>1</v>
      </c>
      <c r="M42" s="38"/>
      <c r="N42" s="38"/>
      <c r="O42" s="39" t="s">
        <v>1050</v>
      </c>
      <c r="P42" s="30">
        <v>2.04</v>
      </c>
      <c r="Q42" s="60"/>
      <c r="R42" s="63">
        <v>50000000</v>
      </c>
      <c r="S42" s="60">
        <v>41.5</v>
      </c>
      <c r="T42" s="60">
        <v>45.2</v>
      </c>
      <c r="U42" s="60"/>
      <c r="V42" s="60"/>
      <c r="W42" s="60">
        <v>52.6</v>
      </c>
      <c r="X42" s="29">
        <f t="shared" si="10"/>
        <v>41.5</v>
      </c>
      <c r="Y42" s="63">
        <v>0.03</v>
      </c>
      <c r="Z42" s="63">
        <v>100000000</v>
      </c>
      <c r="AA42" s="64">
        <v>1</v>
      </c>
      <c r="AB42" s="63">
        <f t="shared" si="11"/>
        <v>100000000</v>
      </c>
      <c r="AC42" s="5" t="s">
        <v>2096</v>
      </c>
      <c r="AD42" s="111">
        <f t="shared" si="12"/>
        <v>300</v>
      </c>
      <c r="AE42" s="29" t="str">
        <f t="shared" si="13"/>
        <v/>
      </c>
      <c r="AF42" s="29">
        <f t="shared" si="14"/>
        <v>3089.7493068193371</v>
      </c>
      <c r="AG42" s="29" t="str">
        <f t="shared" si="15"/>
        <v/>
      </c>
      <c r="AH42" s="29">
        <f t="shared" si="16"/>
        <v>133.71848749616356</v>
      </c>
      <c r="AI42" s="33">
        <f t="shared" si="8"/>
        <v>3.089749306819337E-5</v>
      </c>
      <c r="AJ42" s="48">
        <f t="shared" si="9"/>
        <v>213.71848749616356</v>
      </c>
    </row>
    <row r="43" spans="1:38" x14ac:dyDescent="0.3">
      <c r="A43" s="64">
        <f t="shared" ref="A43:H43" si="17">+IF(OR(ISBLANK(A42),ISERROR(A42)),"",A42)</f>
        <v>2006</v>
      </c>
      <c r="B43" s="30">
        <f t="shared" si="17"/>
        <v>16.2</v>
      </c>
      <c r="C43" s="61" t="str">
        <f t="shared" si="17"/>
        <v>NQ</v>
      </c>
      <c r="D43" s="61" t="str">
        <f t="shared" si="17"/>
        <v>Pipe, SwOpAmp</v>
      </c>
      <c r="E43" s="61">
        <f t="shared" si="17"/>
        <v>0.18</v>
      </c>
      <c r="F43" s="28" t="s">
        <v>635</v>
      </c>
      <c r="G43" s="28" t="s">
        <v>636</v>
      </c>
      <c r="H43" s="28" t="str">
        <f t="shared" si="17"/>
        <v xml:space="preserve">Y. Wu, V. Cheung, H. Luong  </v>
      </c>
      <c r="I43" s="27" t="s">
        <v>2922</v>
      </c>
      <c r="J43" s="149" t="str">
        <f t="shared" si="7"/>
        <v>https://doi.org/10.1109/VLSIC.2006.1705347</v>
      </c>
      <c r="K43" s="28" t="s">
        <v>637</v>
      </c>
      <c r="L43" s="38">
        <v>1</v>
      </c>
      <c r="M43" s="38"/>
      <c r="N43" s="38"/>
      <c r="O43" s="39" t="s">
        <v>1050</v>
      </c>
      <c r="P43" s="30">
        <v>2.04</v>
      </c>
      <c r="Q43" s="60"/>
      <c r="R43" s="63">
        <v>20000000</v>
      </c>
      <c r="S43" s="60">
        <v>44.5</v>
      </c>
      <c r="T43" s="60">
        <v>46.5</v>
      </c>
      <c r="U43" s="60"/>
      <c r="V43" s="60"/>
      <c r="W43" s="60">
        <v>54.4</v>
      </c>
      <c r="X43" s="29">
        <f t="shared" si="10"/>
        <v>44.5</v>
      </c>
      <c r="Y43" s="63">
        <v>0.03</v>
      </c>
      <c r="Z43" s="63">
        <v>40000000</v>
      </c>
      <c r="AA43" s="64">
        <v>1</v>
      </c>
      <c r="AB43" s="63">
        <f t="shared" si="11"/>
        <v>40000000</v>
      </c>
      <c r="AC43" s="5" t="s">
        <v>2096</v>
      </c>
      <c r="AD43" s="111">
        <f t="shared" si="12"/>
        <v>750</v>
      </c>
      <c r="AE43" s="29" t="str">
        <f t="shared" si="13"/>
        <v/>
      </c>
      <c r="AF43" s="29">
        <f t="shared" si="14"/>
        <v>5468.2492762091742</v>
      </c>
      <c r="AG43" s="29" t="str">
        <f t="shared" si="15"/>
        <v/>
      </c>
      <c r="AH43" s="29">
        <f t="shared" si="16"/>
        <v>132.73908740944319</v>
      </c>
      <c r="AI43" s="33">
        <f t="shared" si="8"/>
        <v>1.3670623190522934E-4</v>
      </c>
      <c r="AJ43" s="48">
        <f t="shared" si="9"/>
        <v>208.75968732272281</v>
      </c>
    </row>
    <row r="44" spans="1:38" x14ac:dyDescent="0.3">
      <c r="A44" s="64">
        <v>2006</v>
      </c>
      <c r="B44" s="30">
        <v>16.3</v>
      </c>
      <c r="C44" s="61" t="s">
        <v>23</v>
      </c>
      <c r="D44" s="61" t="s">
        <v>28</v>
      </c>
      <c r="E44" s="61">
        <v>0.09</v>
      </c>
      <c r="F44" s="27" t="s">
        <v>117</v>
      </c>
      <c r="G44" s="136" t="s">
        <v>7</v>
      </c>
      <c r="H44" s="27" t="s">
        <v>118</v>
      </c>
      <c r="I44" s="27" t="s">
        <v>2923</v>
      </c>
      <c r="J44" s="149" t="str">
        <f t="shared" si="7"/>
        <v>https://doi.org/10.1109/VLSIC.2006.1705348</v>
      </c>
      <c r="K44" s="28" t="s">
        <v>1050</v>
      </c>
      <c r="L44" s="38">
        <v>2.5</v>
      </c>
      <c r="M44" s="38">
        <v>1.2</v>
      </c>
      <c r="N44" s="38"/>
      <c r="O44" s="39" t="s">
        <v>1050</v>
      </c>
      <c r="P44" s="30">
        <v>0.32</v>
      </c>
      <c r="Q44" s="60"/>
      <c r="R44" s="63">
        <v>400000000</v>
      </c>
      <c r="S44" s="60">
        <v>33.6</v>
      </c>
      <c r="T44" s="60">
        <v>36.799999999999997</v>
      </c>
      <c r="U44" s="60"/>
      <c r="V44" s="60"/>
      <c r="W44" s="60"/>
      <c r="X44" s="29">
        <f t="shared" si="10"/>
        <v>33.6</v>
      </c>
      <c r="Y44" s="63">
        <v>0.12</v>
      </c>
      <c r="Z44" s="63">
        <v>800000000</v>
      </c>
      <c r="AA44" s="64">
        <v>1</v>
      </c>
      <c r="AB44" s="63">
        <f t="shared" si="11"/>
        <v>800000000</v>
      </c>
      <c r="AC44" s="5" t="s">
        <v>2096</v>
      </c>
      <c r="AD44" s="111">
        <f t="shared" si="12"/>
        <v>150</v>
      </c>
      <c r="AE44" s="29" t="str">
        <f t="shared" si="13"/>
        <v/>
      </c>
      <c r="AF44" s="29">
        <f t="shared" si="14"/>
        <v>3836.4771058275901</v>
      </c>
      <c r="AG44" s="29" t="str">
        <f t="shared" si="15"/>
        <v/>
      </c>
      <c r="AH44" s="29">
        <f t="shared" si="16"/>
        <v>128.82878745280337</v>
      </c>
      <c r="AI44" s="33">
        <f t="shared" si="8"/>
        <v>4.795596382284488E-6</v>
      </c>
      <c r="AJ44" s="48">
        <f t="shared" si="9"/>
        <v>217.85968732272281</v>
      </c>
    </row>
    <row r="45" spans="1:38" x14ac:dyDescent="0.3">
      <c r="A45" s="64">
        <v>2006</v>
      </c>
      <c r="B45" s="30">
        <v>16.399999999999999</v>
      </c>
      <c r="C45" s="61" t="s">
        <v>23</v>
      </c>
      <c r="D45" s="61" t="s">
        <v>592</v>
      </c>
      <c r="E45" s="61">
        <v>6.5000000000000002E-2</v>
      </c>
      <c r="F45" s="27" t="s">
        <v>119</v>
      </c>
      <c r="G45" s="136" t="s">
        <v>8</v>
      </c>
      <c r="H45" s="27" t="s">
        <v>2214</v>
      </c>
      <c r="I45" s="27" t="s">
        <v>2924</v>
      </c>
      <c r="J45" s="149" t="str">
        <f t="shared" si="7"/>
        <v>https://doi.org/10.1109/VLSIC.2006.1705349</v>
      </c>
      <c r="K45" s="28" t="s">
        <v>1050</v>
      </c>
      <c r="L45" s="38"/>
      <c r="M45" s="38"/>
      <c r="N45" s="38"/>
      <c r="O45" s="39" t="s">
        <v>1050</v>
      </c>
      <c r="P45" s="30">
        <v>2.2799999999999998</v>
      </c>
      <c r="Q45" s="60"/>
      <c r="R45" s="63">
        <v>250000000</v>
      </c>
      <c r="S45" s="60">
        <v>26</v>
      </c>
      <c r="T45" s="60"/>
      <c r="U45" s="60"/>
      <c r="V45" s="60"/>
      <c r="W45" s="60">
        <v>35</v>
      </c>
      <c r="X45" s="29">
        <f t="shared" si="10"/>
        <v>26</v>
      </c>
      <c r="Y45" s="63">
        <v>6.0000000000000001E-3</v>
      </c>
      <c r="Z45" s="63">
        <v>500000000</v>
      </c>
      <c r="AA45" s="64">
        <v>1</v>
      </c>
      <c r="AB45" s="63">
        <f t="shared" si="11"/>
        <v>500000000</v>
      </c>
      <c r="AC45" s="5" t="s">
        <v>2096</v>
      </c>
      <c r="AD45" s="111">
        <f t="shared" si="12"/>
        <v>12</v>
      </c>
      <c r="AE45" s="29" t="str">
        <f t="shared" si="13"/>
        <v/>
      </c>
      <c r="AF45" s="29">
        <f t="shared" si="14"/>
        <v>736.30960563280303</v>
      </c>
      <c r="AG45" s="29" t="str">
        <f t="shared" si="15"/>
        <v/>
      </c>
      <c r="AH45" s="29">
        <f t="shared" si="16"/>
        <v>132.19788758288394</v>
      </c>
      <c r="AI45" s="33">
        <f t="shared" si="8"/>
        <v>1.472619211265606E-6</v>
      </c>
      <c r="AJ45" s="48">
        <f t="shared" si="9"/>
        <v>219.18758762624412</v>
      </c>
    </row>
    <row r="46" spans="1:38" x14ac:dyDescent="0.3">
      <c r="A46" s="64">
        <v>2006</v>
      </c>
      <c r="B46" s="30">
        <v>19.100000000000001</v>
      </c>
      <c r="C46" s="61" t="s">
        <v>22</v>
      </c>
      <c r="D46" s="61" t="s">
        <v>605</v>
      </c>
      <c r="E46" s="61">
        <v>0.13</v>
      </c>
      <c r="F46" s="27" t="s">
        <v>120</v>
      </c>
      <c r="G46" s="136" t="s">
        <v>142</v>
      </c>
      <c r="H46" s="27" t="s">
        <v>121</v>
      </c>
      <c r="I46" s="27" t="s">
        <v>2475</v>
      </c>
      <c r="J46" s="149" t="str">
        <f t="shared" si="7"/>
        <v>https://doi.org/10.1109/VLSIC.2006.1705359</v>
      </c>
      <c r="K46" s="28" t="s">
        <v>1050</v>
      </c>
      <c r="L46" s="38">
        <v>0.9</v>
      </c>
      <c r="M46" s="38"/>
      <c r="N46" s="38"/>
      <c r="O46" s="39" t="s">
        <v>1050</v>
      </c>
      <c r="P46" s="30">
        <v>1.44</v>
      </c>
      <c r="Q46" s="60"/>
      <c r="R46" s="63">
        <v>24000</v>
      </c>
      <c r="S46" s="60">
        <v>89</v>
      </c>
      <c r="T46" s="60">
        <v>91</v>
      </c>
      <c r="U46" s="60">
        <v>92</v>
      </c>
      <c r="V46" s="60"/>
      <c r="W46" s="60"/>
      <c r="X46" s="29">
        <f t="shared" si="10"/>
        <v>89</v>
      </c>
      <c r="Y46" s="63">
        <v>1.5E-3</v>
      </c>
      <c r="Z46" s="63">
        <v>6144000</v>
      </c>
      <c r="AA46" s="64">
        <v>128</v>
      </c>
      <c r="AB46" s="63">
        <f t="shared" si="11"/>
        <v>48000</v>
      </c>
      <c r="AC46" s="5" t="s">
        <v>2096</v>
      </c>
      <c r="AD46" s="111">
        <f t="shared" si="12"/>
        <v>31250</v>
      </c>
      <c r="AE46" s="29" t="str">
        <f t="shared" si="13"/>
        <v/>
      </c>
      <c r="AF46" s="29">
        <f t="shared" si="14"/>
        <v>1356.4860556747376</v>
      </c>
      <c r="AG46" s="29" t="str">
        <f t="shared" si="15"/>
        <v/>
      </c>
      <c r="AH46" s="29">
        <f t="shared" si="16"/>
        <v>161.04119982655925</v>
      </c>
      <c r="AI46" s="33">
        <f t="shared" si="8"/>
        <v>2.8260126159890368E-2</v>
      </c>
      <c r="AJ46" s="48">
        <f t="shared" si="9"/>
        <v>207.85361220031513</v>
      </c>
    </row>
    <row r="47" spans="1:38" x14ac:dyDescent="0.3">
      <c r="A47" s="64">
        <v>2006</v>
      </c>
      <c r="B47" s="30">
        <v>19.2</v>
      </c>
      <c r="C47" s="61" t="s">
        <v>22</v>
      </c>
      <c r="D47" s="61" t="s">
        <v>25</v>
      </c>
      <c r="E47" s="61">
        <v>0.13</v>
      </c>
      <c r="F47" s="27" t="s">
        <v>122</v>
      </c>
      <c r="G47" s="136" t="s">
        <v>143</v>
      </c>
      <c r="H47" s="27" t="s">
        <v>123</v>
      </c>
      <c r="I47" s="27" t="s">
        <v>2925</v>
      </c>
      <c r="J47" s="149" t="str">
        <f t="shared" si="7"/>
        <v>https://doi.org/10.1109/VLSIC.2006.1705360</v>
      </c>
      <c r="K47" s="28" t="s">
        <v>1050</v>
      </c>
      <c r="L47" s="38"/>
      <c r="M47" s="38"/>
      <c r="N47" s="38"/>
      <c r="O47" s="39" t="s">
        <v>1050</v>
      </c>
      <c r="P47" s="30">
        <v>1.51</v>
      </c>
      <c r="Q47" s="60"/>
      <c r="R47" s="63">
        <v>500000</v>
      </c>
      <c r="S47" s="60">
        <v>84</v>
      </c>
      <c r="T47" s="60">
        <v>84</v>
      </c>
      <c r="U47" s="60">
        <v>84</v>
      </c>
      <c r="V47" s="60"/>
      <c r="W47" s="60">
        <v>96</v>
      </c>
      <c r="X47" s="29">
        <f t="shared" si="10"/>
        <v>84</v>
      </c>
      <c r="Y47" s="63">
        <v>1.0800000000000001E-2</v>
      </c>
      <c r="Z47" s="63">
        <v>64000000</v>
      </c>
      <c r="AA47" s="64">
        <v>64</v>
      </c>
      <c r="AB47" s="63">
        <f t="shared" si="11"/>
        <v>1000000</v>
      </c>
      <c r="AC47" s="5" t="s">
        <v>2096</v>
      </c>
      <c r="AD47" s="111">
        <f t="shared" si="12"/>
        <v>10800</v>
      </c>
      <c r="AE47" s="29" t="str">
        <f t="shared" si="13"/>
        <v/>
      </c>
      <c r="AF47" s="29">
        <f t="shared" si="14"/>
        <v>833.70802296787906</v>
      </c>
      <c r="AG47" s="29" t="str">
        <f t="shared" si="15"/>
        <v/>
      </c>
      <c r="AH47" s="29">
        <f t="shared" si="16"/>
        <v>160.65546248849068</v>
      </c>
      <c r="AI47" s="33">
        <f t="shared" si="8"/>
        <v>8.3370802296787907E-4</v>
      </c>
      <c r="AJ47" s="48">
        <f t="shared" si="9"/>
        <v>220.65546248849068</v>
      </c>
    </row>
    <row r="48" spans="1:38" x14ac:dyDescent="0.3">
      <c r="A48" s="64">
        <v>2006</v>
      </c>
      <c r="B48" s="30">
        <v>19.399999999999999</v>
      </c>
      <c r="C48" s="61" t="s">
        <v>22</v>
      </c>
      <c r="D48" s="61" t="s">
        <v>25</v>
      </c>
      <c r="E48" s="61">
        <v>0.09</v>
      </c>
      <c r="F48" s="27" t="s">
        <v>2134</v>
      </c>
      <c r="G48" s="136" t="s">
        <v>2135</v>
      </c>
      <c r="H48" s="27" t="s">
        <v>124</v>
      </c>
      <c r="I48" s="27" t="s">
        <v>2926</v>
      </c>
      <c r="J48" s="149" t="str">
        <f t="shared" si="7"/>
        <v>https://doi.org/10.1109/VLSIC.2006.1705362</v>
      </c>
      <c r="K48" s="28" t="s">
        <v>1050</v>
      </c>
      <c r="L48" s="38">
        <v>1.4</v>
      </c>
      <c r="M48" s="38"/>
      <c r="N48" s="38"/>
      <c r="O48" s="39" t="s">
        <v>1050</v>
      </c>
      <c r="P48" s="30">
        <v>1.3</v>
      </c>
      <c r="Q48" s="60"/>
      <c r="R48" s="63">
        <v>20480000</v>
      </c>
      <c r="S48" s="60">
        <v>63</v>
      </c>
      <c r="T48" s="60">
        <v>67</v>
      </c>
      <c r="U48" s="60"/>
      <c r="V48" s="60"/>
      <c r="W48" s="60">
        <v>67</v>
      </c>
      <c r="X48" s="29">
        <f t="shared" si="10"/>
        <v>63</v>
      </c>
      <c r="Y48" s="63">
        <v>7.8E-2</v>
      </c>
      <c r="Z48" s="63">
        <v>327680000</v>
      </c>
      <c r="AA48" s="64">
        <v>8</v>
      </c>
      <c r="AB48" s="63">
        <f t="shared" si="11"/>
        <v>40960000</v>
      </c>
      <c r="AC48" s="5" t="s">
        <v>2096</v>
      </c>
      <c r="AD48" s="111">
        <f t="shared" si="12"/>
        <v>1904.296875</v>
      </c>
      <c r="AE48" s="29" t="str">
        <f t="shared" si="13"/>
        <v/>
      </c>
      <c r="AF48" s="29">
        <f t="shared" si="14"/>
        <v>1649.7932261364683</v>
      </c>
      <c r="AG48" s="29" t="str">
        <f t="shared" si="15"/>
        <v/>
      </c>
      <c r="AH48" s="29">
        <f t="shared" si="16"/>
        <v>147.19235349613314</v>
      </c>
      <c r="AI48" s="33">
        <f t="shared" si="8"/>
        <v>4.0278154934972373E-5</v>
      </c>
      <c r="AJ48" s="48">
        <f t="shared" si="9"/>
        <v>223.31595297581089</v>
      </c>
    </row>
    <row r="49" spans="1:36" x14ac:dyDescent="0.3">
      <c r="A49" s="64">
        <v>2006</v>
      </c>
      <c r="B49" s="30">
        <v>19.5</v>
      </c>
      <c r="C49" s="61" t="s">
        <v>22</v>
      </c>
      <c r="D49" s="61" t="s">
        <v>1955</v>
      </c>
      <c r="E49" s="61" t="s">
        <v>125</v>
      </c>
      <c r="F49" s="27" t="s">
        <v>126</v>
      </c>
      <c r="G49" s="136" t="s">
        <v>144</v>
      </c>
      <c r="H49" s="27" t="s">
        <v>127</v>
      </c>
      <c r="I49" s="27" t="s">
        <v>2927</v>
      </c>
      <c r="J49" s="149" t="str">
        <f t="shared" si="7"/>
        <v>https://doi.org/10.1109/VLSIC.2006.1705363</v>
      </c>
      <c r="K49" s="28" t="s">
        <v>1050</v>
      </c>
      <c r="L49" s="38"/>
      <c r="M49" s="38"/>
      <c r="N49" s="38"/>
      <c r="O49" s="39" t="s">
        <v>1050</v>
      </c>
      <c r="P49" s="30">
        <v>12.4</v>
      </c>
      <c r="Q49" s="60"/>
      <c r="R49" s="63">
        <v>1000000</v>
      </c>
      <c r="S49" s="60"/>
      <c r="T49" s="60">
        <v>76</v>
      </c>
      <c r="U49" s="60">
        <v>90</v>
      </c>
      <c r="V49" s="60"/>
      <c r="W49" s="60"/>
      <c r="X49" s="29">
        <f t="shared" si="10"/>
        <v>76</v>
      </c>
      <c r="Y49" s="63">
        <v>7.7</v>
      </c>
      <c r="Z49" s="63">
        <v>4000000000</v>
      </c>
      <c r="AA49" s="64">
        <v>2000</v>
      </c>
      <c r="AB49" s="63">
        <f t="shared" si="11"/>
        <v>2000000</v>
      </c>
      <c r="AC49" s="5">
        <v>1400000000</v>
      </c>
      <c r="AD49" s="111">
        <f t="shared" si="12"/>
        <v>3850000.0000000005</v>
      </c>
      <c r="AE49" s="29" t="str">
        <f t="shared" si="13"/>
        <v/>
      </c>
      <c r="AF49" s="29">
        <f t="shared" si="14"/>
        <v>746604.86615203822</v>
      </c>
      <c r="AG49" s="29" t="str">
        <f t="shared" si="15"/>
        <v/>
      </c>
      <c r="AH49" s="29">
        <f t="shared" si="16"/>
        <v>127.13509274827518</v>
      </c>
      <c r="AI49" s="33">
        <f t="shared" si="8"/>
        <v>0.37330243307601912</v>
      </c>
      <c r="AJ49" s="48">
        <f t="shared" si="9"/>
        <v>190.145392704915</v>
      </c>
    </row>
    <row r="50" spans="1:36" x14ac:dyDescent="0.3">
      <c r="A50" s="59">
        <v>2007</v>
      </c>
      <c r="B50" s="30">
        <v>7.1</v>
      </c>
      <c r="C50" s="61" t="s">
        <v>23</v>
      </c>
      <c r="D50" s="61" t="s">
        <v>592</v>
      </c>
      <c r="E50" s="61">
        <v>0.13</v>
      </c>
      <c r="F50" s="27" t="s">
        <v>128</v>
      </c>
      <c r="G50" s="136" t="s">
        <v>702</v>
      </c>
      <c r="H50" s="27" t="s">
        <v>703</v>
      </c>
      <c r="I50" s="27" t="s">
        <v>2476</v>
      </c>
      <c r="J50" s="149" t="str">
        <f t="shared" si="7"/>
        <v>https://doi.org/10.1109/VLSIC.2007.4342766</v>
      </c>
      <c r="K50" s="28" t="s">
        <v>1050</v>
      </c>
      <c r="L50" s="38"/>
      <c r="M50" s="38"/>
      <c r="N50" s="38"/>
      <c r="O50" s="39" t="s">
        <v>1050</v>
      </c>
      <c r="P50" s="30">
        <v>1.6</v>
      </c>
      <c r="Q50" s="60"/>
      <c r="R50" s="63">
        <f t="shared" ref="R50:R56" si="18">Z50/2</f>
        <v>675000000</v>
      </c>
      <c r="S50" s="60">
        <f>7.7*6.02+1.76</f>
        <v>48.113999999999997</v>
      </c>
      <c r="T50" s="60"/>
      <c r="U50" s="60"/>
      <c r="V50" s="60"/>
      <c r="W50" s="60"/>
      <c r="X50" s="29">
        <f t="shared" si="10"/>
        <v>48.113999999999997</v>
      </c>
      <c r="Y50" s="63">
        <f>0.0000000000006*Z50*2^7.7</f>
        <v>0.16842865690842895</v>
      </c>
      <c r="Z50" s="63">
        <v>1350000000</v>
      </c>
      <c r="AA50" s="64">
        <v>1</v>
      </c>
      <c r="AB50" s="63">
        <f t="shared" si="11"/>
        <v>1350000000</v>
      </c>
      <c r="AC50" s="5" t="s">
        <v>2096</v>
      </c>
      <c r="AD50" s="111">
        <f t="shared" si="12"/>
        <v>124.76196808031776</v>
      </c>
      <c r="AE50" s="29" t="str">
        <f t="shared" si="13"/>
        <v/>
      </c>
      <c r="AF50" s="29">
        <f t="shared" si="14"/>
        <v>600</v>
      </c>
      <c r="AG50" s="29" t="str">
        <f t="shared" si="15"/>
        <v/>
      </c>
      <c r="AH50" s="29">
        <f t="shared" si="16"/>
        <v>144.1428778733972</v>
      </c>
      <c r="AI50" s="33">
        <f t="shared" si="8"/>
        <v>4.4444444444444444E-7</v>
      </c>
      <c r="AJ50" s="48">
        <f t="shared" si="9"/>
        <v>235.44621555834726</v>
      </c>
    </row>
    <row r="51" spans="1:36" x14ac:dyDescent="0.3">
      <c r="A51" s="64">
        <v>2007</v>
      </c>
      <c r="B51" s="30">
        <v>7.2</v>
      </c>
      <c r="C51" s="61" t="s">
        <v>23</v>
      </c>
      <c r="D51" s="61" t="s">
        <v>27</v>
      </c>
      <c r="E51" s="61">
        <v>0.09</v>
      </c>
      <c r="F51" s="27" t="s">
        <v>129</v>
      </c>
      <c r="G51" s="136" t="s">
        <v>145</v>
      </c>
      <c r="H51" s="27" t="s">
        <v>704</v>
      </c>
      <c r="I51" s="27" t="s">
        <v>2477</v>
      </c>
      <c r="J51" s="149" t="str">
        <f t="shared" si="7"/>
        <v>https://doi.org/10.1109/VLSIC.2007.4342767</v>
      </c>
      <c r="K51" s="28" t="s">
        <v>1050</v>
      </c>
      <c r="L51" s="38">
        <v>0.9</v>
      </c>
      <c r="M51" s="38"/>
      <c r="N51" s="38"/>
      <c r="O51" s="39" t="s">
        <v>1050</v>
      </c>
      <c r="P51" s="30">
        <v>0.14849999999999999</v>
      </c>
      <c r="Q51" s="60"/>
      <c r="R51" s="63">
        <f t="shared" si="18"/>
        <v>1750000000</v>
      </c>
      <c r="S51" s="60">
        <v>31.18</v>
      </c>
      <c r="T51" s="60"/>
      <c r="U51" s="60"/>
      <c r="V51" s="60"/>
      <c r="W51" s="60"/>
      <c r="X51" s="29">
        <f t="shared" si="10"/>
        <v>31.18</v>
      </c>
      <c r="Y51" s="63">
        <v>9.8000000000000004E-2</v>
      </c>
      <c r="Z51" s="63">
        <v>3500000000</v>
      </c>
      <c r="AA51" s="64">
        <v>1</v>
      </c>
      <c r="AB51" s="63">
        <f t="shared" si="11"/>
        <v>3500000000</v>
      </c>
      <c r="AC51" s="5" t="s">
        <v>2096</v>
      </c>
      <c r="AD51" s="111">
        <f t="shared" si="12"/>
        <v>28</v>
      </c>
      <c r="AE51" s="29" t="str">
        <f t="shared" si="13"/>
        <v/>
      </c>
      <c r="AF51" s="29">
        <f t="shared" si="14"/>
        <v>946.26208976469104</v>
      </c>
      <c r="AG51" s="29" t="str">
        <f t="shared" si="15"/>
        <v/>
      </c>
      <c r="AH51" s="29">
        <f t="shared" si="16"/>
        <v>133.69811972993799</v>
      </c>
      <c r="AI51" s="33">
        <f t="shared" si="8"/>
        <v>2.70360597075626E-7</v>
      </c>
      <c r="AJ51" s="48">
        <f t="shared" si="9"/>
        <v>229.13880017344076</v>
      </c>
    </row>
    <row r="52" spans="1:36" x14ac:dyDescent="0.3">
      <c r="A52" s="64">
        <v>2007</v>
      </c>
      <c r="B52" s="30">
        <v>7.3</v>
      </c>
      <c r="C52" s="61" t="s">
        <v>23</v>
      </c>
      <c r="D52" s="61" t="s">
        <v>260</v>
      </c>
      <c r="E52" s="61">
        <v>0.09</v>
      </c>
      <c r="F52" s="27" t="s">
        <v>130</v>
      </c>
      <c r="G52" s="136" t="s">
        <v>705</v>
      </c>
      <c r="H52" s="27" t="s">
        <v>706</v>
      </c>
      <c r="I52" s="27" t="s">
        <v>2928</v>
      </c>
      <c r="J52" s="149" t="str">
        <f t="shared" si="7"/>
        <v>https://doi.org/10.1109/VLSIC.2007.4342768</v>
      </c>
      <c r="K52" s="28" t="s">
        <v>1050</v>
      </c>
      <c r="L52" s="38">
        <v>1.3</v>
      </c>
      <c r="M52" s="38"/>
      <c r="N52" s="38"/>
      <c r="O52" s="39" t="s">
        <v>1050</v>
      </c>
      <c r="P52" s="30">
        <v>0.19</v>
      </c>
      <c r="Q52" s="60"/>
      <c r="R52" s="63">
        <f t="shared" si="18"/>
        <v>550000000</v>
      </c>
      <c r="S52" s="60">
        <f>6.5*6.02+1.76</f>
        <v>40.889999999999993</v>
      </c>
      <c r="T52" s="60"/>
      <c r="U52" s="60"/>
      <c r="V52" s="60"/>
      <c r="W52" s="60"/>
      <c r="X52" s="29">
        <f t="shared" si="10"/>
        <v>40.889999999999993</v>
      </c>
      <c r="Y52" s="63">
        <f>0.092/2</f>
        <v>4.5999999999999999E-2</v>
      </c>
      <c r="Z52" s="63">
        <v>1100000000</v>
      </c>
      <c r="AA52" s="64">
        <v>1</v>
      </c>
      <c r="AB52" s="63">
        <f t="shared" si="11"/>
        <v>1100000000</v>
      </c>
      <c r="AC52" s="5" t="s">
        <v>2096</v>
      </c>
      <c r="AD52" s="111">
        <f t="shared" si="12"/>
        <v>41.81818181818182</v>
      </c>
      <c r="AE52" s="29" t="str">
        <f t="shared" si="13"/>
        <v/>
      </c>
      <c r="AF52" s="29">
        <f t="shared" si="14"/>
        <v>462.02999907075565</v>
      </c>
      <c r="AG52" s="29" t="str">
        <f t="shared" si="15"/>
        <v/>
      </c>
      <c r="AH52" s="29">
        <f t="shared" si="16"/>
        <v>141.66604857812669</v>
      </c>
      <c r="AI52" s="33">
        <f t="shared" si="8"/>
        <v>4.2002727188250514E-7</v>
      </c>
      <c r="AJ52" s="48">
        <f t="shared" si="9"/>
        <v>232.07997542970895</v>
      </c>
    </row>
    <row r="53" spans="1:36" x14ac:dyDescent="0.3">
      <c r="A53" s="64">
        <v>2007</v>
      </c>
      <c r="B53" s="30">
        <v>19.100000000000001</v>
      </c>
      <c r="C53" s="61" t="s">
        <v>23</v>
      </c>
      <c r="D53" s="61" t="s">
        <v>1964</v>
      </c>
      <c r="E53" s="61">
        <v>0.18</v>
      </c>
      <c r="F53" s="27" t="s">
        <v>707</v>
      </c>
      <c r="G53" s="136" t="s">
        <v>2136</v>
      </c>
      <c r="H53" s="27" t="s">
        <v>131</v>
      </c>
      <c r="I53" s="27" t="s">
        <v>2478</v>
      </c>
      <c r="J53" s="149" t="str">
        <f t="shared" si="7"/>
        <v>https://doi.org/10.1109/VLSIC.2007.4342711</v>
      </c>
      <c r="K53" s="28" t="s">
        <v>1050</v>
      </c>
      <c r="L53" s="38">
        <v>1.62</v>
      </c>
      <c r="M53" s="38"/>
      <c r="N53" s="38"/>
      <c r="O53" s="39" t="s">
        <v>1050</v>
      </c>
      <c r="P53" s="30">
        <v>0.56000000000000005</v>
      </c>
      <c r="Q53" s="60"/>
      <c r="R53" s="63">
        <f t="shared" si="18"/>
        <v>11000000</v>
      </c>
      <c r="S53" s="60">
        <v>36</v>
      </c>
      <c r="T53" s="60"/>
      <c r="U53" s="60">
        <v>80</v>
      </c>
      <c r="V53" s="60"/>
      <c r="W53" s="60"/>
      <c r="X53" s="29">
        <f t="shared" si="10"/>
        <v>36</v>
      </c>
      <c r="Y53" s="63">
        <v>2.5400000000000002E-3</v>
      </c>
      <c r="Z53" s="63">
        <v>22000000</v>
      </c>
      <c r="AA53" s="64">
        <v>1</v>
      </c>
      <c r="AB53" s="63">
        <f t="shared" si="11"/>
        <v>22000000</v>
      </c>
      <c r="AC53" s="5" t="s">
        <v>2096</v>
      </c>
      <c r="AD53" s="111">
        <f t="shared" si="12"/>
        <v>115.45454545454545</v>
      </c>
      <c r="AE53" s="29" t="str">
        <f t="shared" si="13"/>
        <v/>
      </c>
      <c r="AF53" s="29">
        <f t="shared" si="14"/>
        <v>2239.9608573344199</v>
      </c>
      <c r="AG53" s="29" t="str">
        <f t="shared" si="15"/>
        <v/>
      </c>
      <c r="AH53" s="29">
        <f t="shared" si="16"/>
        <v>132.36558968538287</v>
      </c>
      <c r="AI53" s="33">
        <f t="shared" si="8"/>
        <v>1.0181640260610999E-4</v>
      </c>
      <c r="AJ53" s="48">
        <f t="shared" si="9"/>
        <v>205.78981649360495</v>
      </c>
    </row>
    <row r="54" spans="1:36" x14ac:dyDescent="0.3">
      <c r="A54" s="64">
        <v>2007</v>
      </c>
      <c r="B54" s="30">
        <v>19.2</v>
      </c>
      <c r="C54" s="61" t="s">
        <v>23</v>
      </c>
      <c r="D54" s="61" t="s">
        <v>26</v>
      </c>
      <c r="E54" s="61">
        <v>0.25</v>
      </c>
      <c r="F54" s="27" t="s">
        <v>708</v>
      </c>
      <c r="G54" s="136" t="s">
        <v>709</v>
      </c>
      <c r="H54" s="27" t="s">
        <v>132</v>
      </c>
      <c r="I54" s="27" t="s">
        <v>2479</v>
      </c>
      <c r="J54" s="149" t="str">
        <f t="shared" si="7"/>
        <v>https://doi.org/10.1109/VLSIC.2007.4342712</v>
      </c>
      <c r="K54" s="28" t="s">
        <v>1050</v>
      </c>
      <c r="L54" s="38"/>
      <c r="M54" s="38"/>
      <c r="N54" s="38"/>
      <c r="O54" s="39" t="s">
        <v>1050</v>
      </c>
      <c r="P54" s="30">
        <v>8</v>
      </c>
      <c r="Q54" s="60"/>
      <c r="R54" s="63">
        <f t="shared" si="18"/>
        <v>15000000</v>
      </c>
      <c r="S54" s="60">
        <v>70.7</v>
      </c>
      <c r="T54" s="60"/>
      <c r="U54" s="60"/>
      <c r="V54" s="60"/>
      <c r="W54" s="60">
        <v>82.2</v>
      </c>
      <c r="X54" s="29">
        <f t="shared" si="10"/>
        <v>70.7</v>
      </c>
      <c r="Y54" s="63">
        <v>0.10199999999999999</v>
      </c>
      <c r="Z54" s="63">
        <v>30000000</v>
      </c>
      <c r="AA54" s="64">
        <v>1</v>
      </c>
      <c r="AB54" s="63">
        <f t="shared" si="11"/>
        <v>30000000</v>
      </c>
      <c r="AC54" s="5" t="s">
        <v>2096</v>
      </c>
      <c r="AD54" s="111">
        <f t="shared" si="12"/>
        <v>3400</v>
      </c>
      <c r="AE54" s="29" t="str">
        <f t="shared" si="13"/>
        <v/>
      </c>
      <c r="AF54" s="29">
        <f t="shared" si="14"/>
        <v>1213.7672409133829</v>
      </c>
      <c r="AG54" s="29" t="str">
        <f t="shared" si="15"/>
        <v/>
      </c>
      <c r="AH54" s="29">
        <f t="shared" si="16"/>
        <v>152.37491087293762</v>
      </c>
      <c r="AI54" s="33">
        <f t="shared" si="8"/>
        <v>4.04589080304461E-5</v>
      </c>
      <c r="AJ54" s="48">
        <f t="shared" si="9"/>
        <v>227.14612342013424</v>
      </c>
    </row>
    <row r="55" spans="1:36" x14ac:dyDescent="0.3">
      <c r="A55" s="64">
        <v>2007</v>
      </c>
      <c r="B55" s="30">
        <v>19.3</v>
      </c>
      <c r="C55" s="61" t="s">
        <v>23</v>
      </c>
      <c r="D55" s="61" t="s">
        <v>26</v>
      </c>
      <c r="E55" s="61">
        <v>0.09</v>
      </c>
      <c r="F55" s="27" t="s">
        <v>2137</v>
      </c>
      <c r="G55" s="136" t="s">
        <v>2138</v>
      </c>
      <c r="H55" s="27" t="s">
        <v>133</v>
      </c>
      <c r="I55" s="27" t="s">
        <v>2480</v>
      </c>
      <c r="J55" s="149" t="str">
        <f t="shared" si="7"/>
        <v>https://doi.org/10.1109/VLSIC.2007.4342713</v>
      </c>
      <c r="K55" s="28" t="s">
        <v>1050</v>
      </c>
      <c r="L55" s="38">
        <v>1</v>
      </c>
      <c r="M55" s="38"/>
      <c r="N55" s="38"/>
      <c r="O55" s="39" t="s">
        <v>1050</v>
      </c>
      <c r="P55" s="30">
        <v>0.28000000000000003</v>
      </c>
      <c r="Q55" s="60"/>
      <c r="R55" s="63">
        <f t="shared" si="18"/>
        <v>20000000</v>
      </c>
      <c r="S55" s="60">
        <v>62</v>
      </c>
      <c r="T55" s="60"/>
      <c r="U55" s="60"/>
      <c r="V55" s="60"/>
      <c r="W55" s="60">
        <v>73</v>
      </c>
      <c r="X55" s="29">
        <f t="shared" si="10"/>
        <v>62</v>
      </c>
      <c r="Y55" s="63">
        <v>1.6E-2</v>
      </c>
      <c r="Z55" s="63">
        <v>40000000</v>
      </c>
      <c r="AA55" s="64">
        <v>1</v>
      </c>
      <c r="AB55" s="63">
        <f t="shared" si="11"/>
        <v>40000000</v>
      </c>
      <c r="AC55" s="5" t="s">
        <v>2096</v>
      </c>
      <c r="AD55" s="111">
        <f t="shared" si="12"/>
        <v>400</v>
      </c>
      <c r="AE55" s="29" t="str">
        <f t="shared" si="13"/>
        <v/>
      </c>
      <c r="AF55" s="29">
        <f t="shared" si="14"/>
        <v>388.830062710726</v>
      </c>
      <c r="AG55" s="29" t="str">
        <f t="shared" si="15"/>
        <v/>
      </c>
      <c r="AH55" s="29">
        <f t="shared" si="16"/>
        <v>152.96910013008056</v>
      </c>
      <c r="AI55" s="33">
        <f t="shared" si="8"/>
        <v>9.7207515677681491E-6</v>
      </c>
      <c r="AJ55" s="48">
        <f t="shared" si="9"/>
        <v>228.98970004336019</v>
      </c>
    </row>
    <row r="56" spans="1:36" x14ac:dyDescent="0.3">
      <c r="A56" s="64">
        <v>2007</v>
      </c>
      <c r="B56" s="30">
        <v>19.5</v>
      </c>
      <c r="C56" s="61" t="s">
        <v>23</v>
      </c>
      <c r="D56" s="61" t="s">
        <v>26</v>
      </c>
      <c r="E56" s="61">
        <v>0.09</v>
      </c>
      <c r="F56" s="27" t="s">
        <v>710</v>
      </c>
      <c r="G56" s="136" t="s">
        <v>2139</v>
      </c>
      <c r="H56" s="27" t="s">
        <v>134</v>
      </c>
      <c r="I56" s="27" t="s">
        <v>2481</v>
      </c>
      <c r="J56" s="149" t="str">
        <f t="shared" si="7"/>
        <v>https://doi.org/10.1109/VLSIC.2007.4342715</v>
      </c>
      <c r="K56" s="28" t="s">
        <v>1050</v>
      </c>
      <c r="L56" s="38"/>
      <c r="M56" s="38"/>
      <c r="N56" s="38"/>
      <c r="O56" s="39" t="s">
        <v>1050</v>
      </c>
      <c r="P56" s="30">
        <v>0.85</v>
      </c>
      <c r="Q56" s="60"/>
      <c r="R56" s="63">
        <f t="shared" si="18"/>
        <v>5000000</v>
      </c>
      <c r="S56" s="60">
        <v>48.1</v>
      </c>
      <c r="T56" s="60"/>
      <c r="U56" s="60"/>
      <c r="V56" s="60"/>
      <c r="W56" s="60"/>
      <c r="X56" s="29">
        <f t="shared" si="10"/>
        <v>48.1</v>
      </c>
      <c r="Y56" s="63">
        <v>2.3E-3</v>
      </c>
      <c r="Z56" s="63">
        <v>10000000</v>
      </c>
      <c r="AA56" s="64">
        <v>1</v>
      </c>
      <c r="AB56" s="63">
        <f t="shared" si="11"/>
        <v>10000000</v>
      </c>
      <c r="AC56" s="5" t="s">
        <v>2096</v>
      </c>
      <c r="AD56" s="111">
        <f t="shared" si="12"/>
        <v>230</v>
      </c>
      <c r="AE56" s="29" t="str">
        <f t="shared" si="13"/>
        <v/>
      </c>
      <c r="AF56" s="29">
        <f t="shared" si="14"/>
        <v>1107.8907571107877</v>
      </c>
      <c r="AG56" s="29" t="str">
        <f t="shared" si="15"/>
        <v/>
      </c>
      <c r="AH56" s="29">
        <f t="shared" si="16"/>
        <v>141.47242168318425</v>
      </c>
      <c r="AI56" s="33">
        <f t="shared" si="8"/>
        <v>1.1078907571107878E-4</v>
      </c>
      <c r="AJ56" s="48">
        <f t="shared" si="9"/>
        <v>211.47242168318425</v>
      </c>
    </row>
    <row r="57" spans="1:36" x14ac:dyDescent="0.3">
      <c r="A57" s="64">
        <v>2007</v>
      </c>
      <c r="B57" s="30">
        <v>23.1</v>
      </c>
      <c r="C57" s="61" t="s">
        <v>22</v>
      </c>
      <c r="D57" s="61" t="s">
        <v>30</v>
      </c>
      <c r="E57" s="61">
        <v>0.18</v>
      </c>
      <c r="F57" s="27" t="s">
        <v>711</v>
      </c>
      <c r="G57" s="136" t="s">
        <v>146</v>
      </c>
      <c r="H57" s="27" t="s">
        <v>248</v>
      </c>
      <c r="I57" s="27" t="s">
        <v>2482</v>
      </c>
      <c r="J57" s="149" t="str">
        <f t="shared" si="7"/>
        <v>https://doi.org/10.1109/VLSIC.2007.4342733</v>
      </c>
      <c r="K57" s="28" t="s">
        <v>1050</v>
      </c>
      <c r="L57" s="38">
        <v>1.2</v>
      </c>
      <c r="M57" s="38"/>
      <c r="N57" s="38"/>
      <c r="O57" s="39" t="s">
        <v>1050</v>
      </c>
      <c r="P57" s="30">
        <v>1.4</v>
      </c>
      <c r="Q57" s="60"/>
      <c r="R57" s="63">
        <v>7500000</v>
      </c>
      <c r="S57" s="60">
        <v>67</v>
      </c>
      <c r="T57" s="60"/>
      <c r="U57" s="60">
        <v>77</v>
      </c>
      <c r="V57" s="60"/>
      <c r="W57" s="60"/>
      <c r="X57" s="29">
        <f t="shared" si="10"/>
        <v>67</v>
      </c>
      <c r="Y57" s="63">
        <v>6.3600000000000004E-2</v>
      </c>
      <c r="Z57" s="63">
        <v>240000000</v>
      </c>
      <c r="AA57" s="64">
        <v>16</v>
      </c>
      <c r="AB57" s="63">
        <f t="shared" si="11"/>
        <v>15000000</v>
      </c>
      <c r="AC57" s="5" t="s">
        <v>2096</v>
      </c>
      <c r="AD57" s="111">
        <f t="shared" si="12"/>
        <v>4240</v>
      </c>
      <c r="AE57" s="29" t="str">
        <f t="shared" si="13"/>
        <v/>
      </c>
      <c r="AF57" s="29">
        <f t="shared" si="14"/>
        <v>2317.612301176734</v>
      </c>
      <c r="AG57" s="29" t="str">
        <f t="shared" si="15"/>
        <v/>
      </c>
      <c r="AH57" s="29">
        <f t="shared" si="16"/>
        <v>147.71604147743287</v>
      </c>
      <c r="AI57" s="33">
        <f t="shared" si="8"/>
        <v>1.5450748674511561E-4</v>
      </c>
      <c r="AJ57" s="48">
        <f t="shared" si="9"/>
        <v>219.47695406798968</v>
      </c>
    </row>
    <row r="58" spans="1:36" x14ac:dyDescent="0.3">
      <c r="A58" s="64">
        <v>2007</v>
      </c>
      <c r="B58" s="30">
        <v>23.2</v>
      </c>
      <c r="C58" s="61" t="s">
        <v>22</v>
      </c>
      <c r="D58" s="61" t="s">
        <v>1963</v>
      </c>
      <c r="E58" s="61">
        <v>0.35</v>
      </c>
      <c r="F58" s="27" t="s">
        <v>249</v>
      </c>
      <c r="G58" s="136" t="s">
        <v>2140</v>
      </c>
      <c r="H58" s="27" t="s">
        <v>250</v>
      </c>
      <c r="I58" s="27" t="s">
        <v>2483</v>
      </c>
      <c r="J58" s="149" t="str">
        <f t="shared" si="7"/>
        <v>https://doi.org/10.1109/VLSIC.2007.4342734</v>
      </c>
      <c r="K58" s="28" t="s">
        <v>1050</v>
      </c>
      <c r="L58" s="38">
        <v>1.2</v>
      </c>
      <c r="M58" s="38"/>
      <c r="N58" s="38"/>
      <c r="O58" s="39" t="s">
        <v>1050</v>
      </c>
      <c r="P58" s="30">
        <v>3.2399999999999998E-3</v>
      </c>
      <c r="Q58" s="60"/>
      <c r="R58" s="63">
        <v>8000</v>
      </c>
      <c r="S58" s="60">
        <v>63</v>
      </c>
      <c r="T58" s="60">
        <v>72</v>
      </c>
      <c r="U58" s="60">
        <v>76</v>
      </c>
      <c r="V58" s="60"/>
      <c r="W58" s="60"/>
      <c r="X58" s="29">
        <f t="shared" si="10"/>
        <v>63</v>
      </c>
      <c r="Y58" s="63">
        <v>5.5999999999999997E-6</v>
      </c>
      <c r="Z58" s="63">
        <v>2000000</v>
      </c>
      <c r="AA58" s="64">
        <v>125</v>
      </c>
      <c r="AB58" s="63">
        <f t="shared" si="11"/>
        <v>16000</v>
      </c>
      <c r="AC58" s="5" t="s">
        <v>2096</v>
      </c>
      <c r="AD58" s="111">
        <f t="shared" si="12"/>
        <v>350</v>
      </c>
      <c r="AE58" s="29" t="str">
        <f t="shared" si="13"/>
        <v/>
      </c>
      <c r="AF58" s="29">
        <f t="shared" si="14"/>
        <v>303.22353448580014</v>
      </c>
      <c r="AG58" s="29" t="str">
        <f t="shared" si="15"/>
        <v/>
      </c>
      <c r="AH58" s="29">
        <f t="shared" si="16"/>
        <v>154.54901959985744</v>
      </c>
      <c r="AI58" s="33">
        <f t="shared" si="8"/>
        <v>1.8951470905362509E-2</v>
      </c>
      <c r="AJ58" s="48">
        <f t="shared" si="9"/>
        <v>196.5902194264167</v>
      </c>
    </row>
    <row r="59" spans="1:36" x14ac:dyDescent="0.3">
      <c r="A59" s="64">
        <v>2007</v>
      </c>
      <c r="B59" s="30">
        <v>23.3</v>
      </c>
      <c r="C59" s="61" t="s">
        <v>22</v>
      </c>
      <c r="D59" s="61" t="s">
        <v>25</v>
      </c>
      <c r="E59" s="61">
        <v>0.18</v>
      </c>
      <c r="F59" s="27" t="s">
        <v>251</v>
      </c>
      <c r="G59" s="136" t="s">
        <v>147</v>
      </c>
      <c r="H59" s="27" t="s">
        <v>252</v>
      </c>
      <c r="I59" s="27" t="s">
        <v>2484</v>
      </c>
      <c r="J59" s="149" t="str">
        <f t="shared" si="7"/>
        <v>https://doi.org/10.1109/VLSIC.2007.4342735</v>
      </c>
      <c r="K59" s="28" t="s">
        <v>1050</v>
      </c>
      <c r="L59" s="38"/>
      <c r="M59" s="38"/>
      <c r="N59" s="38"/>
      <c r="O59" s="39" t="s">
        <v>1050</v>
      </c>
      <c r="P59" s="30">
        <v>14</v>
      </c>
      <c r="Q59" s="60"/>
      <c r="R59" s="63">
        <v>1250000</v>
      </c>
      <c r="S59" s="60"/>
      <c r="T59" s="60"/>
      <c r="U59" s="60">
        <v>84</v>
      </c>
      <c r="V59" s="60"/>
      <c r="W59" s="60"/>
      <c r="X59" s="29">
        <f t="shared" si="10"/>
        <v>84</v>
      </c>
      <c r="Y59" s="63">
        <f>0.046+0.018</f>
        <v>6.4000000000000001E-2</v>
      </c>
      <c r="Z59" s="63">
        <v>20000000</v>
      </c>
      <c r="AA59" s="64">
        <v>8</v>
      </c>
      <c r="AB59" s="63">
        <f t="shared" si="11"/>
        <v>2500000</v>
      </c>
      <c r="AC59" s="5" t="s">
        <v>2096</v>
      </c>
      <c r="AD59" s="111">
        <f t="shared" si="12"/>
        <v>25600</v>
      </c>
      <c r="AE59" s="29" t="str">
        <f t="shared" si="13"/>
        <v/>
      </c>
      <c r="AF59" s="29">
        <f t="shared" si="14"/>
        <v>1976.1967951831207</v>
      </c>
      <c r="AG59" s="29" t="str">
        <f t="shared" si="15"/>
        <v/>
      </c>
      <c r="AH59" s="29">
        <f t="shared" si="16"/>
        <v>156.90730039024169</v>
      </c>
      <c r="AI59" s="33">
        <f t="shared" si="8"/>
        <v>7.9047871807324827E-4</v>
      </c>
      <c r="AJ59" s="48">
        <f t="shared" si="9"/>
        <v>220.88670047696206</v>
      </c>
    </row>
    <row r="60" spans="1:36" ht="15" x14ac:dyDescent="0.3">
      <c r="A60" s="64">
        <v>2007</v>
      </c>
      <c r="B60" s="30">
        <v>23.4</v>
      </c>
      <c r="C60" s="61" t="s">
        <v>22</v>
      </c>
      <c r="D60" s="61" t="s">
        <v>253</v>
      </c>
      <c r="E60" s="61">
        <v>0.18</v>
      </c>
      <c r="F60" s="27" t="s">
        <v>254</v>
      </c>
      <c r="G60" s="136" t="s">
        <v>148</v>
      </c>
      <c r="H60" s="27" t="s">
        <v>1581</v>
      </c>
      <c r="I60" s="27" t="s">
        <v>2485</v>
      </c>
      <c r="J60" s="149" t="str">
        <f t="shared" si="7"/>
        <v>https://doi.org/10.1109/VLSIC.2007.4342736</v>
      </c>
      <c r="K60" s="28" t="s">
        <v>1050</v>
      </c>
      <c r="L60" s="38"/>
      <c r="M60" s="38"/>
      <c r="N60" s="38"/>
      <c r="O60" s="39" t="s">
        <v>1050</v>
      </c>
      <c r="P60" s="30">
        <v>3.5</v>
      </c>
      <c r="Q60" s="60"/>
      <c r="R60" s="63">
        <v>500000</v>
      </c>
      <c r="S60" s="60">
        <v>86.3</v>
      </c>
      <c r="T60" s="60"/>
      <c r="U60" s="60">
        <v>90.1</v>
      </c>
      <c r="V60" s="60"/>
      <c r="W60" s="60"/>
      <c r="X60" s="29">
        <f t="shared" si="10"/>
        <v>86.3</v>
      </c>
      <c r="Y60" s="63">
        <v>3.7999999999999999E-2</v>
      </c>
      <c r="Z60" s="63">
        <v>1000000</v>
      </c>
      <c r="AA60" s="64">
        <v>1</v>
      </c>
      <c r="AB60" s="63">
        <f t="shared" si="11"/>
        <v>1000000</v>
      </c>
      <c r="AC60" s="5" t="s">
        <v>2096</v>
      </c>
      <c r="AD60" s="111">
        <f t="shared" si="12"/>
        <v>37999.999999999993</v>
      </c>
      <c r="AE60" s="29" t="str">
        <f t="shared" si="13"/>
        <v/>
      </c>
      <c r="AF60" s="29">
        <f t="shared" si="14"/>
        <v>2250.9319302289005</v>
      </c>
      <c r="AG60" s="29" t="str">
        <f t="shared" si="15"/>
        <v/>
      </c>
      <c r="AH60" s="29">
        <f t="shared" si="16"/>
        <v>157.49186407719208</v>
      </c>
      <c r="AI60" s="33">
        <f t="shared" si="8"/>
        <v>2.2509319302289003E-3</v>
      </c>
      <c r="AJ60" s="48">
        <f t="shared" si="9"/>
        <v>217.49186407719208</v>
      </c>
    </row>
    <row r="61" spans="1:36" x14ac:dyDescent="0.3">
      <c r="A61" s="64">
        <v>2007</v>
      </c>
      <c r="B61" s="30">
        <v>23.5</v>
      </c>
      <c r="C61" s="61" t="s">
        <v>22</v>
      </c>
      <c r="D61" s="61" t="s">
        <v>1302</v>
      </c>
      <c r="E61" s="61">
        <v>0.13</v>
      </c>
      <c r="F61" s="27" t="s">
        <v>255</v>
      </c>
      <c r="G61" s="136" t="s">
        <v>149</v>
      </c>
      <c r="H61" s="27" t="s">
        <v>256</v>
      </c>
      <c r="I61" s="27" t="s">
        <v>2486</v>
      </c>
      <c r="J61" s="149" t="str">
        <f t="shared" si="7"/>
        <v>https://doi.org/10.1109/VLSIC.2007.4342737</v>
      </c>
      <c r="K61" s="28" t="s">
        <v>1050</v>
      </c>
      <c r="L61" s="38">
        <v>1.2</v>
      </c>
      <c r="M61" s="38"/>
      <c r="N61" s="38"/>
      <c r="O61" s="39" t="s">
        <v>1050</v>
      </c>
      <c r="P61" s="30">
        <v>0.185</v>
      </c>
      <c r="Q61" s="60"/>
      <c r="R61" s="63">
        <v>20000000</v>
      </c>
      <c r="S61" s="60"/>
      <c r="T61" s="60">
        <v>60</v>
      </c>
      <c r="U61" s="60"/>
      <c r="V61" s="60"/>
      <c r="W61" s="60"/>
      <c r="X61" s="29">
        <f t="shared" si="10"/>
        <v>60</v>
      </c>
      <c r="Y61" s="63">
        <f>0.032*1.2</f>
        <v>3.8399999999999997E-2</v>
      </c>
      <c r="Z61" s="63">
        <v>950000000</v>
      </c>
      <c r="AA61" s="64">
        <v>23.75</v>
      </c>
      <c r="AB61" s="63">
        <f t="shared" si="11"/>
        <v>40000000</v>
      </c>
      <c r="AC61" s="5" t="s">
        <v>2096</v>
      </c>
      <c r="AD61" s="111">
        <f t="shared" si="12"/>
        <v>960</v>
      </c>
      <c r="AE61" s="29" t="str">
        <f t="shared" si="13"/>
        <v/>
      </c>
      <c r="AF61" s="29">
        <f t="shared" si="14"/>
        <v>1174.846270114193</v>
      </c>
      <c r="AG61" s="29" t="str">
        <f t="shared" si="15"/>
        <v/>
      </c>
      <c r="AH61" s="29">
        <f t="shared" si="16"/>
        <v>147.1669877129645</v>
      </c>
      <c r="AI61" s="33">
        <f t="shared" si="8"/>
        <v>2.9371156752854824E-5</v>
      </c>
      <c r="AJ61" s="48">
        <f t="shared" si="9"/>
        <v>223.18758762624412</v>
      </c>
    </row>
    <row r="62" spans="1:36" x14ac:dyDescent="0.3">
      <c r="A62" s="59">
        <v>2008</v>
      </c>
      <c r="B62" s="30">
        <v>8.1</v>
      </c>
      <c r="C62" s="61" t="s">
        <v>23</v>
      </c>
      <c r="D62" s="61" t="s">
        <v>260</v>
      </c>
      <c r="E62" s="61">
        <v>6.5000000000000002E-2</v>
      </c>
      <c r="F62" s="28" t="s">
        <v>294</v>
      </c>
      <c r="G62" s="28" t="s">
        <v>2141</v>
      </c>
      <c r="H62" s="28" t="s">
        <v>295</v>
      </c>
      <c r="I62" s="28" t="s">
        <v>2929</v>
      </c>
      <c r="J62" s="149" t="str">
        <f t="shared" si="7"/>
        <v>https://doi.org/10.1109/VLSIC.2008.4585956</v>
      </c>
      <c r="K62" s="28" t="s">
        <v>1050</v>
      </c>
      <c r="L62" s="38">
        <v>1.2</v>
      </c>
      <c r="M62" s="38"/>
      <c r="N62" s="38"/>
      <c r="O62" s="39" t="s">
        <v>1050</v>
      </c>
      <c r="P62" s="30">
        <v>0.12</v>
      </c>
      <c r="Q62" s="60"/>
      <c r="R62" s="63">
        <f t="shared" ref="R62:R67" si="19">Z62/2</f>
        <v>400000000</v>
      </c>
      <c r="S62" s="60">
        <v>44.2</v>
      </c>
      <c r="T62" s="60">
        <v>45</v>
      </c>
      <c r="V62" s="60">
        <v>51</v>
      </c>
      <c r="W62" s="60"/>
      <c r="X62" s="29">
        <f t="shared" si="10"/>
        <v>44.2</v>
      </c>
      <c r="Y62" s="63">
        <v>0.3</v>
      </c>
      <c r="Z62" s="80">
        <v>800000000</v>
      </c>
      <c r="AA62" s="64">
        <v>1</v>
      </c>
      <c r="AB62" s="63">
        <f t="shared" si="11"/>
        <v>800000000</v>
      </c>
      <c r="AC62" s="5" t="s">
        <v>2096</v>
      </c>
      <c r="AD62" s="111">
        <f t="shared" si="12"/>
        <v>375</v>
      </c>
      <c r="AE62" s="29" t="str">
        <f t="shared" si="13"/>
        <v/>
      </c>
      <c r="AF62" s="29">
        <f t="shared" si="14"/>
        <v>2830.2174431829476</v>
      </c>
      <c r="AG62" s="29" t="str">
        <f t="shared" si="15"/>
        <v/>
      </c>
      <c r="AH62" s="29">
        <f t="shared" si="16"/>
        <v>135.44938736608299</v>
      </c>
      <c r="AI62" s="33">
        <f t="shared" si="8"/>
        <v>3.5377718039786844E-6</v>
      </c>
      <c r="AJ62" s="48">
        <f t="shared" si="9"/>
        <v>224.48028723600243</v>
      </c>
    </row>
    <row r="63" spans="1:36" x14ac:dyDescent="0.3">
      <c r="A63" s="64">
        <v>2008</v>
      </c>
      <c r="B63" s="30">
        <v>8.1999999999999993</v>
      </c>
      <c r="C63" s="61" t="s">
        <v>23</v>
      </c>
      <c r="D63" s="61" t="s">
        <v>26</v>
      </c>
      <c r="E63" s="61">
        <v>0.09</v>
      </c>
      <c r="F63" s="28" t="s">
        <v>296</v>
      </c>
      <c r="G63" s="28" t="s">
        <v>298</v>
      </c>
      <c r="H63" s="28" t="s">
        <v>297</v>
      </c>
      <c r="I63" s="28" t="s">
        <v>2487</v>
      </c>
      <c r="J63" s="149" t="str">
        <f t="shared" si="7"/>
        <v>https://doi.org/10.1109/VLSIC.2008.4585957</v>
      </c>
      <c r="K63" s="28" t="s">
        <v>1050</v>
      </c>
      <c r="L63" s="38">
        <v>1.2</v>
      </c>
      <c r="M63" s="38"/>
      <c r="N63" s="38"/>
      <c r="O63" s="39" t="s">
        <v>1050</v>
      </c>
      <c r="P63" s="30">
        <v>1</v>
      </c>
      <c r="Q63" s="60"/>
      <c r="R63" s="63">
        <f t="shared" si="19"/>
        <v>50000000</v>
      </c>
      <c r="S63" s="60">
        <v>70</v>
      </c>
      <c r="T63" s="60">
        <v>70</v>
      </c>
      <c r="U63" s="60"/>
      <c r="V63" s="60"/>
      <c r="W63" s="60">
        <v>80</v>
      </c>
      <c r="X63" s="29">
        <f t="shared" si="10"/>
        <v>70</v>
      </c>
      <c r="Y63" s="63">
        <v>0.25</v>
      </c>
      <c r="Z63" s="80">
        <v>100000000</v>
      </c>
      <c r="AA63" s="64">
        <v>1</v>
      </c>
      <c r="AB63" s="63">
        <f t="shared" si="11"/>
        <v>100000000</v>
      </c>
      <c r="AC63" s="5" t="s">
        <v>2096</v>
      </c>
      <c r="AD63" s="111">
        <f t="shared" si="12"/>
        <v>2500</v>
      </c>
      <c r="AE63" s="29" t="str">
        <f t="shared" si="13"/>
        <v/>
      </c>
      <c r="AF63" s="29">
        <f t="shared" si="14"/>
        <v>967.38643076354731</v>
      </c>
      <c r="AG63" s="29" t="str">
        <f t="shared" si="15"/>
        <v/>
      </c>
      <c r="AH63" s="29">
        <f t="shared" si="16"/>
        <v>153.01029995663981</v>
      </c>
      <c r="AI63" s="33">
        <f t="shared" si="8"/>
        <v>9.6738643076354738E-6</v>
      </c>
      <c r="AJ63" s="48">
        <f t="shared" si="9"/>
        <v>233.01029995663981</v>
      </c>
    </row>
    <row r="64" spans="1:36" x14ac:dyDescent="0.3">
      <c r="A64" s="64">
        <v>2008</v>
      </c>
      <c r="B64" s="30">
        <v>2.1</v>
      </c>
      <c r="C64" s="61" t="s">
        <v>23</v>
      </c>
      <c r="D64" s="61" t="s">
        <v>27</v>
      </c>
      <c r="E64" s="61">
        <v>6.5000000000000002E-2</v>
      </c>
      <c r="F64" s="28" t="s">
        <v>299</v>
      </c>
      <c r="G64" s="28" t="s">
        <v>2142</v>
      </c>
      <c r="H64" s="28" t="s">
        <v>300</v>
      </c>
      <c r="I64" s="28" t="s">
        <v>2488</v>
      </c>
      <c r="J64" s="149" t="str">
        <f t="shared" si="7"/>
        <v>https://doi.org/10.1109/JSSC.2009.2014701</v>
      </c>
      <c r="K64" s="28" t="s">
        <v>1050</v>
      </c>
      <c r="L64" s="38">
        <v>1.2</v>
      </c>
      <c r="M64" s="38"/>
      <c r="N64" s="38"/>
      <c r="O64" s="39" t="s">
        <v>1050</v>
      </c>
      <c r="P64" s="30">
        <v>0.13</v>
      </c>
      <c r="Q64" s="60"/>
      <c r="R64" s="63">
        <f t="shared" si="19"/>
        <v>400000000</v>
      </c>
      <c r="S64" s="60">
        <f>5.3*6.02+1.76</f>
        <v>33.665999999999997</v>
      </c>
      <c r="T64" s="60"/>
      <c r="V64" s="60"/>
      <c r="W64" s="60"/>
      <c r="X64" s="29">
        <f t="shared" si="10"/>
        <v>33.665999999999997</v>
      </c>
      <c r="Y64" s="63">
        <v>1.2E-2</v>
      </c>
      <c r="Z64" s="80">
        <v>800000000</v>
      </c>
      <c r="AA64" s="64">
        <v>1</v>
      </c>
      <c r="AB64" s="63">
        <f t="shared" si="11"/>
        <v>800000000</v>
      </c>
      <c r="AC64" s="5" t="s">
        <v>2096</v>
      </c>
      <c r="AD64" s="111">
        <f t="shared" si="12"/>
        <v>15</v>
      </c>
      <c r="AE64" s="29" t="str">
        <f t="shared" si="13"/>
        <v/>
      </c>
      <c r="AF64" s="29">
        <f t="shared" si="14"/>
        <v>380.74331079198555</v>
      </c>
      <c r="AG64" s="29" t="str">
        <f t="shared" si="15"/>
        <v/>
      </c>
      <c r="AH64" s="29">
        <f t="shared" si="16"/>
        <v>138.89478745280337</v>
      </c>
      <c r="AI64" s="33">
        <f t="shared" si="8"/>
        <v>4.7592913848998193E-7</v>
      </c>
      <c r="AJ64" s="48">
        <f t="shared" si="9"/>
        <v>227.92568732272281</v>
      </c>
    </row>
    <row r="65" spans="1:36" x14ac:dyDescent="0.3">
      <c r="A65" s="64">
        <v>2008</v>
      </c>
      <c r="B65" s="30">
        <v>2.2000000000000002</v>
      </c>
      <c r="C65" s="61" t="s">
        <v>23</v>
      </c>
      <c r="D65" s="61" t="s">
        <v>27</v>
      </c>
      <c r="E65" s="61">
        <v>0.09</v>
      </c>
      <c r="F65" s="28" t="s">
        <v>301</v>
      </c>
      <c r="G65" s="28" t="s">
        <v>302</v>
      </c>
      <c r="H65" s="28" t="s">
        <v>303</v>
      </c>
      <c r="I65" s="28" t="s">
        <v>2489</v>
      </c>
      <c r="J65" s="149" t="str">
        <f t="shared" si="7"/>
        <v>https://doi.org/10.1109/VLSIC.2008.4585933</v>
      </c>
      <c r="K65" s="28" t="s">
        <v>1050</v>
      </c>
      <c r="L65" s="38">
        <v>1</v>
      </c>
      <c r="M65" s="38"/>
      <c r="N65" s="38"/>
      <c r="O65" s="39" t="s">
        <v>1050</v>
      </c>
      <c r="P65" s="30">
        <v>3.0800000000000001E-2</v>
      </c>
      <c r="Q65" s="60"/>
      <c r="R65" s="63">
        <f t="shared" si="19"/>
        <v>875000000</v>
      </c>
      <c r="S65" s="60">
        <v>30</v>
      </c>
      <c r="T65" s="60"/>
      <c r="V65" s="60"/>
      <c r="W65" s="60"/>
      <c r="X65" s="29">
        <f t="shared" si="10"/>
        <v>30</v>
      </c>
      <c r="Y65" s="63">
        <v>7.6E-3</v>
      </c>
      <c r="Z65" s="80">
        <v>1750000000</v>
      </c>
      <c r="AA65" s="64">
        <v>1</v>
      </c>
      <c r="AB65" s="63">
        <f t="shared" si="11"/>
        <v>1750000000</v>
      </c>
      <c r="AC65" s="5" t="s">
        <v>2096</v>
      </c>
      <c r="AD65" s="111">
        <f t="shared" si="12"/>
        <v>4.3428571428571434</v>
      </c>
      <c r="AE65" s="29" t="str">
        <f t="shared" si="13"/>
        <v/>
      </c>
      <c r="AF65" s="29">
        <f t="shared" si="14"/>
        <v>168.12598162509204</v>
      </c>
      <c r="AG65" s="29" t="str">
        <f t="shared" si="15"/>
        <v/>
      </c>
      <c r="AH65" s="29">
        <f t="shared" si="16"/>
        <v>140.61194460741521</v>
      </c>
      <c r="AI65" s="33">
        <f t="shared" si="8"/>
        <v>9.6071989500052599E-8</v>
      </c>
      <c r="AJ65" s="48">
        <f t="shared" si="9"/>
        <v>233.04232509427817</v>
      </c>
    </row>
    <row r="66" spans="1:36" x14ac:dyDescent="0.3">
      <c r="A66" s="64">
        <v>2008</v>
      </c>
      <c r="B66" s="30">
        <v>2.2999999999999998</v>
      </c>
      <c r="C66" s="61" t="s">
        <v>23</v>
      </c>
      <c r="D66" s="61" t="s">
        <v>27</v>
      </c>
      <c r="E66" s="61">
        <v>6.5000000000000002E-2</v>
      </c>
      <c r="F66" s="28" t="s">
        <v>304</v>
      </c>
      <c r="G66" s="28" t="s">
        <v>2143</v>
      </c>
      <c r="H66" s="28" t="s">
        <v>305</v>
      </c>
      <c r="I66" s="28" t="s">
        <v>2490</v>
      </c>
      <c r="J66" s="149" t="str">
        <f t="shared" si="7"/>
        <v>https://doi.org/10.1109/VLSIC.2008.4585934</v>
      </c>
      <c r="K66" s="28" t="s">
        <v>1050</v>
      </c>
      <c r="L66" s="38"/>
      <c r="M66" s="38"/>
      <c r="N66" s="38"/>
      <c r="O66" s="39" t="s">
        <v>1050</v>
      </c>
      <c r="P66" s="30">
        <v>0.3</v>
      </c>
      <c r="Q66" s="60"/>
      <c r="R66" s="63">
        <f t="shared" si="19"/>
        <v>2500000000</v>
      </c>
      <c r="S66" s="60">
        <v>32</v>
      </c>
      <c r="T66" s="60"/>
      <c r="V66" s="60"/>
      <c r="W66" s="60"/>
      <c r="X66" s="29">
        <f t="shared" si="10"/>
        <v>32</v>
      </c>
      <c r="Y66" s="63">
        <v>0.32</v>
      </c>
      <c r="Z66" s="80">
        <v>5000000000</v>
      </c>
      <c r="AA66" s="64">
        <v>1</v>
      </c>
      <c r="AB66" s="63">
        <f t="shared" si="11"/>
        <v>5000000000</v>
      </c>
      <c r="AC66" s="5" t="s">
        <v>2096</v>
      </c>
      <c r="AD66" s="111">
        <f t="shared" si="12"/>
        <v>64</v>
      </c>
      <c r="AE66" s="29" t="str">
        <f t="shared" si="13"/>
        <v/>
      </c>
      <c r="AF66" s="29">
        <f t="shared" si="14"/>
        <v>1968.0190504431928</v>
      </c>
      <c r="AG66" s="29" t="str">
        <f t="shared" si="15"/>
        <v/>
      </c>
      <c r="AH66" s="29">
        <f t="shared" si="16"/>
        <v>130.92790030352131</v>
      </c>
      <c r="AI66" s="33">
        <f t="shared" si="8"/>
        <v>3.9360381008863854E-7</v>
      </c>
      <c r="AJ66" s="48">
        <f t="shared" si="9"/>
        <v>227.9176003468815</v>
      </c>
    </row>
    <row r="67" spans="1:36" x14ac:dyDescent="0.3">
      <c r="A67" s="64">
        <v>2008</v>
      </c>
      <c r="B67" s="30">
        <v>2.4</v>
      </c>
      <c r="C67" s="61" t="s">
        <v>23</v>
      </c>
      <c r="D67" s="61" t="s">
        <v>260</v>
      </c>
      <c r="E67" s="61">
        <v>0.09</v>
      </c>
      <c r="F67" s="28" t="s">
        <v>306</v>
      </c>
      <c r="G67" s="28" t="s">
        <v>308</v>
      </c>
      <c r="H67" s="28" t="s">
        <v>307</v>
      </c>
      <c r="I67" s="28" t="s">
        <v>2491</v>
      </c>
      <c r="J67" s="149" t="str">
        <f t="shared" ref="J67:J129" si="20">IF(I67&lt;&gt;"?", HYPERLINK(CONCATENATE("https://doi.org/",I67)), "")</f>
        <v>https://doi.org/10.1109/VLSIC.2008.4585935</v>
      </c>
      <c r="K67" s="28" t="s">
        <v>1050</v>
      </c>
      <c r="L67" s="38"/>
      <c r="M67" s="38"/>
      <c r="N67" s="38"/>
      <c r="O67" s="39" t="s">
        <v>1050</v>
      </c>
      <c r="Q67" s="60"/>
      <c r="R67" s="63">
        <f t="shared" si="19"/>
        <v>5150000000</v>
      </c>
      <c r="S67" s="60">
        <v>32.4</v>
      </c>
      <c r="T67" s="60"/>
      <c r="V67" s="60"/>
      <c r="W67" s="60"/>
      <c r="X67" s="29">
        <f t="shared" ref="X67:X98" si="21">+IF(ISNUMBER($S67),$S67,MIN($V67,$T67,$U67,$W67))</f>
        <v>32.4</v>
      </c>
      <c r="Y67" s="30">
        <v>1.6</v>
      </c>
      <c r="Z67" s="80">
        <v>10300000000</v>
      </c>
      <c r="AA67" s="64">
        <v>1</v>
      </c>
      <c r="AB67" s="63">
        <f t="shared" ref="AB67:AB85" si="22">Z67/AA67</f>
        <v>10300000000</v>
      </c>
      <c r="AC67" s="5" t="s">
        <v>2096</v>
      </c>
      <c r="AD67" s="111">
        <f t="shared" si="12"/>
        <v>155.33980582524273</v>
      </c>
      <c r="AE67" s="29" t="str">
        <f t="shared" si="13"/>
        <v/>
      </c>
      <c r="AF67" s="29">
        <f t="shared" si="14"/>
        <v>4561.7353815189999</v>
      </c>
      <c r="AG67" s="29" t="str">
        <f t="shared" si="15"/>
        <v/>
      </c>
      <c r="AH67" s="29">
        <f t="shared" si="16"/>
        <v>127.47687246385266</v>
      </c>
      <c r="AI67" s="33">
        <f t="shared" si="8"/>
        <v>4.4288693024456308E-7</v>
      </c>
      <c r="AJ67" s="48">
        <f t="shared" si="9"/>
        <v>227.6052447109044</v>
      </c>
    </row>
    <row r="68" spans="1:36" x14ac:dyDescent="0.3">
      <c r="A68" s="64">
        <v>2008</v>
      </c>
      <c r="B68" s="30">
        <v>18.2</v>
      </c>
      <c r="C68" s="61" t="s">
        <v>22</v>
      </c>
      <c r="D68" s="61" t="s">
        <v>25</v>
      </c>
      <c r="E68" s="61">
        <v>0.18</v>
      </c>
      <c r="F68" s="28" t="s">
        <v>309</v>
      </c>
      <c r="G68" s="28" t="s">
        <v>310</v>
      </c>
      <c r="H68" s="28" t="s">
        <v>311</v>
      </c>
      <c r="I68" s="28" t="s">
        <v>2930</v>
      </c>
      <c r="J68" s="149" t="str">
        <f t="shared" si="20"/>
        <v>https://doi.org/10.1109/VLSIC.2008.4585997</v>
      </c>
      <c r="K68" s="28" t="s">
        <v>1050</v>
      </c>
      <c r="L68" s="38">
        <v>0.7</v>
      </c>
      <c r="M68" s="38"/>
      <c r="N68" s="38"/>
      <c r="O68" s="39" t="s">
        <v>1050</v>
      </c>
      <c r="P68" s="30">
        <v>2.16</v>
      </c>
      <c r="Q68" s="60"/>
      <c r="R68" s="63">
        <v>25000</v>
      </c>
      <c r="S68" s="60">
        <v>95</v>
      </c>
      <c r="T68" s="60">
        <v>100</v>
      </c>
      <c r="U68" s="30">
        <v>100</v>
      </c>
      <c r="V68" s="60"/>
      <c r="W68" s="60"/>
      <c r="X68" s="29">
        <f t="shared" si="21"/>
        <v>95</v>
      </c>
      <c r="Y68" s="63">
        <v>8.7000000000000001E-4</v>
      </c>
      <c r="Z68" s="80">
        <v>5000000</v>
      </c>
      <c r="AA68" s="64">
        <v>100</v>
      </c>
      <c r="AB68" s="63">
        <f t="shared" si="22"/>
        <v>50000</v>
      </c>
      <c r="AC68" s="5" t="s">
        <v>2096</v>
      </c>
      <c r="AD68" s="111">
        <f t="shared" si="12"/>
        <v>17400</v>
      </c>
      <c r="AE68" s="29" t="str">
        <f t="shared" si="13"/>
        <v/>
      </c>
      <c r="AF68" s="29">
        <f t="shared" si="14"/>
        <v>378.51636804319782</v>
      </c>
      <c r="AG68" s="29" t="str">
        <f t="shared" si="15"/>
        <v/>
      </c>
      <c r="AH68" s="29">
        <f t="shared" si="16"/>
        <v>169.5842075605342</v>
      </c>
      <c r="AI68" s="33">
        <f t="shared" ref="AI68:AI131" si="23">AF68/AB68</f>
        <v>7.5703273608639567E-3</v>
      </c>
      <c r="AJ68" s="48">
        <f t="shared" ref="AJ68:AJ131" si="24">AH68+10*LOG10(AB68)</f>
        <v>216.57390760389438</v>
      </c>
    </row>
    <row r="69" spans="1:36" x14ac:dyDescent="0.3">
      <c r="A69" s="64">
        <v>2008</v>
      </c>
      <c r="B69" s="30">
        <v>18.3</v>
      </c>
      <c r="C69" s="61" t="s">
        <v>22</v>
      </c>
      <c r="D69" s="61" t="s">
        <v>30</v>
      </c>
      <c r="E69" s="61">
        <v>6.5000000000000002E-2</v>
      </c>
      <c r="F69" s="28" t="s">
        <v>312</v>
      </c>
      <c r="G69" s="28" t="s">
        <v>313</v>
      </c>
      <c r="H69" s="28" t="s">
        <v>314</v>
      </c>
      <c r="I69" s="28" t="s">
        <v>2492</v>
      </c>
      <c r="J69" s="149" t="str">
        <f t="shared" si="20"/>
        <v>https://doi.org/10.1109/VLSIC.2008.4585998</v>
      </c>
      <c r="K69" s="28" t="s">
        <v>1050</v>
      </c>
      <c r="L69" s="38"/>
      <c r="M69" s="38"/>
      <c r="N69" s="38"/>
      <c r="O69" s="39" t="s">
        <v>1050</v>
      </c>
      <c r="P69" s="30">
        <v>0.18</v>
      </c>
      <c r="Q69" s="60"/>
      <c r="R69" s="63">
        <v>100000</v>
      </c>
      <c r="S69" s="60"/>
      <c r="T69" s="60">
        <v>84</v>
      </c>
      <c r="U69" s="30">
        <v>86</v>
      </c>
      <c r="V69" s="60"/>
      <c r="W69" s="60"/>
      <c r="X69" s="29">
        <f t="shared" si="21"/>
        <v>84</v>
      </c>
      <c r="Y69" s="63">
        <v>2.0999999999999999E-3</v>
      </c>
      <c r="Z69" s="80">
        <v>26000000</v>
      </c>
      <c r="AA69" s="64">
        <v>130</v>
      </c>
      <c r="AB69" s="63">
        <f t="shared" si="22"/>
        <v>200000</v>
      </c>
      <c r="AC69" s="5" t="s">
        <v>2096</v>
      </c>
      <c r="AD69" s="111">
        <f t="shared" si="12"/>
        <v>10500</v>
      </c>
      <c r="AE69" s="29" t="str">
        <f t="shared" si="13"/>
        <v/>
      </c>
      <c r="AF69" s="29">
        <f t="shared" si="14"/>
        <v>810.5494667743269</v>
      </c>
      <c r="AG69" s="29" t="str">
        <f t="shared" si="15"/>
        <v/>
      </c>
      <c r="AH69" s="29">
        <f t="shared" si="16"/>
        <v>160.77780705266082</v>
      </c>
      <c r="AI69" s="33">
        <f t="shared" si="23"/>
        <v>4.0527473338716341E-3</v>
      </c>
      <c r="AJ69" s="48">
        <f t="shared" si="24"/>
        <v>213.78810700930063</v>
      </c>
    </row>
    <row r="70" spans="1:36" x14ac:dyDescent="0.3">
      <c r="A70" s="64">
        <v>2008</v>
      </c>
      <c r="B70" s="30">
        <v>18.3</v>
      </c>
      <c r="C70" s="61" t="s">
        <v>22</v>
      </c>
      <c r="D70" s="61" t="s">
        <v>30</v>
      </c>
      <c r="E70" s="61">
        <v>6.5000000000000002E-2</v>
      </c>
      <c r="F70" s="28" t="s">
        <v>312</v>
      </c>
      <c r="G70" s="28" t="s">
        <v>313</v>
      </c>
      <c r="H70" s="28" t="str">
        <f>+IF(OR(ISBLANK(H69),ISERROR(H69)),"",H69)</f>
        <v>M. Vadipour, C. Chen, A. Yazdi, M. Nariman, T. Li, P. Kilcoyne, H. Darabi</v>
      </c>
      <c r="I70" s="28" t="s">
        <v>2492</v>
      </c>
      <c r="J70" s="149" t="str">
        <f t="shared" si="20"/>
        <v>https://doi.org/10.1109/VLSIC.2008.4585998</v>
      </c>
      <c r="K70" s="28" t="s">
        <v>1050</v>
      </c>
      <c r="L70" s="38"/>
      <c r="M70" s="38"/>
      <c r="N70" s="38"/>
      <c r="O70" s="39" t="s">
        <v>1050</v>
      </c>
      <c r="P70" s="30">
        <v>0.18</v>
      </c>
      <c r="Q70" s="60"/>
      <c r="R70" s="63">
        <v>1920000</v>
      </c>
      <c r="S70" s="60"/>
      <c r="T70" s="60">
        <v>61</v>
      </c>
      <c r="U70" s="30">
        <v>63</v>
      </c>
      <c r="V70" s="60"/>
      <c r="W70" s="60"/>
      <c r="X70" s="29">
        <f t="shared" si="21"/>
        <v>61</v>
      </c>
      <c r="Y70" s="63">
        <v>3.2000000000000002E-3</v>
      </c>
      <c r="Z70" s="80">
        <v>62400000</v>
      </c>
      <c r="AA70" s="64">
        <v>16.25</v>
      </c>
      <c r="AB70" s="63">
        <f t="shared" si="22"/>
        <v>3840000</v>
      </c>
      <c r="AC70" s="5" t="s">
        <v>2096</v>
      </c>
      <c r="AD70" s="111">
        <f t="shared" si="12"/>
        <v>833.33333333333337</v>
      </c>
      <c r="AE70" s="29" t="str">
        <f t="shared" si="13"/>
        <v/>
      </c>
      <c r="AF70" s="29">
        <f t="shared" si="14"/>
        <v>908.91564867255147</v>
      </c>
      <c r="AG70" s="29" t="str">
        <f t="shared" si="15"/>
        <v/>
      </c>
      <c r="AH70" s="29">
        <f t="shared" si="16"/>
        <v>148.78151250383644</v>
      </c>
      <c r="AI70" s="33">
        <f t="shared" si="23"/>
        <v>2.3669678350847695E-4</v>
      </c>
      <c r="AJ70" s="48">
        <f t="shared" si="24"/>
        <v>214.62482474751175</v>
      </c>
    </row>
    <row r="71" spans="1:36" x14ac:dyDescent="0.3">
      <c r="A71" s="64">
        <v>2008</v>
      </c>
      <c r="B71" s="30">
        <v>18.399999999999999</v>
      </c>
      <c r="C71" s="61" t="s">
        <v>22</v>
      </c>
      <c r="D71" s="61" t="s">
        <v>253</v>
      </c>
      <c r="E71" s="61">
        <v>0.18</v>
      </c>
      <c r="F71" s="28" t="s">
        <v>2144</v>
      </c>
      <c r="G71" s="28" t="s">
        <v>2145</v>
      </c>
      <c r="H71" s="28" t="s">
        <v>315</v>
      </c>
      <c r="I71" s="28" t="s">
        <v>2931</v>
      </c>
      <c r="J71" s="149" t="str">
        <f t="shared" si="20"/>
        <v>https://doi.org/10.1109/VLSIC.2008.4585999</v>
      </c>
      <c r="K71" s="28" t="s">
        <v>1057</v>
      </c>
      <c r="L71" s="38">
        <v>2</v>
      </c>
      <c r="M71" s="38"/>
      <c r="N71" s="38"/>
      <c r="O71" s="39" t="s">
        <v>1050</v>
      </c>
      <c r="P71" s="30">
        <v>0.5</v>
      </c>
      <c r="Q71" s="60"/>
      <c r="R71" s="63">
        <v>11500000</v>
      </c>
      <c r="S71" s="60">
        <v>68</v>
      </c>
      <c r="T71" s="60">
        <v>68</v>
      </c>
      <c r="V71" s="60"/>
      <c r="W71" s="60">
        <v>81</v>
      </c>
      <c r="X71" s="29">
        <f t="shared" si="21"/>
        <v>68</v>
      </c>
      <c r="Y71" s="63">
        <v>4.8000000000000001E-2</v>
      </c>
      <c r="Z71" s="80">
        <v>115000000</v>
      </c>
      <c r="AA71" s="64">
        <v>5</v>
      </c>
      <c r="AB71" s="63">
        <f t="shared" si="22"/>
        <v>23000000</v>
      </c>
      <c r="AC71" s="5" t="s">
        <v>2096</v>
      </c>
      <c r="AD71" s="111">
        <f t="shared" si="12"/>
        <v>2086.9565217391305</v>
      </c>
      <c r="AE71" s="29" t="str">
        <f t="shared" si="13"/>
        <v/>
      </c>
      <c r="AF71" s="29">
        <f t="shared" si="14"/>
        <v>1016.6778208797177</v>
      </c>
      <c r="AG71" s="29" t="str">
        <f t="shared" si="15"/>
        <v/>
      </c>
      <c r="AH71" s="29">
        <f t="shared" si="16"/>
        <v>151.79456602978024</v>
      </c>
      <c r="AI71" s="33">
        <f t="shared" si="23"/>
        <v>4.4203383516509468E-5</v>
      </c>
      <c r="AJ71" s="48">
        <f t="shared" si="24"/>
        <v>225.41184438995617</v>
      </c>
    </row>
    <row r="72" spans="1:36" x14ac:dyDescent="0.3">
      <c r="A72" s="64">
        <v>2008</v>
      </c>
      <c r="B72" s="30">
        <v>22.1</v>
      </c>
      <c r="C72" s="61" t="s">
        <v>23</v>
      </c>
      <c r="D72" s="61" t="s">
        <v>26</v>
      </c>
      <c r="E72" s="61">
        <v>0.09</v>
      </c>
      <c r="F72" s="28" t="s">
        <v>316</v>
      </c>
      <c r="G72" s="28" t="s">
        <v>317</v>
      </c>
      <c r="H72" s="28" t="s">
        <v>318</v>
      </c>
      <c r="I72" s="28" t="s">
        <v>2493</v>
      </c>
      <c r="J72" s="149" t="str">
        <f t="shared" si="20"/>
        <v>https://doi.org/10.1109/VLSIC.2008.4586012</v>
      </c>
      <c r="K72" s="28" t="s">
        <v>1050</v>
      </c>
      <c r="L72" s="38">
        <v>1.2</v>
      </c>
      <c r="M72" s="38"/>
      <c r="N72" s="38"/>
      <c r="O72" s="39">
        <v>0.09</v>
      </c>
      <c r="P72" s="30">
        <v>0.123</v>
      </c>
      <c r="Q72" s="60"/>
      <c r="R72" s="63">
        <f>Z72/2</f>
        <v>25000000</v>
      </c>
      <c r="S72" s="60">
        <v>47.7</v>
      </c>
      <c r="T72" s="60"/>
      <c r="V72" s="60"/>
      <c r="W72" s="60"/>
      <c r="X72" s="29">
        <f t="shared" si="21"/>
        <v>47.7</v>
      </c>
      <c r="Y72" s="63">
        <v>1.4400000000000001E-3</v>
      </c>
      <c r="Z72" s="80">
        <v>50000000</v>
      </c>
      <c r="AA72" s="64">
        <v>1</v>
      </c>
      <c r="AB72" s="63">
        <f t="shared" si="22"/>
        <v>50000000</v>
      </c>
      <c r="AC72" s="5" t="s">
        <v>2096</v>
      </c>
      <c r="AD72" s="111">
        <f t="shared" si="12"/>
        <v>28.800000000000004</v>
      </c>
      <c r="AE72" s="29" t="str">
        <f t="shared" si="13"/>
        <v/>
      </c>
      <c r="AF72" s="29">
        <f t="shared" si="14"/>
        <v>145.26586817060729</v>
      </c>
      <c r="AG72" s="29" t="str">
        <f t="shared" si="15"/>
        <v/>
      </c>
      <c r="AH72" s="29">
        <f t="shared" si="16"/>
        <v>150.09577516576786</v>
      </c>
      <c r="AI72" s="33">
        <f t="shared" si="23"/>
        <v>2.9053173634121458E-6</v>
      </c>
      <c r="AJ72" s="48">
        <f t="shared" si="24"/>
        <v>227.08547520912805</v>
      </c>
    </row>
    <row r="73" spans="1:36" x14ac:dyDescent="0.3">
      <c r="A73" s="64">
        <v>2008</v>
      </c>
      <c r="B73" s="30">
        <v>22.2</v>
      </c>
      <c r="C73" s="61" t="s">
        <v>23</v>
      </c>
      <c r="D73" s="75" t="s">
        <v>678</v>
      </c>
      <c r="E73" s="61">
        <v>6.5000000000000002E-2</v>
      </c>
      <c r="F73" s="28" t="s">
        <v>319</v>
      </c>
      <c r="G73" s="28" t="s">
        <v>2146</v>
      </c>
      <c r="H73" s="28" t="s">
        <v>320</v>
      </c>
      <c r="I73" s="28" t="s">
        <v>2933</v>
      </c>
      <c r="J73" s="149" t="str">
        <f t="shared" si="20"/>
        <v>https://doi.org/10.1109/VLSIC.2008.4586013</v>
      </c>
      <c r="K73" s="28" t="s">
        <v>1050</v>
      </c>
      <c r="L73" s="38"/>
      <c r="M73" s="38"/>
      <c r="N73" s="38"/>
      <c r="O73" s="39" t="s">
        <v>1050</v>
      </c>
      <c r="P73" s="30">
        <v>0.33</v>
      </c>
      <c r="Q73" s="60"/>
      <c r="R73" s="63">
        <f>Z73/2</f>
        <v>13000000</v>
      </c>
      <c r="S73" s="60">
        <v>54.3</v>
      </c>
      <c r="T73" s="60"/>
      <c r="V73" s="60"/>
      <c r="W73" s="60"/>
      <c r="X73" s="29">
        <f t="shared" si="21"/>
        <v>54.3</v>
      </c>
      <c r="Y73" s="63">
        <v>5.5100000000000001E-3</v>
      </c>
      <c r="Z73" s="80">
        <v>26000000</v>
      </c>
      <c r="AA73" s="64">
        <v>1</v>
      </c>
      <c r="AB73" s="63">
        <f t="shared" si="22"/>
        <v>26000000</v>
      </c>
      <c r="AC73" s="5" t="s">
        <v>2096</v>
      </c>
      <c r="AD73" s="111">
        <f t="shared" si="12"/>
        <v>211.92307692307693</v>
      </c>
      <c r="AE73" s="29" t="str">
        <f t="shared" si="13"/>
        <v/>
      </c>
      <c r="AF73" s="29">
        <f t="shared" si="14"/>
        <v>499.93836031028894</v>
      </c>
      <c r="AG73" s="29" t="str">
        <f t="shared" si="15"/>
        <v/>
      </c>
      <c r="AH73" s="29">
        <f t="shared" si="16"/>
        <v>148.02791753455051</v>
      </c>
      <c r="AI73" s="33">
        <f t="shared" si="23"/>
        <v>1.9228398473472652E-5</v>
      </c>
      <c r="AJ73" s="48">
        <f t="shared" si="24"/>
        <v>222.17765101425869</v>
      </c>
    </row>
    <row r="74" spans="1:36" x14ac:dyDescent="0.3">
      <c r="A74" s="64">
        <v>2008</v>
      </c>
      <c r="B74" s="30">
        <v>22.3</v>
      </c>
      <c r="C74" s="61" t="s">
        <v>23</v>
      </c>
      <c r="D74" s="61" t="s">
        <v>26</v>
      </c>
      <c r="E74" s="61">
        <v>0.18</v>
      </c>
      <c r="F74" s="28" t="s">
        <v>321</v>
      </c>
      <c r="G74" s="28" t="s">
        <v>2147</v>
      </c>
      <c r="H74" s="28" t="s">
        <v>322</v>
      </c>
      <c r="I74" s="28" t="s">
        <v>2932</v>
      </c>
      <c r="J74" s="149" t="str">
        <f t="shared" si="20"/>
        <v>https://doi.org/10.1109/VLSIC.2008.4586014</v>
      </c>
      <c r="K74" s="28" t="s">
        <v>1058</v>
      </c>
      <c r="L74" s="38"/>
      <c r="M74" s="38"/>
      <c r="N74" s="38"/>
      <c r="O74" s="39" t="s">
        <v>1050</v>
      </c>
      <c r="P74" s="30">
        <v>0.26</v>
      </c>
      <c r="Q74" s="60"/>
      <c r="R74" s="63">
        <f>Z74/2</f>
        <v>25000000</v>
      </c>
      <c r="S74" s="60">
        <v>64</v>
      </c>
      <c r="T74" s="60"/>
      <c r="V74" s="60"/>
      <c r="W74" s="60">
        <v>76.599999999999994</v>
      </c>
      <c r="X74" s="29">
        <f t="shared" si="21"/>
        <v>64</v>
      </c>
      <c r="Y74" s="30">
        <f>0.0102*1.8</f>
        <v>1.8360000000000001E-2</v>
      </c>
      <c r="Z74" s="80">
        <v>50000000</v>
      </c>
      <c r="AA74" s="64">
        <v>1</v>
      </c>
      <c r="AB74" s="63">
        <f t="shared" si="22"/>
        <v>50000000</v>
      </c>
      <c r="AC74" s="5" t="s">
        <v>2096</v>
      </c>
      <c r="AD74" s="111">
        <f t="shared" si="12"/>
        <v>367.20000000000005</v>
      </c>
      <c r="AE74" s="29" t="str">
        <f t="shared" si="13"/>
        <v/>
      </c>
      <c r="AF74" s="29">
        <f t="shared" si="14"/>
        <v>283.52577827304918</v>
      </c>
      <c r="AG74" s="29" t="str">
        <f t="shared" si="15"/>
        <v/>
      </c>
      <c r="AH74" s="29">
        <f t="shared" si="16"/>
        <v>155.34067331806816</v>
      </c>
      <c r="AI74" s="33">
        <f t="shared" si="23"/>
        <v>5.6705155654609839E-6</v>
      </c>
      <c r="AJ74" s="48">
        <f t="shared" si="24"/>
        <v>232.33037336142834</v>
      </c>
    </row>
    <row r="75" spans="1:36" x14ac:dyDescent="0.3">
      <c r="A75" s="64">
        <v>2008</v>
      </c>
      <c r="B75" s="30">
        <v>22.4</v>
      </c>
      <c r="C75" s="61" t="s">
        <v>23</v>
      </c>
      <c r="D75" s="61" t="s">
        <v>26</v>
      </c>
      <c r="E75" s="61">
        <v>0.18</v>
      </c>
      <c r="F75" s="28" t="s">
        <v>323</v>
      </c>
      <c r="G75" s="28" t="s">
        <v>325</v>
      </c>
      <c r="H75" s="28" t="s">
        <v>324</v>
      </c>
      <c r="I75" s="28" t="s">
        <v>2494</v>
      </c>
      <c r="J75" s="149" t="str">
        <f t="shared" si="20"/>
        <v>https://doi.org/10.1109/VLSIC.2008.4586015</v>
      </c>
      <c r="K75" s="28" t="s">
        <v>1050</v>
      </c>
      <c r="L75" s="38"/>
      <c r="M75" s="38"/>
      <c r="N75" s="38"/>
      <c r="O75" s="39" t="s">
        <v>1050</v>
      </c>
      <c r="P75" s="30">
        <v>0.89</v>
      </c>
      <c r="Q75" s="60"/>
      <c r="R75" s="63">
        <f>Z75/2</f>
        <v>125000000</v>
      </c>
      <c r="S75" s="60">
        <v>65.900000000000006</v>
      </c>
      <c r="T75" s="60"/>
      <c r="V75" s="60"/>
      <c r="W75" s="60">
        <v>77</v>
      </c>
      <c r="X75" s="29">
        <f t="shared" si="21"/>
        <v>65.900000000000006</v>
      </c>
      <c r="Y75" s="63">
        <v>0.14000000000000001</v>
      </c>
      <c r="Z75" s="80">
        <v>250000000</v>
      </c>
      <c r="AA75" s="64">
        <v>1</v>
      </c>
      <c r="AB75" s="63">
        <f t="shared" si="22"/>
        <v>250000000</v>
      </c>
      <c r="AC75" s="5" t="s">
        <v>2096</v>
      </c>
      <c r="AD75" s="111">
        <f t="shared" si="12"/>
        <v>560</v>
      </c>
      <c r="AE75" s="29" t="str">
        <f t="shared" si="13"/>
        <v/>
      </c>
      <c r="AF75" s="29">
        <f t="shared" si="14"/>
        <v>347.43089784244324</v>
      </c>
      <c r="AG75" s="29" t="str">
        <f t="shared" si="15"/>
        <v/>
      </c>
      <c r="AH75" s="29">
        <f t="shared" si="16"/>
        <v>155.40781977329817</v>
      </c>
      <c r="AI75" s="33">
        <f t="shared" si="23"/>
        <v>1.389723591369773E-6</v>
      </c>
      <c r="AJ75" s="48">
        <f t="shared" si="24"/>
        <v>239.38721986001855</v>
      </c>
    </row>
    <row r="76" spans="1:36" x14ac:dyDescent="0.3">
      <c r="A76" s="59">
        <v>2009</v>
      </c>
      <c r="B76" s="30">
        <v>7.1</v>
      </c>
      <c r="C76" s="61" t="s">
        <v>22</v>
      </c>
      <c r="D76" s="61" t="s">
        <v>30</v>
      </c>
      <c r="E76" s="61">
        <v>0.11</v>
      </c>
      <c r="F76" s="28" t="s">
        <v>712</v>
      </c>
      <c r="G76" s="28" t="s">
        <v>353</v>
      </c>
      <c r="H76" s="27" t="s">
        <v>354</v>
      </c>
      <c r="I76" s="28" t="s">
        <v>1233</v>
      </c>
      <c r="J76" s="149" t="s">
        <v>2934</v>
      </c>
      <c r="K76" s="28" t="s">
        <v>1050</v>
      </c>
      <c r="L76" s="38"/>
      <c r="M76" s="38"/>
      <c r="N76" s="38"/>
      <c r="O76" s="39" t="s">
        <v>1050</v>
      </c>
      <c r="P76" s="30">
        <v>0.32</v>
      </c>
      <c r="Q76" s="60"/>
      <c r="R76" s="63">
        <v>10000000</v>
      </c>
      <c r="S76" s="60">
        <v>62.5</v>
      </c>
      <c r="T76" s="60">
        <v>68.2</v>
      </c>
      <c r="U76" s="30">
        <v>70.2</v>
      </c>
      <c r="V76" s="60"/>
      <c r="W76" s="60"/>
      <c r="X76" s="29">
        <f t="shared" si="21"/>
        <v>62.5</v>
      </c>
      <c r="Y76" s="63">
        <v>5.3200000000000001E-3</v>
      </c>
      <c r="Z76" s="80">
        <v>300000000</v>
      </c>
      <c r="AA76" s="64">
        <v>15</v>
      </c>
      <c r="AB76" s="63">
        <f t="shared" si="22"/>
        <v>20000000</v>
      </c>
      <c r="AC76" s="5" t="s">
        <v>2096</v>
      </c>
      <c r="AD76" s="111">
        <f t="shared" si="12"/>
        <v>266</v>
      </c>
      <c r="AE76" s="29" t="str">
        <f t="shared" si="13"/>
        <v/>
      </c>
      <c r="AF76" s="29">
        <f t="shared" si="14"/>
        <v>244.10630074776853</v>
      </c>
      <c r="AG76" s="29" t="str">
        <f t="shared" si="15"/>
        <v/>
      </c>
      <c r="AH76" s="29">
        <f t="shared" si="16"/>
        <v>155.24088367704951</v>
      </c>
      <c r="AI76" s="33">
        <f t="shared" si="23"/>
        <v>1.2205315037388427E-5</v>
      </c>
      <c r="AJ76" s="48">
        <f t="shared" si="24"/>
        <v>228.25118363368932</v>
      </c>
    </row>
    <row r="77" spans="1:36" x14ac:dyDescent="0.3">
      <c r="A77" s="64">
        <v>2009</v>
      </c>
      <c r="B77" s="30">
        <v>7.2</v>
      </c>
      <c r="C77" s="61" t="s">
        <v>22</v>
      </c>
      <c r="D77" s="61" t="s">
        <v>30</v>
      </c>
      <c r="E77" s="61">
        <v>0.09</v>
      </c>
      <c r="F77" s="28" t="s">
        <v>355</v>
      </c>
      <c r="G77" s="28" t="s">
        <v>356</v>
      </c>
      <c r="H77" s="27" t="s">
        <v>357</v>
      </c>
      <c r="I77" s="28" t="s">
        <v>1233</v>
      </c>
      <c r="J77" s="149" t="s">
        <v>2935</v>
      </c>
      <c r="K77" s="28" t="s">
        <v>1050</v>
      </c>
      <c r="L77" s="38"/>
      <c r="M77" s="38"/>
      <c r="N77" s="38"/>
      <c r="O77" s="39" t="s">
        <v>1050</v>
      </c>
      <c r="P77" s="30">
        <v>0.4</v>
      </c>
      <c r="Q77" s="60"/>
      <c r="R77" s="63">
        <v>10000000</v>
      </c>
      <c r="S77" s="60">
        <v>65</v>
      </c>
      <c r="T77" s="60"/>
      <c r="U77" s="30">
        <v>67</v>
      </c>
      <c r="V77" s="60"/>
      <c r="W77" s="60">
        <v>72</v>
      </c>
      <c r="X77" s="29">
        <f t="shared" si="21"/>
        <v>65</v>
      </c>
      <c r="Y77" s="63">
        <v>6.7999999999999996E-3</v>
      </c>
      <c r="Z77" s="80">
        <v>640000000</v>
      </c>
      <c r="AA77" s="64">
        <v>32</v>
      </c>
      <c r="AB77" s="63">
        <f t="shared" si="22"/>
        <v>20000000</v>
      </c>
      <c r="AC77" s="5" t="s">
        <v>2096</v>
      </c>
      <c r="AD77" s="111">
        <f t="shared" si="12"/>
        <v>339.99999999999994</v>
      </c>
      <c r="AE77" s="29" t="str">
        <f t="shared" si="13"/>
        <v/>
      </c>
      <c r="AF77" s="29">
        <f t="shared" si="14"/>
        <v>233.97195994503721</v>
      </c>
      <c r="AG77" s="29" t="str">
        <f t="shared" si="15"/>
        <v/>
      </c>
      <c r="AH77" s="29">
        <f t="shared" si="16"/>
        <v>156.67491087293763</v>
      </c>
      <c r="AI77" s="33">
        <f t="shared" si="23"/>
        <v>1.1698597997251861E-5</v>
      </c>
      <c r="AJ77" s="48">
        <f t="shared" si="24"/>
        <v>229.68521082957744</v>
      </c>
    </row>
    <row r="78" spans="1:36" x14ac:dyDescent="0.3">
      <c r="A78" s="64">
        <v>2009</v>
      </c>
      <c r="B78" s="30">
        <v>7.3</v>
      </c>
      <c r="C78" s="61" t="s">
        <v>22</v>
      </c>
      <c r="D78" s="61" t="s">
        <v>25</v>
      </c>
      <c r="E78" s="61">
        <v>4.4999999999999998E-2</v>
      </c>
      <c r="F78" s="28" t="s">
        <v>2937</v>
      </c>
      <c r="G78" s="28" t="s">
        <v>2148</v>
      </c>
      <c r="H78" s="28" t="s">
        <v>358</v>
      </c>
      <c r="I78" s="28" t="s">
        <v>1233</v>
      </c>
      <c r="J78" s="149" t="s">
        <v>2936</v>
      </c>
      <c r="K78" s="28" t="s">
        <v>1050</v>
      </c>
      <c r="L78" s="38"/>
      <c r="M78" s="38"/>
      <c r="N78" s="38"/>
      <c r="O78" s="39" t="s">
        <v>1050</v>
      </c>
      <c r="P78" s="30">
        <v>0.04</v>
      </c>
      <c r="Q78" s="60"/>
      <c r="R78" s="63">
        <v>15000000</v>
      </c>
      <c r="S78" s="60">
        <v>56.3</v>
      </c>
      <c r="T78" s="60">
        <v>59.6</v>
      </c>
      <c r="V78" s="60"/>
      <c r="W78" s="60">
        <v>56.3</v>
      </c>
      <c r="X78" s="29">
        <f t="shared" si="21"/>
        <v>56.3</v>
      </c>
      <c r="Y78" s="63">
        <v>8.9999999999999993E-3</v>
      </c>
      <c r="Z78" s="80">
        <v>1500000000</v>
      </c>
      <c r="AA78" s="64">
        <v>50</v>
      </c>
      <c r="AB78" s="63">
        <f t="shared" si="22"/>
        <v>30000000</v>
      </c>
      <c r="AC78" s="5" t="s">
        <v>2096</v>
      </c>
      <c r="AD78" s="111">
        <f t="shared" si="12"/>
        <v>300</v>
      </c>
      <c r="AE78" s="29" t="str">
        <f t="shared" si="13"/>
        <v/>
      </c>
      <c r="AF78" s="29">
        <f t="shared" si="14"/>
        <v>562.14648569802955</v>
      </c>
      <c r="AG78" s="29" t="str">
        <f t="shared" si="15"/>
        <v/>
      </c>
      <c r="AH78" s="29">
        <f t="shared" si="16"/>
        <v>148.51848749616357</v>
      </c>
      <c r="AI78" s="33">
        <f t="shared" si="23"/>
        <v>1.8738216189934318E-5</v>
      </c>
      <c r="AJ78" s="48">
        <f t="shared" si="24"/>
        <v>223.2897000433602</v>
      </c>
    </row>
    <row r="79" spans="1:36" x14ac:dyDescent="0.3">
      <c r="A79" s="64">
        <v>2009</v>
      </c>
      <c r="B79" s="30">
        <v>7.4</v>
      </c>
      <c r="C79" s="30" t="s">
        <v>22</v>
      </c>
      <c r="D79" s="30" t="s">
        <v>399</v>
      </c>
      <c r="E79" s="30">
        <v>0.18</v>
      </c>
      <c r="F79" s="28" t="s">
        <v>359</v>
      </c>
      <c r="G79" s="28" t="s">
        <v>360</v>
      </c>
      <c r="H79" s="28" t="s">
        <v>361</v>
      </c>
      <c r="I79" s="28" t="s">
        <v>1233</v>
      </c>
      <c r="J79" s="149" t="s">
        <v>2938</v>
      </c>
      <c r="K79" s="28" t="s">
        <v>1050</v>
      </c>
      <c r="L79" s="38"/>
      <c r="M79" s="38"/>
      <c r="N79" s="38"/>
      <c r="O79" s="39" t="s">
        <v>1050</v>
      </c>
      <c r="P79" s="30">
        <v>3.75</v>
      </c>
      <c r="Q79" s="60"/>
      <c r="R79" s="63">
        <v>5000000</v>
      </c>
      <c r="S79" s="60">
        <v>75.400000000000006</v>
      </c>
      <c r="T79" s="60">
        <v>76</v>
      </c>
      <c r="V79" s="60"/>
      <c r="W79" s="60">
        <v>85</v>
      </c>
      <c r="X79" s="29">
        <f t="shared" si="21"/>
        <v>75.400000000000006</v>
      </c>
      <c r="Y79" s="63">
        <v>3.5999999999999997E-2</v>
      </c>
      <c r="Z79" s="80">
        <v>80000000</v>
      </c>
      <c r="AA79" s="64">
        <v>8</v>
      </c>
      <c r="AB79" s="63">
        <f t="shared" si="22"/>
        <v>10000000</v>
      </c>
      <c r="AC79" s="5" t="s">
        <v>2096</v>
      </c>
      <c r="AD79" s="111">
        <f t="shared" si="12"/>
        <v>3599.9999999999995</v>
      </c>
      <c r="AE79" s="29" t="str">
        <f t="shared" si="13"/>
        <v/>
      </c>
      <c r="AF79" s="29">
        <f t="shared" si="14"/>
        <v>748.05852580773956</v>
      </c>
      <c r="AG79" s="29" t="str">
        <f t="shared" si="15"/>
        <v/>
      </c>
      <c r="AH79" s="29">
        <f t="shared" si="16"/>
        <v>156.82667503568732</v>
      </c>
      <c r="AI79" s="33">
        <f t="shared" si="23"/>
        <v>7.4805852580773951E-5</v>
      </c>
      <c r="AJ79" s="48">
        <f t="shared" si="24"/>
        <v>226.82667503568732</v>
      </c>
    </row>
    <row r="80" spans="1:36" x14ac:dyDescent="0.3">
      <c r="A80" s="64">
        <v>2009</v>
      </c>
      <c r="B80" s="30">
        <v>23.1</v>
      </c>
      <c r="C80" s="30" t="s">
        <v>23</v>
      </c>
      <c r="D80" s="30" t="s">
        <v>31</v>
      </c>
      <c r="E80" s="30">
        <v>0.13</v>
      </c>
      <c r="F80" s="28" t="s">
        <v>362</v>
      </c>
      <c r="G80" s="28" t="s">
        <v>2149</v>
      </c>
      <c r="H80" s="28" t="s">
        <v>363</v>
      </c>
      <c r="I80" s="28" t="s">
        <v>1233</v>
      </c>
      <c r="J80" s="149" t="s">
        <v>2939</v>
      </c>
      <c r="K80" s="28" t="s">
        <v>1050</v>
      </c>
      <c r="L80" s="38">
        <v>1.2</v>
      </c>
      <c r="M80" s="38"/>
      <c r="N80" s="38"/>
      <c r="O80" s="39" t="s">
        <v>1050</v>
      </c>
      <c r="P80" s="30">
        <v>7.4999999999999997E-2</v>
      </c>
      <c r="Q80" s="60"/>
      <c r="R80" s="63">
        <v>50000000</v>
      </c>
      <c r="S80" s="60">
        <v>52</v>
      </c>
      <c r="T80" s="60"/>
      <c r="V80" s="60"/>
      <c r="W80" s="60">
        <v>62.5</v>
      </c>
      <c r="X80" s="29">
        <f t="shared" si="21"/>
        <v>52</v>
      </c>
      <c r="Y80" s="63">
        <v>9.2000000000000003E-4</v>
      </c>
      <c r="Z80" s="80">
        <v>50000000</v>
      </c>
      <c r="AA80" s="64">
        <v>0.5</v>
      </c>
      <c r="AB80" s="63">
        <f t="shared" si="22"/>
        <v>100000000</v>
      </c>
      <c r="AC80" s="5" t="s">
        <v>2096</v>
      </c>
      <c r="AD80" s="111">
        <f t="shared" si="12"/>
        <v>9.1999999999999993</v>
      </c>
      <c r="AE80" s="29" t="str">
        <f t="shared" si="13"/>
        <v/>
      </c>
      <c r="AF80" s="29">
        <f t="shared" si="14"/>
        <v>28.283783098376855</v>
      </c>
      <c r="AG80" s="29" t="str">
        <f t="shared" si="15"/>
        <v/>
      </c>
      <c r="AH80" s="29">
        <f t="shared" si="16"/>
        <v>159.35182176990463</v>
      </c>
      <c r="AI80" s="33">
        <f t="shared" si="23"/>
        <v>2.8283783098376855E-7</v>
      </c>
      <c r="AJ80" s="48">
        <f t="shared" si="24"/>
        <v>239.35182176990463</v>
      </c>
    </row>
    <row r="81" spans="1:36" x14ac:dyDescent="0.3">
      <c r="A81" s="64">
        <v>2009</v>
      </c>
      <c r="B81" s="30">
        <v>23.2</v>
      </c>
      <c r="C81" s="30" t="s">
        <v>23</v>
      </c>
      <c r="D81" s="30" t="s">
        <v>31</v>
      </c>
      <c r="E81" s="30">
        <v>0.09</v>
      </c>
      <c r="F81" s="28" t="s">
        <v>364</v>
      </c>
      <c r="G81" s="28" t="s">
        <v>2150</v>
      </c>
      <c r="H81" s="28" t="s">
        <v>383</v>
      </c>
      <c r="I81" s="28" t="s">
        <v>1233</v>
      </c>
      <c r="J81" s="149" t="s">
        <v>2940</v>
      </c>
      <c r="K81" s="28" t="s">
        <v>1050</v>
      </c>
      <c r="L81" s="38"/>
      <c r="M81" s="38"/>
      <c r="N81" s="38"/>
      <c r="O81" s="39" t="s">
        <v>1050</v>
      </c>
      <c r="P81" s="30">
        <v>5.4999999999999997E-3</v>
      </c>
      <c r="Q81" s="60"/>
      <c r="R81" s="63">
        <v>16000000</v>
      </c>
      <c r="S81" s="60">
        <v>32</v>
      </c>
      <c r="T81" s="60"/>
      <c r="V81" s="60"/>
      <c r="W81" s="60"/>
      <c r="X81" s="29">
        <f t="shared" si="21"/>
        <v>32</v>
      </c>
      <c r="Y81" s="63">
        <v>2.4000000000000001E-4</v>
      </c>
      <c r="Z81" s="80">
        <v>50000000</v>
      </c>
      <c r="AA81" s="64">
        <v>1</v>
      </c>
      <c r="AB81" s="63">
        <f t="shared" si="22"/>
        <v>50000000</v>
      </c>
      <c r="AC81" s="5" t="s">
        <v>2096</v>
      </c>
      <c r="AD81" s="111">
        <f t="shared" si="12"/>
        <v>4.8</v>
      </c>
      <c r="AE81" s="29" t="str">
        <f t="shared" si="13"/>
        <v/>
      </c>
      <c r="AF81" s="29">
        <f t="shared" si="14"/>
        <v>147.60142878323947</v>
      </c>
      <c r="AG81" s="29" t="str">
        <f t="shared" si="15"/>
        <v/>
      </c>
      <c r="AH81" s="29">
        <f t="shared" si="16"/>
        <v>142.17728766960431</v>
      </c>
      <c r="AI81" s="33">
        <f t="shared" si="23"/>
        <v>2.9520285756647894E-6</v>
      </c>
      <c r="AJ81" s="48">
        <f t="shared" si="24"/>
        <v>219.1669877129645</v>
      </c>
    </row>
    <row r="82" spans="1:36" x14ac:dyDescent="0.3">
      <c r="A82" s="64">
        <v>2009</v>
      </c>
      <c r="B82" s="30">
        <v>23.3</v>
      </c>
      <c r="C82" s="30" t="s">
        <v>23</v>
      </c>
      <c r="D82" s="30" t="s">
        <v>31</v>
      </c>
      <c r="E82" s="30">
        <v>0.13</v>
      </c>
      <c r="F82" s="28" t="s">
        <v>384</v>
      </c>
      <c r="G82" s="28" t="s">
        <v>385</v>
      </c>
      <c r="H82" s="28" t="s">
        <v>386</v>
      </c>
      <c r="I82" s="28" t="s">
        <v>1233</v>
      </c>
      <c r="J82" s="149" t="s">
        <v>2941</v>
      </c>
      <c r="K82" s="28" t="s">
        <v>1050</v>
      </c>
      <c r="L82" s="38"/>
      <c r="M82" s="38"/>
      <c r="N82" s="38"/>
      <c r="O82" s="39" t="s">
        <v>1050</v>
      </c>
      <c r="P82" s="30">
        <v>0.7</v>
      </c>
      <c r="Q82" s="60"/>
      <c r="R82" s="63">
        <v>5500000</v>
      </c>
      <c r="S82" s="60">
        <v>63</v>
      </c>
      <c r="T82" s="60"/>
      <c r="V82" s="60"/>
      <c r="W82" s="60">
        <v>70</v>
      </c>
      <c r="X82" s="29">
        <f t="shared" si="21"/>
        <v>63</v>
      </c>
      <c r="Y82" s="63">
        <v>3.5699999999999998E-3</v>
      </c>
      <c r="Z82" s="80">
        <v>11000000</v>
      </c>
      <c r="AA82" s="64">
        <v>1</v>
      </c>
      <c r="AB82" s="63">
        <f t="shared" si="22"/>
        <v>11000000</v>
      </c>
      <c r="AC82" s="5" t="s">
        <v>2096</v>
      </c>
      <c r="AD82" s="111">
        <f t="shared" si="12"/>
        <v>324.54545454545456</v>
      </c>
      <c r="AE82" s="29" t="str">
        <f t="shared" si="13"/>
        <v/>
      </c>
      <c r="AF82" s="29">
        <f t="shared" si="14"/>
        <v>281.17091379592381</v>
      </c>
      <c r="AG82" s="29" t="str">
        <f t="shared" si="15"/>
        <v/>
      </c>
      <c r="AH82" s="29">
        <f t="shared" si="16"/>
        <v>154.87694473382049</v>
      </c>
      <c r="AI82" s="33">
        <f t="shared" si="23"/>
        <v>2.55609921632658E-5</v>
      </c>
      <c r="AJ82" s="48">
        <f t="shared" si="24"/>
        <v>225.29087158540275</v>
      </c>
    </row>
    <row r="83" spans="1:36" x14ac:dyDescent="0.3">
      <c r="A83" s="64">
        <v>2009</v>
      </c>
      <c r="B83" s="30">
        <v>23.4</v>
      </c>
      <c r="C83" s="30" t="s">
        <v>23</v>
      </c>
      <c r="D83" s="30" t="s">
        <v>31</v>
      </c>
      <c r="E83" s="30">
        <v>0.18</v>
      </c>
      <c r="F83" s="28" t="s">
        <v>387</v>
      </c>
      <c r="G83" s="28" t="s">
        <v>2704</v>
      </c>
      <c r="H83" s="28" t="s">
        <v>388</v>
      </c>
      <c r="I83" s="28" t="s">
        <v>1233</v>
      </c>
      <c r="J83" s="149" t="s">
        <v>2942</v>
      </c>
      <c r="K83" s="28" t="s">
        <v>1050</v>
      </c>
      <c r="L83" s="38">
        <v>0.6</v>
      </c>
      <c r="M83" s="38"/>
      <c r="N83" s="38"/>
      <c r="O83" s="39" t="s">
        <v>1050</v>
      </c>
      <c r="P83" s="30">
        <v>0.125</v>
      </c>
      <c r="Q83" s="60"/>
      <c r="R83" s="63">
        <v>50000</v>
      </c>
      <c r="S83" s="60">
        <v>53.8</v>
      </c>
      <c r="T83" s="60"/>
      <c r="V83" s="60"/>
      <c r="W83" s="60">
        <v>62</v>
      </c>
      <c r="X83" s="29">
        <f t="shared" si="21"/>
        <v>53.8</v>
      </c>
      <c r="Y83" s="63">
        <v>1.3E-6</v>
      </c>
      <c r="Z83" s="80">
        <v>100000</v>
      </c>
      <c r="AA83" s="64">
        <v>1</v>
      </c>
      <c r="AB83" s="63">
        <f t="shared" si="22"/>
        <v>100000</v>
      </c>
      <c r="AC83" s="5" t="s">
        <v>2096</v>
      </c>
      <c r="AD83" s="111">
        <f t="shared" si="12"/>
        <v>13</v>
      </c>
      <c r="AE83" s="29" t="str">
        <f t="shared" si="13"/>
        <v/>
      </c>
      <c r="AF83" s="29">
        <f t="shared" si="14"/>
        <v>32.485088498378722</v>
      </c>
      <c r="AG83" s="29" t="str">
        <f t="shared" si="15"/>
        <v/>
      </c>
      <c r="AH83" s="29">
        <f t="shared" si="16"/>
        <v>159.65026652029184</v>
      </c>
      <c r="AI83" s="33">
        <f t="shared" si="23"/>
        <v>3.2485088498378722E-4</v>
      </c>
      <c r="AJ83" s="48">
        <f t="shared" si="24"/>
        <v>209.65026652029184</v>
      </c>
    </row>
    <row r="84" spans="1:36" x14ac:dyDescent="0.3">
      <c r="A84" s="64">
        <v>2009</v>
      </c>
      <c r="B84" s="30">
        <v>26.1</v>
      </c>
      <c r="C84" s="30" t="s">
        <v>23</v>
      </c>
      <c r="D84" s="30" t="s">
        <v>28</v>
      </c>
      <c r="E84" s="30">
        <v>0.09</v>
      </c>
      <c r="F84" s="28" t="s">
        <v>828</v>
      </c>
      <c r="G84" s="28" t="s">
        <v>827</v>
      </c>
      <c r="H84" s="28" t="s">
        <v>829</v>
      </c>
      <c r="I84" s="28" t="s">
        <v>1233</v>
      </c>
      <c r="J84" s="149" t="s">
        <v>2934</v>
      </c>
      <c r="K84" s="28" t="s">
        <v>1050</v>
      </c>
      <c r="L84" s="38">
        <v>1</v>
      </c>
      <c r="M84" s="38"/>
      <c r="N84" s="38"/>
      <c r="O84" s="39" t="s">
        <v>1050</v>
      </c>
      <c r="P84" s="30">
        <v>7.4999999999999997E-2</v>
      </c>
      <c r="Q84" s="60"/>
      <c r="R84" s="63">
        <f>Z84/2</f>
        <v>1350000000</v>
      </c>
      <c r="S84" s="60">
        <v>33.6</v>
      </c>
      <c r="T84" s="60"/>
      <c r="V84" s="60"/>
      <c r="W84" s="60"/>
      <c r="X84" s="29">
        <f t="shared" si="21"/>
        <v>33.6</v>
      </c>
      <c r="Y84" s="63">
        <v>0.05</v>
      </c>
      <c r="Z84" s="80">
        <v>2700000000</v>
      </c>
      <c r="AA84" s="64">
        <v>1</v>
      </c>
      <c r="AB84" s="63">
        <f t="shared" si="22"/>
        <v>2700000000</v>
      </c>
      <c r="AC84" s="5" t="s">
        <v>2096</v>
      </c>
      <c r="AD84" s="111">
        <f t="shared" si="12"/>
        <v>18.518518518518523</v>
      </c>
      <c r="AE84" s="29" t="str">
        <f t="shared" si="13"/>
        <v/>
      </c>
      <c r="AF84" s="29">
        <f t="shared" si="14"/>
        <v>473.63914886760381</v>
      </c>
      <c r="AG84" s="29" t="str">
        <f t="shared" si="15"/>
        <v/>
      </c>
      <c r="AH84" s="29">
        <f t="shared" si="16"/>
        <v>137.91363764158987</v>
      </c>
      <c r="AI84" s="33">
        <f t="shared" si="23"/>
        <v>1.7542190698800141E-7</v>
      </c>
      <c r="AJ84" s="48">
        <f t="shared" si="24"/>
        <v>232.22727528317975</v>
      </c>
    </row>
    <row r="85" spans="1:36" x14ac:dyDescent="0.3">
      <c r="A85" s="64">
        <v>2009</v>
      </c>
      <c r="B85" s="30">
        <v>26.2</v>
      </c>
      <c r="C85" s="30" t="s">
        <v>23</v>
      </c>
      <c r="D85" s="30" t="s">
        <v>27</v>
      </c>
      <c r="E85" s="30">
        <v>6.5000000000000002E-2</v>
      </c>
      <c r="F85" s="28" t="s">
        <v>389</v>
      </c>
      <c r="G85" s="28" t="s">
        <v>2151</v>
      </c>
      <c r="H85" s="28" t="s">
        <v>390</v>
      </c>
      <c r="I85" s="28" t="s">
        <v>1233</v>
      </c>
      <c r="J85" s="149" t="s">
        <v>2943</v>
      </c>
      <c r="K85" s="28" t="s">
        <v>1050</v>
      </c>
      <c r="L85" s="38"/>
      <c r="M85" s="38"/>
      <c r="N85" s="38"/>
      <c r="O85" s="39" t="s">
        <v>1050</v>
      </c>
      <c r="P85" s="30">
        <v>0.01</v>
      </c>
      <c r="Q85" s="60"/>
      <c r="R85" s="63">
        <v>3835000000</v>
      </c>
      <c r="S85" s="60">
        <v>24.5</v>
      </c>
      <c r="T85" s="60"/>
      <c r="V85" s="60"/>
      <c r="W85" s="60">
        <v>33.4</v>
      </c>
      <c r="X85" s="29">
        <f t="shared" si="21"/>
        <v>24.5</v>
      </c>
      <c r="Y85" s="63">
        <v>5.1999999999999998E-2</v>
      </c>
      <c r="Z85" s="80">
        <v>7500000000</v>
      </c>
      <c r="AA85" s="64">
        <v>0.97783572359843551</v>
      </c>
      <c r="AB85" s="63">
        <f t="shared" si="22"/>
        <v>7670000000</v>
      </c>
      <c r="AC85" s="5" t="s">
        <v>2096</v>
      </c>
      <c r="AD85" s="111">
        <f t="shared" si="12"/>
        <v>6.7796610169491522</v>
      </c>
      <c r="AE85" s="29" t="str">
        <f t="shared" si="13"/>
        <v/>
      </c>
      <c r="AF85" s="29">
        <f t="shared" si="14"/>
        <v>494.41845574072994</v>
      </c>
      <c r="AG85" s="29" t="str">
        <f t="shared" si="15"/>
        <v/>
      </c>
      <c r="AH85" s="29">
        <f t="shared" si="16"/>
        <v>133.17762024650202</v>
      </c>
      <c r="AI85" s="33">
        <f t="shared" si="23"/>
        <v>6.4461337123954354E-8</v>
      </c>
      <c r="AJ85" s="48">
        <f t="shared" si="24"/>
        <v>232.02557388599183</v>
      </c>
    </row>
    <row r="86" spans="1:36" x14ac:dyDescent="0.3">
      <c r="A86" s="64">
        <v>2009</v>
      </c>
      <c r="B86" s="30">
        <v>26.3</v>
      </c>
      <c r="C86" s="30" t="s">
        <v>23</v>
      </c>
      <c r="D86" s="30" t="s">
        <v>1965</v>
      </c>
      <c r="E86" s="30">
        <v>6.5000000000000002E-2</v>
      </c>
      <c r="F86" s="28" t="s">
        <v>830</v>
      </c>
      <c r="G86" s="28" t="s">
        <v>831</v>
      </c>
      <c r="H86" s="28" t="s">
        <v>832</v>
      </c>
      <c r="I86" s="28" t="s">
        <v>1233</v>
      </c>
      <c r="J86" s="149" t="s">
        <v>2944</v>
      </c>
      <c r="K86" s="28" t="s">
        <v>833</v>
      </c>
      <c r="L86" s="38">
        <v>1.2</v>
      </c>
      <c r="M86" s="38"/>
      <c r="N86" s="38"/>
      <c r="O86" s="39" t="s">
        <v>1050</v>
      </c>
      <c r="P86" s="30">
        <v>0.7</v>
      </c>
      <c r="Q86" s="60"/>
      <c r="R86" s="63">
        <f t="shared" ref="R86:R93" si="25">AB86/2</f>
        <v>20000000</v>
      </c>
      <c r="S86" s="60">
        <v>39</v>
      </c>
      <c r="T86" s="60">
        <v>48.3</v>
      </c>
      <c r="V86" s="60"/>
      <c r="W86" s="60">
        <v>42.5</v>
      </c>
      <c r="X86" s="29">
        <f t="shared" si="21"/>
        <v>39</v>
      </c>
      <c r="Y86" s="63">
        <v>8.6E-3</v>
      </c>
      <c r="Z86" s="80">
        <v>4000000000</v>
      </c>
      <c r="AA86" s="64">
        <f>Z86/AB86</f>
        <v>100</v>
      </c>
      <c r="AB86" s="63">
        <v>40000000</v>
      </c>
      <c r="AC86" s="5">
        <v>1500000000</v>
      </c>
      <c r="AD86" s="111">
        <f t="shared" si="12"/>
        <v>215</v>
      </c>
      <c r="AE86" s="29" t="str">
        <f t="shared" si="13"/>
        <v/>
      </c>
      <c r="AF86" s="29">
        <f t="shared" si="14"/>
        <v>2952.9283227549795</v>
      </c>
      <c r="AG86" s="29" t="str">
        <f t="shared" si="15"/>
        <v/>
      </c>
      <c r="AH86" s="29">
        <f t="shared" si="16"/>
        <v>132.66531544420411</v>
      </c>
      <c r="AI86" s="33">
        <f t="shared" si="23"/>
        <v>7.3823208068874482E-5</v>
      </c>
      <c r="AJ86" s="48">
        <f t="shared" si="24"/>
        <v>208.68591535748374</v>
      </c>
    </row>
    <row r="87" spans="1:36" x14ac:dyDescent="0.3">
      <c r="A87" s="64">
        <v>2009</v>
      </c>
      <c r="B87" s="30">
        <v>26.4</v>
      </c>
      <c r="C87" s="30" t="s">
        <v>23</v>
      </c>
      <c r="D87" s="30" t="s">
        <v>26</v>
      </c>
      <c r="E87" s="30">
        <v>6.5000000000000002E-2</v>
      </c>
      <c r="F87" s="28" t="s">
        <v>2152</v>
      </c>
      <c r="G87" s="28" t="s">
        <v>2153</v>
      </c>
      <c r="H87" s="28" t="s">
        <v>834</v>
      </c>
      <c r="I87" s="28" t="s">
        <v>1233</v>
      </c>
      <c r="J87" s="149" t="s">
        <v>2945</v>
      </c>
      <c r="K87" s="28" t="s">
        <v>1050</v>
      </c>
      <c r="L87" s="38"/>
      <c r="M87" s="38"/>
      <c r="N87" s="38"/>
      <c r="O87" s="39" t="s">
        <v>1050</v>
      </c>
      <c r="P87" s="30">
        <v>0.125</v>
      </c>
      <c r="Q87" s="60"/>
      <c r="R87" s="63">
        <f t="shared" si="25"/>
        <v>40000000</v>
      </c>
      <c r="S87" s="60">
        <v>53.8</v>
      </c>
      <c r="T87" s="60"/>
      <c r="V87" s="60"/>
      <c r="W87" s="60">
        <v>70</v>
      </c>
      <c r="X87" s="29">
        <f t="shared" si="21"/>
        <v>53.8</v>
      </c>
      <c r="Y87" s="63">
        <v>1.12E-2</v>
      </c>
      <c r="Z87" s="80">
        <v>80000000</v>
      </c>
      <c r="AA87" s="64">
        <v>1</v>
      </c>
      <c r="AB87" s="63">
        <f>Z87</f>
        <v>80000000</v>
      </c>
      <c r="AC87" s="5" t="s">
        <v>2096</v>
      </c>
      <c r="AD87" s="111">
        <f t="shared" si="12"/>
        <v>140</v>
      </c>
      <c r="AE87" s="29" t="str">
        <f t="shared" si="13"/>
        <v/>
      </c>
      <c r="AF87" s="29">
        <f t="shared" si="14"/>
        <v>349.8394145979247</v>
      </c>
      <c r="AG87" s="29" t="str">
        <f t="shared" si="15"/>
        <v/>
      </c>
      <c r="AH87" s="29">
        <f t="shared" si="16"/>
        <v>149.3284196865778</v>
      </c>
      <c r="AI87" s="33">
        <f t="shared" si="23"/>
        <v>4.3729926824740587E-6</v>
      </c>
      <c r="AJ87" s="48">
        <f t="shared" si="24"/>
        <v>228.35931955649724</v>
      </c>
    </row>
    <row r="88" spans="1:36" x14ac:dyDescent="0.3">
      <c r="A88" s="59">
        <v>2010</v>
      </c>
      <c r="B88" s="30">
        <v>15.2</v>
      </c>
      <c r="C88" s="30" t="s">
        <v>22</v>
      </c>
      <c r="D88" s="30" t="s">
        <v>30</v>
      </c>
      <c r="E88" s="30">
        <v>0.09</v>
      </c>
      <c r="F88" s="28" t="s">
        <v>784</v>
      </c>
      <c r="G88" s="28" t="s">
        <v>2154</v>
      </c>
      <c r="H88" s="28" t="s">
        <v>785</v>
      </c>
      <c r="I88" s="28" t="s">
        <v>2495</v>
      </c>
      <c r="J88" s="149" t="str">
        <f t="shared" si="20"/>
        <v>https://doi.org/10.1109/VLSIC.2010.5560317</v>
      </c>
      <c r="K88" s="28" t="s">
        <v>229</v>
      </c>
      <c r="L88" s="38">
        <v>1</v>
      </c>
      <c r="M88" s="38"/>
      <c r="N88" s="38"/>
      <c r="O88" s="39" t="s">
        <v>1050</v>
      </c>
      <c r="P88" s="30">
        <v>0.4</v>
      </c>
      <c r="Q88" s="60"/>
      <c r="R88" s="63">
        <f t="shared" si="25"/>
        <v>200000</v>
      </c>
      <c r="S88" s="60">
        <v>82</v>
      </c>
      <c r="T88" s="60"/>
      <c r="U88" s="30">
        <v>85</v>
      </c>
      <c r="V88" s="60"/>
      <c r="W88" s="60"/>
      <c r="X88" s="29">
        <f t="shared" si="21"/>
        <v>82</v>
      </c>
      <c r="Y88" s="63">
        <v>2.8E-3</v>
      </c>
      <c r="Z88" s="80">
        <v>51200000</v>
      </c>
      <c r="AA88" s="64">
        <f t="shared" ref="AA88:AA93" si="26">Z88/AB88</f>
        <v>128</v>
      </c>
      <c r="AB88" s="63">
        <f>2*200000</f>
        <v>400000</v>
      </c>
      <c r="AC88" s="5" t="s">
        <v>2096</v>
      </c>
      <c r="AD88" s="111">
        <f t="shared" si="12"/>
        <v>7000</v>
      </c>
      <c r="AE88" s="29" t="str">
        <f t="shared" si="13"/>
        <v/>
      </c>
      <c r="AF88" s="29">
        <f t="shared" si="14"/>
        <v>680.29649075436782</v>
      </c>
      <c r="AG88" s="29" t="str">
        <f t="shared" si="15"/>
        <v/>
      </c>
      <c r="AH88" s="29">
        <f t="shared" si="16"/>
        <v>160.53871964321763</v>
      </c>
      <c r="AI88" s="33">
        <f t="shared" si="23"/>
        <v>1.7007412268859195E-3</v>
      </c>
      <c r="AJ88" s="48">
        <f t="shared" si="24"/>
        <v>216.55931955649726</v>
      </c>
    </row>
    <row r="89" spans="1:36" x14ac:dyDescent="0.3">
      <c r="A89" s="64">
        <v>2010</v>
      </c>
      <c r="B89" s="30">
        <v>15.2</v>
      </c>
      <c r="C89" s="30" t="s">
        <v>22</v>
      </c>
      <c r="D89" s="30" t="s">
        <v>30</v>
      </c>
      <c r="E89" s="30">
        <v>0.09</v>
      </c>
      <c r="F89" s="28" t="s">
        <v>784</v>
      </c>
      <c r="G89" s="28" t="s">
        <v>2154</v>
      </c>
      <c r="H89" s="28" t="s">
        <v>785</v>
      </c>
      <c r="I89" s="28" t="s">
        <v>2495</v>
      </c>
      <c r="J89" s="149" t="str">
        <f t="shared" si="20"/>
        <v>https://doi.org/10.1109/VLSIC.2010.5560317</v>
      </c>
      <c r="K89" s="28" t="s">
        <v>778</v>
      </c>
      <c r="L89" s="38">
        <v>1</v>
      </c>
      <c r="M89" s="38"/>
      <c r="N89" s="38"/>
      <c r="O89" s="39" t="s">
        <v>1050</v>
      </c>
      <c r="P89" s="30">
        <v>0.4</v>
      </c>
      <c r="Q89" s="60"/>
      <c r="R89" s="63">
        <f t="shared" si="25"/>
        <v>500000</v>
      </c>
      <c r="S89" s="60">
        <v>76</v>
      </c>
      <c r="T89" s="60"/>
      <c r="U89" s="30">
        <v>78</v>
      </c>
      <c r="V89" s="60"/>
      <c r="W89" s="60"/>
      <c r="X89" s="29">
        <f t="shared" si="21"/>
        <v>76</v>
      </c>
      <c r="Y89" s="63">
        <v>2.5999999999999999E-3</v>
      </c>
      <c r="Z89" s="80">
        <v>96000000</v>
      </c>
      <c r="AA89" s="64">
        <f t="shared" si="26"/>
        <v>96</v>
      </c>
      <c r="AB89" s="63">
        <f>2*500000</f>
        <v>1000000</v>
      </c>
      <c r="AC89" s="5" t="s">
        <v>2096</v>
      </c>
      <c r="AD89" s="111">
        <f t="shared" si="12"/>
        <v>2599.9999999999995</v>
      </c>
      <c r="AE89" s="29" t="str">
        <f t="shared" si="13"/>
        <v/>
      </c>
      <c r="AF89" s="29">
        <f t="shared" si="14"/>
        <v>504.20068882994769</v>
      </c>
      <c r="AG89" s="29" t="str">
        <f t="shared" si="15"/>
        <v/>
      </c>
      <c r="AH89" s="29">
        <f t="shared" si="16"/>
        <v>158.83996656365201</v>
      </c>
      <c r="AI89" s="33">
        <f t="shared" si="23"/>
        <v>5.0420068882994773E-4</v>
      </c>
      <c r="AJ89" s="48">
        <f t="shared" si="24"/>
        <v>218.83996656365201</v>
      </c>
    </row>
    <row r="90" spans="1:36" x14ac:dyDescent="0.3">
      <c r="A90" s="64">
        <v>2010</v>
      </c>
      <c r="B90" s="30">
        <v>15.2</v>
      </c>
      <c r="C90" s="30" t="s">
        <v>22</v>
      </c>
      <c r="D90" s="30" t="s">
        <v>30</v>
      </c>
      <c r="E90" s="30">
        <v>0.09</v>
      </c>
      <c r="F90" s="28" t="s">
        <v>784</v>
      </c>
      <c r="G90" s="28" t="s">
        <v>2154</v>
      </c>
      <c r="H90" s="28" t="s">
        <v>785</v>
      </c>
      <c r="I90" s="28" t="s">
        <v>2495</v>
      </c>
      <c r="J90" s="149" t="str">
        <f t="shared" si="20"/>
        <v>https://doi.org/10.1109/VLSIC.2010.5560317</v>
      </c>
      <c r="K90" s="28" t="s">
        <v>779</v>
      </c>
      <c r="L90" s="38">
        <v>1</v>
      </c>
      <c r="M90" s="38"/>
      <c r="N90" s="38"/>
      <c r="O90" s="39" t="s">
        <v>1050</v>
      </c>
      <c r="P90" s="30">
        <v>0.4</v>
      </c>
      <c r="Q90" s="60"/>
      <c r="R90" s="63">
        <f t="shared" si="25"/>
        <v>2000000</v>
      </c>
      <c r="S90" s="60">
        <v>75</v>
      </c>
      <c r="T90" s="60"/>
      <c r="U90" s="30">
        <v>75</v>
      </c>
      <c r="V90" s="60"/>
      <c r="W90" s="60"/>
      <c r="X90" s="29">
        <f t="shared" si="21"/>
        <v>75</v>
      </c>
      <c r="Y90" s="63">
        <v>3.5999999999999999E-3</v>
      </c>
      <c r="Z90" s="80">
        <v>128000000</v>
      </c>
      <c r="AA90" s="64">
        <f t="shared" si="26"/>
        <v>32</v>
      </c>
      <c r="AB90" s="63">
        <f>2*2000000</f>
        <v>4000000</v>
      </c>
      <c r="AC90" s="5" t="s">
        <v>2096</v>
      </c>
      <c r="AD90" s="111">
        <f t="shared" si="12"/>
        <v>900</v>
      </c>
      <c r="AE90" s="29" t="str">
        <f t="shared" si="13"/>
        <v/>
      </c>
      <c r="AF90" s="29">
        <f t="shared" si="14"/>
        <v>195.82925819552327</v>
      </c>
      <c r="AG90" s="29" t="str">
        <f t="shared" si="15"/>
        <v/>
      </c>
      <c r="AH90" s="29">
        <f t="shared" si="16"/>
        <v>162.44727494896694</v>
      </c>
      <c r="AI90" s="33">
        <f t="shared" si="23"/>
        <v>4.8957314548880817E-5</v>
      </c>
      <c r="AJ90" s="48">
        <f t="shared" si="24"/>
        <v>228.46787486224656</v>
      </c>
    </row>
    <row r="91" spans="1:36" x14ac:dyDescent="0.3">
      <c r="A91" s="64">
        <v>2010</v>
      </c>
      <c r="B91" s="30">
        <v>15.2</v>
      </c>
      <c r="C91" s="30" t="s">
        <v>22</v>
      </c>
      <c r="D91" s="30" t="s">
        <v>30</v>
      </c>
      <c r="E91" s="30">
        <v>0.09</v>
      </c>
      <c r="F91" s="28" t="s">
        <v>784</v>
      </c>
      <c r="G91" s="28" t="s">
        <v>2154</v>
      </c>
      <c r="H91" s="28" t="s">
        <v>785</v>
      </c>
      <c r="I91" s="28" t="s">
        <v>2495</v>
      </c>
      <c r="J91" s="149" t="str">
        <f t="shared" si="20"/>
        <v>https://doi.org/10.1109/VLSIC.2010.5560317</v>
      </c>
      <c r="K91" s="28" t="s">
        <v>780</v>
      </c>
      <c r="L91" s="38">
        <v>1</v>
      </c>
      <c r="M91" s="38"/>
      <c r="N91" s="38"/>
      <c r="O91" s="39" t="s">
        <v>1050</v>
      </c>
      <c r="P91" s="30">
        <v>0.4</v>
      </c>
      <c r="Q91" s="60"/>
      <c r="R91" s="63">
        <f t="shared" si="25"/>
        <v>4000000</v>
      </c>
      <c r="S91" s="60">
        <v>72</v>
      </c>
      <c r="T91" s="60"/>
      <c r="U91" s="30">
        <v>72</v>
      </c>
      <c r="V91" s="60"/>
      <c r="W91" s="60"/>
      <c r="X91" s="29">
        <f t="shared" si="21"/>
        <v>72</v>
      </c>
      <c r="Y91" s="63">
        <v>4.8999999999999998E-3</v>
      </c>
      <c r="Z91" s="80">
        <v>192000000</v>
      </c>
      <c r="AA91" s="64">
        <f t="shared" si="26"/>
        <v>24</v>
      </c>
      <c r="AB91" s="63">
        <f>2*4000000</f>
        <v>8000000</v>
      </c>
      <c r="AC91" s="5" t="s">
        <v>2096</v>
      </c>
      <c r="AD91" s="111">
        <f t="shared" si="12"/>
        <v>612.5</v>
      </c>
      <c r="AE91" s="29" t="str">
        <f t="shared" si="13"/>
        <v/>
      </c>
      <c r="AF91" s="29">
        <f t="shared" si="14"/>
        <v>188.25915733094843</v>
      </c>
      <c r="AG91" s="29" t="str">
        <f t="shared" si="15"/>
        <v/>
      </c>
      <c r="AH91" s="29">
        <f t="shared" si="16"/>
        <v>161.11863911299449</v>
      </c>
      <c r="AI91" s="33">
        <f t="shared" si="23"/>
        <v>2.3532394666368553E-5</v>
      </c>
      <c r="AJ91" s="48">
        <f t="shared" si="24"/>
        <v>230.14953898291392</v>
      </c>
    </row>
    <row r="92" spans="1:36" x14ac:dyDescent="0.3">
      <c r="A92" s="64">
        <v>2010</v>
      </c>
      <c r="B92" s="30">
        <v>15.2</v>
      </c>
      <c r="C92" s="30" t="s">
        <v>22</v>
      </c>
      <c r="D92" s="30" t="s">
        <v>30</v>
      </c>
      <c r="E92" s="30">
        <v>0.09</v>
      </c>
      <c r="F92" s="28" t="s">
        <v>784</v>
      </c>
      <c r="G92" s="28" t="s">
        <v>2154</v>
      </c>
      <c r="H92" s="28" t="s">
        <v>785</v>
      </c>
      <c r="I92" s="28" t="s">
        <v>2495</v>
      </c>
      <c r="J92" s="149" t="str">
        <f>IF(I92&lt;&gt;"?", HYPERLINK(CONCATENATE("https://doi.org/",I92)), "")</f>
        <v>https://doi.org/10.1109/VLSIC.2010.5560317</v>
      </c>
      <c r="K92" s="28" t="s">
        <v>781</v>
      </c>
      <c r="L92" s="38">
        <v>1</v>
      </c>
      <c r="M92" s="38"/>
      <c r="N92" s="38"/>
      <c r="O92" s="39" t="s">
        <v>1050</v>
      </c>
      <c r="P92" s="30">
        <v>0.4</v>
      </c>
      <c r="Q92" s="60"/>
      <c r="R92" s="63">
        <f t="shared" si="25"/>
        <v>20000000</v>
      </c>
      <c r="S92" s="60">
        <v>58</v>
      </c>
      <c r="T92" s="60"/>
      <c r="U92" s="30">
        <v>58</v>
      </c>
      <c r="V92" s="60"/>
      <c r="W92" s="60"/>
      <c r="X92" s="29">
        <f t="shared" si="21"/>
        <v>58</v>
      </c>
      <c r="Y92" s="63">
        <v>8.5000000000000006E-3</v>
      </c>
      <c r="Z92" s="80">
        <v>640000000</v>
      </c>
      <c r="AA92" s="64">
        <f t="shared" si="26"/>
        <v>16</v>
      </c>
      <c r="AB92" s="63">
        <f>2*20000000</f>
        <v>40000000</v>
      </c>
      <c r="AC92" s="5" t="s">
        <v>2096</v>
      </c>
      <c r="AD92" s="111">
        <f t="shared" si="12"/>
        <v>212.50000000000003</v>
      </c>
      <c r="AE92" s="29" t="str">
        <f t="shared" si="13"/>
        <v/>
      </c>
      <c r="AF92" s="29">
        <f t="shared" si="14"/>
        <v>327.40002565980262</v>
      </c>
      <c r="AG92" s="29" t="str">
        <f t="shared" si="15"/>
        <v/>
      </c>
      <c r="AH92" s="29">
        <f t="shared" si="16"/>
        <v>151.71611069949688</v>
      </c>
      <c r="AI92" s="33">
        <f t="shared" si="23"/>
        <v>8.185000641495065E-6</v>
      </c>
      <c r="AJ92" s="48">
        <f t="shared" si="24"/>
        <v>227.73671061277651</v>
      </c>
    </row>
    <row r="93" spans="1:36" x14ac:dyDescent="0.3">
      <c r="A93" s="64">
        <v>2010</v>
      </c>
      <c r="B93" s="30">
        <v>15.3</v>
      </c>
      <c r="C93" s="30" t="s">
        <v>22</v>
      </c>
      <c r="D93" s="30" t="s">
        <v>782</v>
      </c>
      <c r="E93" s="30">
        <v>6.5000000000000002E-2</v>
      </c>
      <c r="F93" s="28" t="s">
        <v>786</v>
      </c>
      <c r="G93" s="28" t="s">
        <v>788</v>
      </c>
      <c r="H93" s="28" t="s">
        <v>787</v>
      </c>
      <c r="I93" s="28" t="s">
        <v>2496</v>
      </c>
      <c r="J93" s="149" t="str">
        <f t="shared" si="20"/>
        <v>https://doi.org/10.1109/VLSIC.2010.5560314</v>
      </c>
      <c r="K93" s="28" t="s">
        <v>783</v>
      </c>
      <c r="L93" s="38">
        <v>1</v>
      </c>
      <c r="M93" s="38"/>
      <c r="N93" s="38"/>
      <c r="O93" s="39" t="s">
        <v>1050</v>
      </c>
      <c r="P93" s="30">
        <v>0.02</v>
      </c>
      <c r="Q93" s="60"/>
      <c r="R93" s="63">
        <f t="shared" si="25"/>
        <v>30000000</v>
      </c>
      <c r="S93" s="60">
        <v>64</v>
      </c>
      <c r="T93" s="60"/>
      <c r="V93" s="60"/>
      <c r="W93" s="60">
        <v>79</v>
      </c>
      <c r="X93" s="29">
        <f t="shared" si="21"/>
        <v>64</v>
      </c>
      <c r="Y93" s="63">
        <v>1.14E-2</v>
      </c>
      <c r="Z93" s="80">
        <v>300000000</v>
      </c>
      <c r="AA93" s="64">
        <f t="shared" si="26"/>
        <v>5</v>
      </c>
      <c r="AB93" s="63">
        <f>2*30000000</f>
        <v>60000000</v>
      </c>
      <c r="AC93" s="5" t="s">
        <v>2096</v>
      </c>
      <c r="AD93" s="111">
        <f t="shared" si="12"/>
        <v>190.00000000000003</v>
      </c>
      <c r="AE93" s="29" t="str">
        <f t="shared" si="13"/>
        <v/>
      </c>
      <c r="AF93" s="29">
        <f t="shared" si="14"/>
        <v>146.70451490163222</v>
      </c>
      <c r="AG93" s="29" t="str">
        <f t="shared" si="15"/>
        <v/>
      </c>
      <c r="AH93" s="29">
        <f t="shared" si="16"/>
        <v>158.20216403383191</v>
      </c>
      <c r="AI93" s="33">
        <f t="shared" si="23"/>
        <v>2.4450752483605371E-6</v>
      </c>
      <c r="AJ93" s="48">
        <f t="shared" si="24"/>
        <v>235.98367653766834</v>
      </c>
    </row>
    <row r="94" spans="1:36" x14ac:dyDescent="0.3">
      <c r="A94" s="64">
        <v>2010</v>
      </c>
      <c r="B94" s="30">
        <v>15.4</v>
      </c>
      <c r="C94" s="30" t="s">
        <v>23</v>
      </c>
      <c r="D94" s="30" t="s">
        <v>557</v>
      </c>
      <c r="E94" s="30">
        <v>6.5000000000000002E-2</v>
      </c>
      <c r="F94" s="28" t="s">
        <v>789</v>
      </c>
      <c r="G94" s="28" t="s">
        <v>2155</v>
      </c>
      <c r="H94" s="28" t="s">
        <v>790</v>
      </c>
      <c r="I94" s="28" t="s">
        <v>2497</v>
      </c>
      <c r="J94" s="149" t="str">
        <f t="shared" si="20"/>
        <v>https://doi.org/10.1109/VLSIC.2010.5560315</v>
      </c>
      <c r="K94" s="28" t="s">
        <v>1050</v>
      </c>
      <c r="L94" s="38">
        <v>1.1000000000000001</v>
      </c>
      <c r="M94" s="38"/>
      <c r="N94" s="38"/>
      <c r="O94" s="39">
        <v>1.1000000000000001</v>
      </c>
      <c r="P94" s="30">
        <v>0.44</v>
      </c>
      <c r="Q94" s="60">
        <v>27</v>
      </c>
      <c r="R94" s="63">
        <v>8000000000</v>
      </c>
      <c r="S94" s="60">
        <v>25.1</v>
      </c>
      <c r="T94" s="60"/>
      <c r="V94" s="60"/>
      <c r="W94" s="60"/>
      <c r="X94" s="29">
        <f t="shared" si="21"/>
        <v>25.1</v>
      </c>
      <c r="Y94" s="63">
        <v>8.1000000000000003E-2</v>
      </c>
      <c r="Z94" s="80">
        <v>12000000000</v>
      </c>
      <c r="AA94" s="30">
        <v>1</v>
      </c>
      <c r="AB94" s="63">
        <f t="shared" ref="AB94:AB99" si="27">Z94*AA94</f>
        <v>12000000000</v>
      </c>
      <c r="AC94" s="5" t="s">
        <v>2096</v>
      </c>
      <c r="AD94" s="111">
        <f t="shared" si="12"/>
        <v>6.75</v>
      </c>
      <c r="AE94" s="29">
        <f t="shared" si="13"/>
        <v>369.12886751567333</v>
      </c>
      <c r="AF94" s="29">
        <f t="shared" si="14"/>
        <v>459.39628339825992</v>
      </c>
      <c r="AG94" s="29">
        <f t="shared" si="15"/>
        <v>135.69666231504993</v>
      </c>
      <c r="AH94" s="29">
        <f t="shared" si="16"/>
        <v>133.79666231504993</v>
      </c>
      <c r="AI94" s="33">
        <f t="shared" si="23"/>
        <v>3.8283023616521663E-8</v>
      </c>
      <c r="AJ94" s="48">
        <f t="shared" si="24"/>
        <v>234.58847477552618</v>
      </c>
    </row>
    <row r="95" spans="1:36" x14ac:dyDescent="0.3">
      <c r="A95" s="64">
        <v>2010</v>
      </c>
      <c r="B95" s="30">
        <v>15.5</v>
      </c>
      <c r="C95" s="30" t="s">
        <v>23</v>
      </c>
      <c r="D95" s="30" t="s">
        <v>557</v>
      </c>
      <c r="E95" s="30">
        <v>6.5000000000000002E-2</v>
      </c>
      <c r="F95" s="28" t="s">
        <v>791</v>
      </c>
      <c r="G95" s="28" t="s">
        <v>793</v>
      </c>
      <c r="H95" s="28" t="s">
        <v>792</v>
      </c>
      <c r="I95" s="28" t="s">
        <v>2498</v>
      </c>
      <c r="J95" s="149" t="str">
        <f t="shared" si="20"/>
        <v>https://doi.org/10.1109/VLSIC.2010.5560312</v>
      </c>
      <c r="K95" s="28" t="s">
        <v>1050</v>
      </c>
      <c r="L95" s="38"/>
      <c r="M95" s="38"/>
      <c r="N95" s="38"/>
      <c r="O95" s="39" t="s">
        <v>1050</v>
      </c>
      <c r="P95" s="30">
        <v>1.4694</v>
      </c>
      <c r="Q95" s="60">
        <v>30.8</v>
      </c>
      <c r="R95" s="63">
        <v>3000000000</v>
      </c>
      <c r="S95" s="60">
        <v>28</v>
      </c>
      <c r="T95" s="60"/>
      <c r="V95" s="60"/>
      <c r="W95" s="60"/>
      <c r="X95" s="29">
        <f t="shared" si="21"/>
        <v>28</v>
      </c>
      <c r="Y95" s="63">
        <v>0.435</v>
      </c>
      <c r="Z95" s="80">
        <v>16000000000</v>
      </c>
      <c r="AA95" s="30">
        <v>1</v>
      </c>
      <c r="AB95" s="63">
        <f t="shared" si="27"/>
        <v>16000000000</v>
      </c>
      <c r="AC95" s="5" t="s">
        <v>2096</v>
      </c>
      <c r="AD95" s="111">
        <f t="shared" si="12"/>
        <v>27.1875</v>
      </c>
      <c r="AE95" s="29">
        <f t="shared" si="13"/>
        <v>959.89687456075637</v>
      </c>
      <c r="AF95" s="29">
        <f t="shared" si="14"/>
        <v>1325.0691077185015</v>
      </c>
      <c r="AG95" s="29">
        <f t="shared" si="15"/>
        <v>133.44600730037308</v>
      </c>
      <c r="AH95" s="29">
        <f t="shared" si="16"/>
        <v>130.64600730037307</v>
      </c>
      <c r="AI95" s="33">
        <f t="shared" si="23"/>
        <v>8.2816819232406344E-8</v>
      </c>
      <c r="AJ95" s="48">
        <f t="shared" si="24"/>
        <v>232.68720712693232</v>
      </c>
    </row>
    <row r="96" spans="1:36" x14ac:dyDescent="0.3">
      <c r="A96" s="64">
        <v>2010</v>
      </c>
      <c r="B96" s="30">
        <v>23.1</v>
      </c>
      <c r="C96" s="30" t="s">
        <v>23</v>
      </c>
      <c r="D96" s="30" t="s">
        <v>678</v>
      </c>
      <c r="E96" s="30">
        <v>0.09</v>
      </c>
      <c r="F96" s="28" t="s">
        <v>794</v>
      </c>
      <c r="G96" s="28" t="s">
        <v>2156</v>
      </c>
      <c r="H96" s="28" t="s">
        <v>795</v>
      </c>
      <c r="I96" s="28" t="s">
        <v>2499</v>
      </c>
      <c r="J96" s="149" t="str">
        <f t="shared" si="20"/>
        <v>https://doi.org/10.1109/VLSIC.2010.5560285</v>
      </c>
      <c r="K96" s="28" t="s">
        <v>1050</v>
      </c>
      <c r="L96" s="38">
        <v>1.2</v>
      </c>
      <c r="M96" s="38"/>
      <c r="N96" s="38"/>
      <c r="O96" s="39" t="s">
        <v>1050</v>
      </c>
      <c r="P96" s="30">
        <v>0.32</v>
      </c>
      <c r="Q96" s="60"/>
      <c r="R96" s="63">
        <f t="shared" ref="R96:R107" si="28">AB96/2</f>
        <v>50000000</v>
      </c>
      <c r="S96" s="60">
        <f>6.02*10.2+1.76</f>
        <v>63.163999999999987</v>
      </c>
      <c r="T96" s="60"/>
      <c r="V96" s="60"/>
      <c r="W96" s="60">
        <v>74</v>
      </c>
      <c r="X96" s="29">
        <f t="shared" si="21"/>
        <v>63.163999999999987</v>
      </c>
      <c r="Y96" s="63">
        <v>6.1999999999999998E-3</v>
      </c>
      <c r="Z96" s="80">
        <v>100000000</v>
      </c>
      <c r="AA96" s="30">
        <v>1</v>
      </c>
      <c r="AB96" s="63">
        <f t="shared" si="27"/>
        <v>100000000</v>
      </c>
      <c r="AC96" s="5" t="s">
        <v>2096</v>
      </c>
      <c r="AD96" s="111">
        <f t="shared" si="12"/>
        <v>61.999999999999993</v>
      </c>
      <c r="AE96" s="29" t="str">
        <f t="shared" si="13"/>
        <v/>
      </c>
      <c r="AF96" s="29">
        <f t="shared" si="14"/>
        <v>52.709116137070055</v>
      </c>
      <c r="AG96" s="29" t="str">
        <f t="shared" si="15"/>
        <v/>
      </c>
      <c r="AH96" s="29">
        <f t="shared" si="16"/>
        <v>162.22978314837763</v>
      </c>
      <c r="AI96" s="33">
        <f t="shared" si="23"/>
        <v>5.2709116137070049E-7</v>
      </c>
      <c r="AJ96" s="48">
        <f t="shared" si="24"/>
        <v>242.22978314837763</v>
      </c>
    </row>
    <row r="97" spans="1:36" x14ac:dyDescent="0.3">
      <c r="A97" s="64">
        <v>2010</v>
      </c>
      <c r="B97" s="30">
        <v>23.2</v>
      </c>
      <c r="C97" s="30" t="s">
        <v>23</v>
      </c>
      <c r="D97" s="30" t="s">
        <v>745</v>
      </c>
      <c r="E97" s="30">
        <v>6.5000000000000002E-2</v>
      </c>
      <c r="F97" s="28" t="s">
        <v>796</v>
      </c>
      <c r="G97" s="28" t="s">
        <v>798</v>
      </c>
      <c r="H97" s="28" t="s">
        <v>797</v>
      </c>
      <c r="I97" s="28" t="s">
        <v>2500</v>
      </c>
      <c r="J97" s="149" t="str">
        <f t="shared" si="20"/>
        <v>https://doi.org/10.1109/VLSIC.2010.5560243</v>
      </c>
      <c r="K97" s="28" t="s">
        <v>1050</v>
      </c>
      <c r="L97" s="38"/>
      <c r="M97" s="38"/>
      <c r="N97" s="38"/>
      <c r="O97" s="39" t="s">
        <v>1050</v>
      </c>
      <c r="P97" s="30">
        <v>0.16</v>
      </c>
      <c r="Q97" s="60"/>
      <c r="R97" s="63">
        <f t="shared" si="28"/>
        <v>25000000</v>
      </c>
      <c r="S97" s="60">
        <f>10.4*6.02+1.76</f>
        <v>64.367999999999995</v>
      </c>
      <c r="T97" s="60"/>
      <c r="V97" s="60"/>
      <c r="W97" s="60">
        <v>75</v>
      </c>
      <c r="X97" s="29">
        <f t="shared" si="21"/>
        <v>64.367999999999995</v>
      </c>
      <c r="Y97" s="63">
        <v>3.5000000000000001E-3</v>
      </c>
      <c r="Z97" s="80">
        <v>50000000</v>
      </c>
      <c r="AA97" s="30">
        <v>1</v>
      </c>
      <c r="AB97" s="63">
        <f t="shared" si="27"/>
        <v>50000000</v>
      </c>
      <c r="AC97" s="5" t="s">
        <v>2096</v>
      </c>
      <c r="AD97" s="111">
        <f t="shared" si="12"/>
        <v>70</v>
      </c>
      <c r="AE97" s="29" t="str">
        <f t="shared" si="13"/>
        <v/>
      </c>
      <c r="AF97" s="29">
        <f t="shared" si="14"/>
        <v>51.806718581898373</v>
      </c>
      <c r="AG97" s="29" t="str">
        <f t="shared" si="15"/>
        <v/>
      </c>
      <c r="AH97" s="29">
        <f t="shared" si="16"/>
        <v>162.90671964321763</v>
      </c>
      <c r="AI97" s="33">
        <f t="shared" si="23"/>
        <v>1.0361343716379674E-6</v>
      </c>
      <c r="AJ97" s="48">
        <f t="shared" si="24"/>
        <v>239.89641968657781</v>
      </c>
    </row>
    <row r="98" spans="1:36" x14ac:dyDescent="0.3">
      <c r="A98" s="64">
        <v>2010</v>
      </c>
      <c r="B98" s="30">
        <v>23.3</v>
      </c>
      <c r="C98" s="30" t="s">
        <v>23</v>
      </c>
      <c r="D98" s="30" t="s">
        <v>31</v>
      </c>
      <c r="E98" s="30">
        <v>0.18</v>
      </c>
      <c r="F98" s="28" t="s">
        <v>799</v>
      </c>
      <c r="G98" s="28" t="s">
        <v>801</v>
      </c>
      <c r="H98" s="28" t="s">
        <v>800</v>
      </c>
      <c r="I98" s="28" t="s">
        <v>2501</v>
      </c>
      <c r="J98" s="149" t="str">
        <f t="shared" si="20"/>
        <v>https://doi.org/10.1109/VLSIC.2010.5560283</v>
      </c>
      <c r="K98" s="28" t="s">
        <v>1050</v>
      </c>
      <c r="L98" s="38">
        <v>1</v>
      </c>
      <c r="M98" s="38"/>
      <c r="N98" s="38"/>
      <c r="O98" s="39" t="s">
        <v>1050</v>
      </c>
      <c r="P98" s="30">
        <v>8.5999999999999993E-2</v>
      </c>
      <c r="Q98" s="60"/>
      <c r="R98" s="63">
        <f t="shared" si="28"/>
        <v>5000000</v>
      </c>
      <c r="S98" s="60">
        <v>60.29</v>
      </c>
      <c r="T98" s="60"/>
      <c r="V98" s="60"/>
      <c r="W98" s="60">
        <v>69</v>
      </c>
      <c r="X98" s="29">
        <f t="shared" si="21"/>
        <v>60.29</v>
      </c>
      <c r="Y98" s="63">
        <v>9.7999999999999997E-5</v>
      </c>
      <c r="Z98" s="80">
        <v>10000000</v>
      </c>
      <c r="AA98" s="30">
        <v>1</v>
      </c>
      <c r="AB98" s="63">
        <f t="shared" si="27"/>
        <v>10000000</v>
      </c>
      <c r="AC98" s="5" t="s">
        <v>2096</v>
      </c>
      <c r="AD98" s="111">
        <f t="shared" si="12"/>
        <v>9.7999999999999989</v>
      </c>
      <c r="AE98" s="29" t="str">
        <f t="shared" si="13"/>
        <v/>
      </c>
      <c r="AF98" s="29">
        <f t="shared" si="14"/>
        <v>11.599371020416873</v>
      </c>
      <c r="AG98" s="29" t="str">
        <f t="shared" si="15"/>
        <v/>
      </c>
      <c r="AH98" s="29">
        <f t="shared" si="16"/>
        <v>167.36743928643523</v>
      </c>
      <c r="AI98" s="33">
        <f t="shared" si="23"/>
        <v>1.1599371020416874E-6</v>
      </c>
      <c r="AJ98" s="48">
        <f t="shared" si="24"/>
        <v>237.36743928643523</v>
      </c>
    </row>
    <row r="99" spans="1:36" x14ac:dyDescent="0.3">
      <c r="A99" s="64">
        <v>2010</v>
      </c>
      <c r="B99" s="30">
        <v>23.4</v>
      </c>
      <c r="C99" s="30" t="s">
        <v>23</v>
      </c>
      <c r="D99" s="30" t="s">
        <v>31</v>
      </c>
      <c r="E99" s="30">
        <v>0.09</v>
      </c>
      <c r="F99" s="28" t="s">
        <v>802</v>
      </c>
      <c r="G99" s="28" t="s">
        <v>804</v>
      </c>
      <c r="H99" s="28" t="s">
        <v>803</v>
      </c>
      <c r="I99" s="28" t="s">
        <v>2502</v>
      </c>
      <c r="J99" s="149" t="str">
        <f t="shared" si="20"/>
        <v>https://doi.org/10.1109/VLSIC.2010.5560246</v>
      </c>
      <c r="K99" s="28" t="s">
        <v>1050</v>
      </c>
      <c r="L99" s="38">
        <v>1.2</v>
      </c>
      <c r="M99" s="38"/>
      <c r="N99" s="38"/>
      <c r="O99" s="39" t="s">
        <v>1050</v>
      </c>
      <c r="P99" s="30">
        <v>2.8000000000000001E-2</v>
      </c>
      <c r="Q99" s="60"/>
      <c r="R99" s="63">
        <f t="shared" si="28"/>
        <v>75000000</v>
      </c>
      <c r="S99" s="60">
        <f>6.02*8.69+1.76</f>
        <v>54.073799999999991</v>
      </c>
      <c r="T99" s="60"/>
      <c r="V99" s="60"/>
      <c r="W99" s="60">
        <v>71</v>
      </c>
      <c r="X99" s="29">
        <f t="shared" ref="X99:X130" si="29">+IF(ISNUMBER($S99),$S99,MIN($V99,$T99,$U99,$W99))</f>
        <v>54.073799999999991</v>
      </c>
      <c r="Y99" s="63">
        <v>1.5299999999999999E-3</v>
      </c>
      <c r="Z99" s="80">
        <f>150000000</f>
        <v>150000000</v>
      </c>
      <c r="AA99" s="30">
        <v>1</v>
      </c>
      <c r="AB99" s="63">
        <f t="shared" si="27"/>
        <v>150000000</v>
      </c>
      <c r="AC99" s="5" t="s">
        <v>2096</v>
      </c>
      <c r="AD99" s="111">
        <f t="shared" ref="AD99:AD162" si="30">Y99/AB99*1000000000000</f>
        <v>10.199999999999999</v>
      </c>
      <c r="AE99" s="29" t="str">
        <f t="shared" ref="AE99:AE162" si="31">IF(ISNUMBER($Q99),$AD99*1000/2^(($Q99-1.76)/6.02), "")</f>
        <v/>
      </c>
      <c r="AF99" s="29">
        <f t="shared" ref="AF99:AF162" si="32">$AD99*1000/2^(($X99-1.76)/6.02)</f>
        <v>24.697301834722008</v>
      </c>
      <c r="AG99" s="29" t="str">
        <f t="shared" ref="AG99:AG162" si="33">IF(ISNUMBER($Q99), $Q99+10*LOG10($AB99/2/$Y99), "")</f>
        <v/>
      </c>
      <c r="AH99" s="29">
        <f t="shared" ref="AH99:AH162" si="34">$X99+10*LOG10($AB99/2/$Y99)</f>
        <v>160.97749832574101</v>
      </c>
      <c r="AI99" s="33">
        <f t="shared" si="23"/>
        <v>1.6464867889814673E-7</v>
      </c>
      <c r="AJ99" s="48">
        <f t="shared" si="24"/>
        <v>242.73841091629782</v>
      </c>
    </row>
    <row r="100" spans="1:36" x14ac:dyDescent="0.3">
      <c r="A100" s="59">
        <v>2011</v>
      </c>
      <c r="B100" s="30">
        <v>4.0999999999999996</v>
      </c>
      <c r="C100" s="30" t="s">
        <v>22</v>
      </c>
      <c r="D100" s="30" t="s">
        <v>399</v>
      </c>
      <c r="E100" s="30">
        <v>0.18</v>
      </c>
      <c r="F100" s="28" t="s">
        <v>866</v>
      </c>
      <c r="G100" s="28" t="s">
        <v>870</v>
      </c>
      <c r="H100" s="28" t="s">
        <v>874</v>
      </c>
      <c r="I100" s="28" t="s">
        <v>1233</v>
      </c>
      <c r="J100" s="149" t="s">
        <v>2946</v>
      </c>
      <c r="K100" s="28" t="s">
        <v>879</v>
      </c>
      <c r="L100" s="38"/>
      <c r="M100" s="38"/>
      <c r="N100" s="38"/>
      <c r="O100" s="39" t="s">
        <v>1050</v>
      </c>
      <c r="P100" s="30">
        <v>1.3</v>
      </c>
      <c r="Q100" s="60"/>
      <c r="R100" s="63">
        <f t="shared" si="28"/>
        <v>5333333.333333333</v>
      </c>
      <c r="S100" s="60">
        <v>73.7</v>
      </c>
      <c r="T100" s="60"/>
      <c r="V100" s="60"/>
      <c r="W100" s="60">
        <v>94.5</v>
      </c>
      <c r="X100" s="29">
        <f t="shared" si="29"/>
        <v>73.7</v>
      </c>
      <c r="Y100" s="63">
        <f>0.0082+0.0057</f>
        <v>1.3900000000000001E-2</v>
      </c>
      <c r="Z100" s="80">
        <v>64000000</v>
      </c>
      <c r="AA100" s="30">
        <v>6</v>
      </c>
      <c r="AB100" s="63">
        <f>Z100/AA100</f>
        <v>10666666.666666666</v>
      </c>
      <c r="AC100" s="5" t="s">
        <v>2096</v>
      </c>
      <c r="AD100" s="111">
        <f t="shared" si="30"/>
        <v>1303.125</v>
      </c>
      <c r="AE100" s="29" t="str">
        <f t="shared" si="31"/>
        <v/>
      </c>
      <c r="AF100" s="29">
        <f t="shared" si="32"/>
        <v>329.32721650776733</v>
      </c>
      <c r="AG100" s="29" t="str">
        <f t="shared" si="33"/>
        <v/>
      </c>
      <c r="AH100" s="29">
        <f t="shared" si="34"/>
        <v>159.53983927682168</v>
      </c>
      <c r="AI100" s="33">
        <f t="shared" si="23"/>
        <v>3.087442654760319E-5</v>
      </c>
      <c r="AJ100" s="48">
        <f t="shared" si="24"/>
        <v>229.82012651282412</v>
      </c>
    </row>
    <row r="101" spans="1:36" x14ac:dyDescent="0.3">
      <c r="A101" s="64">
        <v>2011</v>
      </c>
      <c r="B101" s="30">
        <v>4.2</v>
      </c>
      <c r="C101" s="30" t="s">
        <v>22</v>
      </c>
      <c r="D101" s="30" t="s">
        <v>25</v>
      </c>
      <c r="E101" s="30">
        <v>3.2000000000000001E-2</v>
      </c>
      <c r="F101" s="28" t="s">
        <v>2157</v>
      </c>
      <c r="G101" s="28" t="s">
        <v>871</v>
      </c>
      <c r="H101" s="28" t="s">
        <v>875</v>
      </c>
      <c r="I101" s="28" t="s">
        <v>1233</v>
      </c>
      <c r="J101" s="149" t="s">
        <v>2947</v>
      </c>
      <c r="K101" s="28" t="s">
        <v>880</v>
      </c>
      <c r="L101" s="38"/>
      <c r="M101" s="38"/>
      <c r="N101" s="38"/>
      <c r="O101" s="39" t="s">
        <v>1050</v>
      </c>
      <c r="P101" s="30">
        <v>0.13</v>
      </c>
      <c r="Q101" s="60"/>
      <c r="R101" s="63">
        <f t="shared" si="28"/>
        <v>20000000</v>
      </c>
      <c r="S101" s="60">
        <v>63</v>
      </c>
      <c r="T101" s="60"/>
      <c r="U101" s="30">
        <v>66</v>
      </c>
      <c r="V101" s="60"/>
      <c r="W101" s="60">
        <v>67</v>
      </c>
      <c r="X101" s="29">
        <f t="shared" si="29"/>
        <v>63</v>
      </c>
      <c r="Y101" s="63">
        <v>2.8000000000000001E-2</v>
      </c>
      <c r="Z101" s="80">
        <v>400</v>
      </c>
      <c r="AA101" s="64">
        <v>10</v>
      </c>
      <c r="AB101" s="63">
        <v>40000000</v>
      </c>
      <c r="AC101" s="5" t="s">
        <v>2096</v>
      </c>
      <c r="AD101" s="111">
        <f t="shared" si="30"/>
        <v>700.00000000000011</v>
      </c>
      <c r="AE101" s="29" t="str">
        <f t="shared" si="31"/>
        <v/>
      </c>
      <c r="AF101" s="29">
        <f t="shared" si="32"/>
        <v>606.4470689716004</v>
      </c>
      <c r="AG101" s="29" t="str">
        <f t="shared" si="33"/>
        <v/>
      </c>
      <c r="AH101" s="29">
        <f t="shared" si="34"/>
        <v>151.53871964321763</v>
      </c>
      <c r="AI101" s="33">
        <f t="shared" si="23"/>
        <v>1.516117672429001E-5</v>
      </c>
      <c r="AJ101" s="48">
        <f t="shared" si="24"/>
        <v>227.55931955649726</v>
      </c>
    </row>
    <row r="102" spans="1:36" x14ac:dyDescent="0.3">
      <c r="A102" s="64">
        <v>2011</v>
      </c>
      <c r="B102" s="30">
        <v>4.3</v>
      </c>
      <c r="C102" s="30" t="s">
        <v>22</v>
      </c>
      <c r="D102" s="30" t="s">
        <v>30</v>
      </c>
      <c r="E102" s="30">
        <v>6.5000000000000002E-2</v>
      </c>
      <c r="F102" s="28" t="s">
        <v>867</v>
      </c>
      <c r="G102" s="28" t="s">
        <v>2158</v>
      </c>
      <c r="H102" s="28" t="s">
        <v>876</v>
      </c>
      <c r="I102" s="28" t="s">
        <v>1233</v>
      </c>
      <c r="J102" s="149" t="s">
        <v>2948</v>
      </c>
      <c r="K102" s="28" t="s">
        <v>1050</v>
      </c>
      <c r="L102" s="38">
        <v>2.5</v>
      </c>
      <c r="M102" s="38"/>
      <c r="N102" s="38"/>
      <c r="O102" s="39" t="s">
        <v>1050</v>
      </c>
      <c r="P102" s="30">
        <v>0.71</v>
      </c>
      <c r="Q102" s="60"/>
      <c r="R102" s="63">
        <f t="shared" si="28"/>
        <v>1950000</v>
      </c>
      <c r="S102" s="60">
        <v>73.3</v>
      </c>
      <c r="T102" s="60"/>
      <c r="U102" s="30">
        <v>79</v>
      </c>
      <c r="V102" s="60"/>
      <c r="W102" s="60">
        <v>83</v>
      </c>
      <c r="X102" s="29">
        <f t="shared" si="29"/>
        <v>73.3</v>
      </c>
      <c r="Y102" s="63">
        <v>8.5500000000000003E-3</v>
      </c>
      <c r="Z102" s="80">
        <v>124800000</v>
      </c>
      <c r="AA102" s="64">
        <f>Z102/AB102</f>
        <v>32</v>
      </c>
      <c r="AB102" s="63">
        <f>2*1950000</f>
        <v>3900000</v>
      </c>
      <c r="AC102" s="5" t="s">
        <v>2096</v>
      </c>
      <c r="AD102" s="111">
        <f t="shared" si="30"/>
        <v>2192.3076923076924</v>
      </c>
      <c r="AE102" s="29" t="str">
        <f t="shared" si="31"/>
        <v/>
      </c>
      <c r="AF102" s="29">
        <f t="shared" si="32"/>
        <v>580.15634666215044</v>
      </c>
      <c r="AG102" s="29" t="str">
        <f t="shared" si="33"/>
        <v/>
      </c>
      <c r="AH102" s="29">
        <f t="shared" si="34"/>
        <v>156.88068496634344</v>
      </c>
      <c r="AI102" s="33">
        <f t="shared" si="23"/>
        <v>1.4875803760567961E-4</v>
      </c>
      <c r="AJ102" s="48">
        <f t="shared" si="24"/>
        <v>222.79133103660843</v>
      </c>
    </row>
    <row r="103" spans="1:36" x14ac:dyDescent="0.3">
      <c r="A103" s="64">
        <v>2011</v>
      </c>
      <c r="B103" s="30">
        <v>4.4000000000000004</v>
      </c>
      <c r="C103" s="30" t="s">
        <v>22</v>
      </c>
      <c r="D103" s="30" t="s">
        <v>1955</v>
      </c>
      <c r="E103" s="30">
        <v>0.04</v>
      </c>
      <c r="F103" s="28" t="s">
        <v>868</v>
      </c>
      <c r="G103" s="28" t="s">
        <v>872</v>
      </c>
      <c r="H103" s="28" t="s">
        <v>877</v>
      </c>
      <c r="I103" s="28" t="s">
        <v>1233</v>
      </c>
      <c r="J103" s="149" t="s">
        <v>2949</v>
      </c>
      <c r="K103" s="28" t="s">
        <v>865</v>
      </c>
      <c r="L103" s="38"/>
      <c r="M103" s="38"/>
      <c r="N103" s="38"/>
      <c r="O103" s="39" t="s">
        <v>1050</v>
      </c>
      <c r="P103" s="30">
        <v>0.4</v>
      </c>
      <c r="Q103" s="60"/>
      <c r="R103" s="63">
        <f t="shared" si="28"/>
        <v>80000000</v>
      </c>
      <c r="S103" s="60">
        <v>41</v>
      </c>
      <c r="T103" s="60"/>
      <c r="U103" s="30">
        <v>48</v>
      </c>
      <c r="V103" s="60"/>
      <c r="W103" s="60">
        <v>51</v>
      </c>
      <c r="X103" s="29">
        <f t="shared" si="29"/>
        <v>41</v>
      </c>
      <c r="Y103" s="63">
        <f>0.109*1.5</f>
        <v>0.16350000000000001</v>
      </c>
      <c r="Z103" s="80">
        <v>8880000000</v>
      </c>
      <c r="AA103" s="64">
        <f>Z103/AB103</f>
        <v>55.5</v>
      </c>
      <c r="AB103" s="63">
        <v>160000000</v>
      </c>
      <c r="AC103" s="5">
        <v>2200000000</v>
      </c>
      <c r="AD103" s="111">
        <f t="shared" si="30"/>
        <v>1021.875</v>
      </c>
      <c r="AE103" s="29" t="str">
        <f t="shared" si="31"/>
        <v/>
      </c>
      <c r="AF103" s="29">
        <f t="shared" si="32"/>
        <v>11148.135903675231</v>
      </c>
      <c r="AG103" s="29" t="str">
        <f t="shared" si="33"/>
        <v/>
      </c>
      <c r="AH103" s="29">
        <f t="shared" si="34"/>
        <v>127.89572229995639</v>
      </c>
      <c r="AI103" s="33">
        <f t="shared" si="23"/>
        <v>6.9675849397970199E-5</v>
      </c>
      <c r="AJ103" s="48">
        <f t="shared" si="24"/>
        <v>209.93692212651564</v>
      </c>
    </row>
    <row r="104" spans="1:36" x14ac:dyDescent="0.3">
      <c r="A104" s="64">
        <v>2011</v>
      </c>
      <c r="B104" s="30">
        <v>4.5</v>
      </c>
      <c r="C104" s="30" t="s">
        <v>22</v>
      </c>
      <c r="D104" s="30" t="s">
        <v>30</v>
      </c>
      <c r="E104" s="30">
        <v>0.04</v>
      </c>
      <c r="F104" s="28" t="s">
        <v>869</v>
      </c>
      <c r="G104" s="28" t="s">
        <v>873</v>
      </c>
      <c r="H104" s="28" t="s">
        <v>878</v>
      </c>
      <c r="I104" s="28" t="s">
        <v>1233</v>
      </c>
      <c r="J104" s="149" t="s">
        <v>2950</v>
      </c>
      <c r="K104" s="28" t="s">
        <v>1050</v>
      </c>
      <c r="L104" s="38"/>
      <c r="M104" s="38"/>
      <c r="N104" s="38"/>
      <c r="O104" s="39" t="s">
        <v>1050</v>
      </c>
      <c r="P104" s="30">
        <v>8.5000000000000006E-2</v>
      </c>
      <c r="Q104" s="60"/>
      <c r="R104" s="63">
        <f t="shared" si="28"/>
        <v>1920000</v>
      </c>
      <c r="S104" s="60">
        <v>78</v>
      </c>
      <c r="T104" s="60"/>
      <c r="U104" s="30">
        <v>83</v>
      </c>
      <c r="V104" s="60"/>
      <c r="W104" s="60"/>
      <c r="X104" s="29">
        <f t="shared" si="29"/>
        <v>78</v>
      </c>
      <c r="Y104" s="63">
        <v>2.8E-3</v>
      </c>
      <c r="Z104" s="80">
        <v>245760000</v>
      </c>
      <c r="AA104" s="64">
        <f>Z104/AB104</f>
        <v>64</v>
      </c>
      <c r="AB104" s="63">
        <f>2*1920000</f>
        <v>3840000</v>
      </c>
      <c r="AC104" s="5" t="s">
        <v>2096</v>
      </c>
      <c r="AD104" s="111">
        <f t="shared" si="30"/>
        <v>729.16666666666663</v>
      </c>
      <c r="AE104" s="29" t="str">
        <f t="shared" si="31"/>
        <v/>
      </c>
      <c r="AF104" s="29">
        <f t="shared" si="32"/>
        <v>112.31737071817965</v>
      </c>
      <c r="AG104" s="29" t="str">
        <f t="shared" si="33"/>
        <v/>
      </c>
      <c r="AH104" s="29">
        <f t="shared" si="34"/>
        <v>166.36143197361332</v>
      </c>
      <c r="AI104" s="33">
        <f t="shared" si="23"/>
        <v>2.9249315291192616E-5</v>
      </c>
      <c r="AJ104" s="48">
        <f t="shared" si="24"/>
        <v>232.20474421728863</v>
      </c>
    </row>
    <row r="105" spans="1:36" x14ac:dyDescent="0.3">
      <c r="A105" s="64">
        <v>2011</v>
      </c>
      <c r="B105" s="30">
        <v>12.1</v>
      </c>
      <c r="C105" s="30" t="s">
        <v>23</v>
      </c>
      <c r="D105" s="30" t="s">
        <v>260</v>
      </c>
      <c r="E105" s="30">
        <v>0.04</v>
      </c>
      <c r="F105" s="28" t="s">
        <v>2159</v>
      </c>
      <c r="G105" s="28" t="s">
        <v>2160</v>
      </c>
      <c r="H105" s="28" t="s">
        <v>885</v>
      </c>
      <c r="I105" s="28" t="s">
        <v>1233</v>
      </c>
      <c r="J105" s="149" t="s">
        <v>2951</v>
      </c>
      <c r="K105" s="28" t="s">
        <v>1050</v>
      </c>
      <c r="L105" s="38"/>
      <c r="M105" s="38"/>
      <c r="N105" s="38"/>
      <c r="O105" s="39" t="s">
        <v>1050</v>
      </c>
      <c r="P105" s="30">
        <v>0.4</v>
      </c>
      <c r="Q105" s="60"/>
      <c r="R105" s="63">
        <f t="shared" si="28"/>
        <v>1500000000</v>
      </c>
      <c r="S105" s="60">
        <v>51</v>
      </c>
      <c r="T105" s="60">
        <v>60</v>
      </c>
      <c r="V105" s="60"/>
      <c r="W105" s="60"/>
      <c r="X105" s="29">
        <f t="shared" si="29"/>
        <v>51</v>
      </c>
      <c r="Y105" s="63">
        <v>0.5</v>
      </c>
      <c r="Z105" s="80">
        <v>3000000000</v>
      </c>
      <c r="AA105" s="64">
        <v>1</v>
      </c>
      <c r="AB105" s="63">
        <f t="shared" ref="AB105:AB129" si="35">Z105/AA105</f>
        <v>3000000000</v>
      </c>
      <c r="AC105" s="5" t="s">
        <v>2096</v>
      </c>
      <c r="AD105" s="111">
        <f t="shared" si="30"/>
        <v>166.66666666666666</v>
      </c>
      <c r="AE105" s="29" t="str">
        <f t="shared" si="31"/>
        <v/>
      </c>
      <c r="AF105" s="29">
        <f t="shared" si="32"/>
        <v>574.91468643709209</v>
      </c>
      <c r="AG105" s="29" t="str">
        <f t="shared" si="33"/>
        <v/>
      </c>
      <c r="AH105" s="29">
        <f t="shared" si="34"/>
        <v>145.77121254719663</v>
      </c>
      <c r="AI105" s="33">
        <f t="shared" si="23"/>
        <v>1.9163822881236404E-7</v>
      </c>
      <c r="AJ105" s="48">
        <f t="shared" si="24"/>
        <v>240.54242509439325</v>
      </c>
    </row>
    <row r="106" spans="1:36" x14ac:dyDescent="0.3">
      <c r="A106" s="64">
        <v>2011</v>
      </c>
      <c r="B106" s="30">
        <v>12.2</v>
      </c>
      <c r="C106" s="30" t="s">
        <v>23</v>
      </c>
      <c r="D106" s="30" t="s">
        <v>26</v>
      </c>
      <c r="E106" s="30">
        <v>0.04</v>
      </c>
      <c r="F106" s="28" t="s">
        <v>881</v>
      </c>
      <c r="G106" s="28" t="s">
        <v>2161</v>
      </c>
      <c r="H106" s="28" t="s">
        <v>886</v>
      </c>
      <c r="I106" s="28" t="s">
        <v>1233</v>
      </c>
      <c r="J106" s="149" t="s">
        <v>2952</v>
      </c>
      <c r="K106" s="28" t="s">
        <v>1050</v>
      </c>
      <c r="L106" s="38">
        <v>1.8</v>
      </c>
      <c r="M106" s="38"/>
      <c r="N106" s="38"/>
      <c r="O106" s="39" t="s">
        <v>1050</v>
      </c>
      <c r="P106" s="30">
        <v>0.42</v>
      </c>
      <c r="Q106" s="60"/>
      <c r="R106" s="63">
        <f t="shared" si="28"/>
        <v>150000000</v>
      </c>
      <c r="S106" s="60">
        <v>56</v>
      </c>
      <c r="T106" s="60">
        <v>57</v>
      </c>
      <c r="V106" s="60"/>
      <c r="W106" s="60"/>
      <c r="X106" s="29">
        <f t="shared" si="29"/>
        <v>56</v>
      </c>
      <c r="Y106" s="63">
        <v>0.04</v>
      </c>
      <c r="Z106" s="80">
        <v>300000000</v>
      </c>
      <c r="AA106" s="64">
        <v>1</v>
      </c>
      <c r="AB106" s="63">
        <f t="shared" si="35"/>
        <v>300000000</v>
      </c>
      <c r="AC106" s="5" t="s">
        <v>2096</v>
      </c>
      <c r="AD106" s="111">
        <f t="shared" si="30"/>
        <v>133.33333333333334</v>
      </c>
      <c r="AE106" s="29" t="str">
        <f t="shared" si="31"/>
        <v/>
      </c>
      <c r="AF106" s="29">
        <f t="shared" si="32"/>
        <v>258.62379291116315</v>
      </c>
      <c r="AG106" s="29" t="str">
        <f t="shared" si="33"/>
        <v/>
      </c>
      <c r="AH106" s="29">
        <f t="shared" si="34"/>
        <v>151.74031267727719</v>
      </c>
      <c r="AI106" s="33">
        <f t="shared" si="23"/>
        <v>8.6207930970387716E-7</v>
      </c>
      <c r="AJ106" s="48">
        <f t="shared" si="24"/>
        <v>236.51152522447381</v>
      </c>
    </row>
    <row r="107" spans="1:36" x14ac:dyDescent="0.3">
      <c r="A107" s="64">
        <v>2011</v>
      </c>
      <c r="B107" s="30">
        <v>12.3</v>
      </c>
      <c r="C107" s="30" t="s">
        <v>23</v>
      </c>
      <c r="D107" s="30" t="s">
        <v>150</v>
      </c>
      <c r="E107" s="30">
        <v>4.4999999999999998E-2</v>
      </c>
      <c r="F107" s="28" t="s">
        <v>882</v>
      </c>
      <c r="G107" s="28" t="s">
        <v>2162</v>
      </c>
      <c r="H107" s="28" t="s">
        <v>887</v>
      </c>
      <c r="I107" s="28" t="s">
        <v>1233</v>
      </c>
      <c r="J107" s="149" t="s">
        <v>2953</v>
      </c>
      <c r="K107" s="28" t="s">
        <v>1050</v>
      </c>
      <c r="L107" s="38">
        <v>1.2</v>
      </c>
      <c r="M107" s="38"/>
      <c r="N107" s="38"/>
      <c r="O107" s="39" t="s">
        <v>1050</v>
      </c>
      <c r="P107" s="30">
        <v>2.3E-2</v>
      </c>
      <c r="Q107" s="60"/>
      <c r="R107" s="63">
        <f t="shared" si="28"/>
        <v>650000000</v>
      </c>
      <c r="S107" s="60">
        <f>5.2*6.02+1.76</f>
        <v>33.064</v>
      </c>
      <c r="T107" s="60"/>
      <c r="V107" s="60"/>
      <c r="W107" s="60"/>
      <c r="X107" s="29">
        <f t="shared" si="29"/>
        <v>33.064</v>
      </c>
      <c r="Y107" s="63">
        <v>2.1999999999999999E-2</v>
      </c>
      <c r="Z107" s="80">
        <v>1300000000</v>
      </c>
      <c r="AA107" s="64">
        <v>1</v>
      </c>
      <c r="AB107" s="63">
        <f t="shared" si="35"/>
        <v>1300000000</v>
      </c>
      <c r="AC107" s="5" t="s">
        <v>2096</v>
      </c>
      <c r="AD107" s="111">
        <f t="shared" si="30"/>
        <v>16.92307692307692</v>
      </c>
      <c r="AE107" s="29" t="str">
        <f t="shared" si="31"/>
        <v/>
      </c>
      <c r="AF107" s="29">
        <f t="shared" si="32"/>
        <v>460.3873171277578</v>
      </c>
      <c r="AG107" s="29" t="str">
        <f t="shared" si="33"/>
        <v/>
      </c>
      <c r="AH107" s="29">
        <f t="shared" si="34"/>
        <v>137.7689067582065</v>
      </c>
      <c r="AI107" s="33">
        <f t="shared" si="23"/>
        <v>3.5414409009827523E-7</v>
      </c>
      <c r="AJ107" s="48">
        <f t="shared" si="24"/>
        <v>228.90834028127486</v>
      </c>
    </row>
    <row r="108" spans="1:36" x14ac:dyDescent="0.3">
      <c r="A108" s="64">
        <v>2011</v>
      </c>
      <c r="B108" s="30">
        <v>12.4</v>
      </c>
      <c r="C108" s="30" t="s">
        <v>23</v>
      </c>
      <c r="D108" s="30" t="s">
        <v>26</v>
      </c>
      <c r="E108" s="30">
        <v>0.09</v>
      </c>
      <c r="F108" s="28" t="s">
        <v>883</v>
      </c>
      <c r="G108" s="28" t="s">
        <v>890</v>
      </c>
      <c r="H108" s="28" t="s">
        <v>888</v>
      </c>
      <c r="I108" s="28" t="s">
        <v>1233</v>
      </c>
      <c r="J108" s="149" t="s">
        <v>2954</v>
      </c>
      <c r="K108" s="28" t="s">
        <v>891</v>
      </c>
      <c r="L108" s="38"/>
      <c r="M108" s="38"/>
      <c r="N108" s="38"/>
      <c r="O108" s="39" t="s">
        <v>1050</v>
      </c>
      <c r="P108" s="30">
        <v>0.46</v>
      </c>
      <c r="Q108" s="60"/>
      <c r="R108" s="63">
        <v>100000000</v>
      </c>
      <c r="S108" s="60">
        <v>50</v>
      </c>
      <c r="T108" s="60"/>
      <c r="V108" s="60"/>
      <c r="W108" s="60">
        <v>61</v>
      </c>
      <c r="X108" s="29">
        <f t="shared" si="29"/>
        <v>50</v>
      </c>
      <c r="Y108" s="63">
        <v>0.04</v>
      </c>
      <c r="Z108" s="80">
        <v>320000000</v>
      </c>
      <c r="AA108" s="64">
        <v>1</v>
      </c>
      <c r="AB108" s="63">
        <f t="shared" si="35"/>
        <v>320000000</v>
      </c>
      <c r="AC108" s="5" t="s">
        <v>2096</v>
      </c>
      <c r="AD108" s="111">
        <f t="shared" si="30"/>
        <v>125.00000000000001</v>
      </c>
      <c r="AE108" s="29" t="str">
        <f t="shared" si="31"/>
        <v/>
      </c>
      <c r="AF108" s="29">
        <f t="shared" si="32"/>
        <v>483.8042165364065</v>
      </c>
      <c r="AG108" s="29" t="str">
        <f t="shared" si="33"/>
        <v/>
      </c>
      <c r="AH108" s="29">
        <f t="shared" si="34"/>
        <v>146.02059991327963</v>
      </c>
      <c r="AI108" s="33">
        <f t="shared" si="23"/>
        <v>1.5118881766762702E-6</v>
      </c>
      <c r="AJ108" s="48">
        <f t="shared" si="24"/>
        <v>231.07209969647869</v>
      </c>
    </row>
    <row r="109" spans="1:36" x14ac:dyDescent="0.3">
      <c r="A109" s="64">
        <v>2011</v>
      </c>
      <c r="B109" s="30">
        <v>12.5</v>
      </c>
      <c r="C109" s="30" t="s">
        <v>23</v>
      </c>
      <c r="D109" s="30" t="s">
        <v>19</v>
      </c>
      <c r="E109" s="30">
        <v>5.5E-2</v>
      </c>
      <c r="F109" s="28" t="s">
        <v>884</v>
      </c>
      <c r="G109" s="28" t="s">
        <v>2163</v>
      </c>
      <c r="H109" s="28" t="s">
        <v>889</v>
      </c>
      <c r="I109" s="28" t="s">
        <v>1233</v>
      </c>
      <c r="J109" s="149" t="s">
        <v>2955</v>
      </c>
      <c r="K109" s="28" t="s">
        <v>1050</v>
      </c>
      <c r="L109" s="38"/>
      <c r="M109" s="38"/>
      <c r="N109" s="38"/>
      <c r="O109" s="39" t="s">
        <v>1050</v>
      </c>
      <c r="P109" s="30">
        <v>0.2</v>
      </c>
      <c r="Q109" s="60"/>
      <c r="R109" s="63">
        <f t="shared" ref="R109:R136" si="36">AB109/2</f>
        <v>500000000</v>
      </c>
      <c r="S109" s="60">
        <v>40</v>
      </c>
      <c r="T109" s="60"/>
      <c r="V109" s="60"/>
      <c r="W109" s="60">
        <v>50</v>
      </c>
      <c r="X109" s="29">
        <f t="shared" si="29"/>
        <v>40</v>
      </c>
      <c r="Y109" s="63">
        <v>1.6E-2</v>
      </c>
      <c r="Z109" s="80">
        <v>1000000000</v>
      </c>
      <c r="AA109" s="64">
        <v>1</v>
      </c>
      <c r="AB109" s="63">
        <f t="shared" si="35"/>
        <v>1000000000</v>
      </c>
      <c r="AC109" s="5" t="s">
        <v>2096</v>
      </c>
      <c r="AD109" s="111">
        <f t="shared" si="30"/>
        <v>16</v>
      </c>
      <c r="AE109" s="29" t="str">
        <f t="shared" si="31"/>
        <v/>
      </c>
      <c r="AF109" s="29">
        <f t="shared" si="32"/>
        <v>195.85264694919252</v>
      </c>
      <c r="AG109" s="29" t="str">
        <f t="shared" si="33"/>
        <v/>
      </c>
      <c r="AH109" s="29">
        <f t="shared" si="34"/>
        <v>144.94850021680094</v>
      </c>
      <c r="AI109" s="33">
        <f t="shared" si="23"/>
        <v>1.9585264694919252E-7</v>
      </c>
      <c r="AJ109" s="48">
        <f t="shared" si="24"/>
        <v>234.94850021680094</v>
      </c>
    </row>
    <row r="110" spans="1:36" x14ac:dyDescent="0.3">
      <c r="A110" s="64">
        <v>2011</v>
      </c>
      <c r="B110" s="30">
        <v>14.2</v>
      </c>
      <c r="C110" s="30" t="s">
        <v>23</v>
      </c>
      <c r="D110" s="30" t="s">
        <v>31</v>
      </c>
      <c r="E110" s="30">
        <v>0.13</v>
      </c>
      <c r="F110" s="28" t="s">
        <v>892</v>
      </c>
      <c r="G110" s="28" t="s">
        <v>894</v>
      </c>
      <c r="H110" s="28" t="s">
        <v>893</v>
      </c>
      <c r="I110" s="28" t="s">
        <v>1233</v>
      </c>
      <c r="J110" s="149" t="s">
        <v>2956</v>
      </c>
      <c r="K110" s="28" t="s">
        <v>1050</v>
      </c>
      <c r="L110" s="38"/>
      <c r="M110" s="38"/>
      <c r="N110" s="38"/>
      <c r="O110" s="39" t="s">
        <v>1050</v>
      </c>
      <c r="P110" s="30">
        <v>0.11</v>
      </c>
      <c r="Q110" s="60"/>
      <c r="R110" s="63">
        <f t="shared" si="36"/>
        <v>15625</v>
      </c>
      <c r="S110" s="60">
        <v>60.3</v>
      </c>
      <c r="T110" s="60"/>
      <c r="V110" s="60"/>
      <c r="W110" s="60"/>
      <c r="X110" s="29">
        <f t="shared" si="29"/>
        <v>60.3</v>
      </c>
      <c r="Y110" s="30">
        <f>0.0000000000000415*Z110*2^((S110-1.76)/6.02)</f>
        <v>1.0969575050535208E-6</v>
      </c>
      <c r="Z110" s="80">
        <v>31250</v>
      </c>
      <c r="AA110" s="64">
        <v>1</v>
      </c>
      <c r="AB110" s="63">
        <f t="shared" si="35"/>
        <v>31250</v>
      </c>
      <c r="AC110" s="5" t="s">
        <v>2096</v>
      </c>
      <c r="AD110" s="111">
        <f t="shared" si="30"/>
        <v>35.102640161712664</v>
      </c>
      <c r="AE110" s="29" t="str">
        <f t="shared" si="31"/>
        <v/>
      </c>
      <c r="AF110" s="29">
        <f t="shared" si="32"/>
        <v>41.499999999999993</v>
      </c>
      <c r="AG110" s="29" t="str">
        <f t="shared" si="33"/>
        <v/>
      </c>
      <c r="AH110" s="29">
        <f t="shared" si="34"/>
        <v>161.83630222213719</v>
      </c>
      <c r="AI110" s="33">
        <f t="shared" si="23"/>
        <v>1.3279999999999998E-3</v>
      </c>
      <c r="AJ110" s="48">
        <f t="shared" si="24"/>
        <v>206.78480243893813</v>
      </c>
    </row>
    <row r="111" spans="1:36" x14ac:dyDescent="0.3">
      <c r="A111" s="64">
        <v>2011</v>
      </c>
      <c r="B111" s="30">
        <v>14.3</v>
      </c>
      <c r="C111" s="30" t="s">
        <v>23</v>
      </c>
      <c r="D111" s="30" t="s">
        <v>31</v>
      </c>
      <c r="E111" s="30">
        <v>0.25</v>
      </c>
      <c r="F111" s="28" t="s">
        <v>895</v>
      </c>
      <c r="G111" s="28" t="s">
        <v>897</v>
      </c>
      <c r="H111" s="28" t="s">
        <v>896</v>
      </c>
      <c r="I111" s="28" t="s">
        <v>1233</v>
      </c>
      <c r="J111" s="149" t="s">
        <v>2957</v>
      </c>
      <c r="K111" s="28" t="s">
        <v>1050</v>
      </c>
      <c r="L111" s="38"/>
      <c r="M111" s="38"/>
      <c r="N111" s="38"/>
      <c r="O111" s="39" t="s">
        <v>1050</v>
      </c>
      <c r="P111" s="30">
        <f>0.18*0.22</f>
        <v>3.9599999999999996E-2</v>
      </c>
      <c r="Q111" s="60"/>
      <c r="R111" s="63">
        <f t="shared" si="36"/>
        <v>15625</v>
      </c>
      <c r="S111" s="60">
        <f>7.2*6.02+1.76</f>
        <v>45.103999999999999</v>
      </c>
      <c r="T111" s="60"/>
      <c r="V111" s="60"/>
      <c r="W111" s="60"/>
      <c r="X111" s="29">
        <f t="shared" si="29"/>
        <v>45.103999999999999</v>
      </c>
      <c r="Y111" s="63">
        <v>8.6999999999999998E-8</v>
      </c>
      <c r="Z111" s="80">
        <v>31250</v>
      </c>
      <c r="AA111" s="64">
        <v>1</v>
      </c>
      <c r="AB111" s="63">
        <f t="shared" si="35"/>
        <v>31250</v>
      </c>
      <c r="AC111" s="5" t="s">
        <v>2096</v>
      </c>
      <c r="AD111" s="111">
        <f t="shared" si="30"/>
        <v>2.7839999999999998</v>
      </c>
      <c r="AE111" s="29" t="str">
        <f t="shared" si="31"/>
        <v/>
      </c>
      <c r="AF111" s="29">
        <f t="shared" si="32"/>
        <v>18.934474751690686</v>
      </c>
      <c r="AG111" s="29" t="str">
        <f t="shared" si="33"/>
        <v/>
      </c>
      <c r="AH111" s="29">
        <f t="shared" si="34"/>
        <v>157.64700773397493</v>
      </c>
      <c r="AI111" s="33">
        <f t="shared" si="23"/>
        <v>6.0590319205410198E-4</v>
      </c>
      <c r="AJ111" s="48">
        <f t="shared" si="24"/>
        <v>202.59550795077587</v>
      </c>
    </row>
    <row r="112" spans="1:36" x14ac:dyDescent="0.3">
      <c r="A112" s="64">
        <v>2011</v>
      </c>
      <c r="B112" s="30">
        <v>25.1</v>
      </c>
      <c r="C112" s="30" t="s">
        <v>23</v>
      </c>
      <c r="D112" s="30" t="s">
        <v>31</v>
      </c>
      <c r="E112" s="30">
        <v>0.04</v>
      </c>
      <c r="F112" s="28" t="s">
        <v>898</v>
      </c>
      <c r="G112" s="28" t="s">
        <v>908</v>
      </c>
      <c r="H112" s="28" t="s">
        <v>903</v>
      </c>
      <c r="I112" s="28" t="s">
        <v>1233</v>
      </c>
      <c r="J112" s="149" t="s">
        <v>2958</v>
      </c>
      <c r="K112" s="28" t="s">
        <v>1050</v>
      </c>
      <c r="L112" s="38">
        <v>0.5</v>
      </c>
      <c r="M112" s="38"/>
      <c r="N112" s="38"/>
      <c r="O112" s="39" t="s">
        <v>1050</v>
      </c>
      <c r="P112" s="30">
        <f>0.07*0.16</f>
        <v>1.1200000000000002E-2</v>
      </c>
      <c r="Q112" s="60"/>
      <c r="R112" s="63">
        <f t="shared" si="36"/>
        <v>550000</v>
      </c>
      <c r="S112" s="60">
        <f>7.5*6.02+1.76</f>
        <v>46.91</v>
      </c>
      <c r="T112" s="60"/>
      <c r="V112" s="60"/>
      <c r="W112" s="60"/>
      <c r="X112" s="29">
        <f t="shared" si="29"/>
        <v>46.91</v>
      </c>
      <c r="Y112" s="63">
        <v>1.1999999999999999E-6</v>
      </c>
      <c r="Z112" s="80">
        <v>1100000</v>
      </c>
      <c r="AA112" s="64">
        <v>1</v>
      </c>
      <c r="AB112" s="63">
        <f t="shared" si="35"/>
        <v>1100000</v>
      </c>
      <c r="AC112" s="5" t="s">
        <v>2096</v>
      </c>
      <c r="AD112" s="111">
        <f t="shared" si="30"/>
        <v>1.0909090909090908</v>
      </c>
      <c r="AE112" s="29" t="str">
        <f t="shared" si="31"/>
        <v/>
      </c>
      <c r="AF112" s="29">
        <f t="shared" si="32"/>
        <v>6.026478248748985</v>
      </c>
      <c r="AG112" s="29" t="str">
        <f t="shared" si="33"/>
        <v/>
      </c>
      <c r="AH112" s="29">
        <f t="shared" si="34"/>
        <v>163.52181443446619</v>
      </c>
      <c r="AI112" s="33">
        <f t="shared" si="23"/>
        <v>5.4786165897718049E-6</v>
      </c>
      <c r="AJ112" s="48">
        <f t="shared" si="24"/>
        <v>223.93574128604845</v>
      </c>
    </row>
    <row r="113" spans="1:36" x14ac:dyDescent="0.3">
      <c r="A113" s="64">
        <v>2011</v>
      </c>
      <c r="B113" s="30">
        <v>25.2</v>
      </c>
      <c r="C113" s="30" t="s">
        <v>23</v>
      </c>
      <c r="D113" s="30" t="s">
        <v>31</v>
      </c>
      <c r="E113" s="30">
        <v>0.09</v>
      </c>
      <c r="F113" s="28" t="s">
        <v>899</v>
      </c>
      <c r="G113" s="28" t="s">
        <v>909</v>
      </c>
      <c r="H113" s="28" t="s">
        <v>904</v>
      </c>
      <c r="I113" s="28" t="s">
        <v>1233</v>
      </c>
      <c r="J113" s="149" t="s">
        <v>2961</v>
      </c>
      <c r="K113" s="28" t="s">
        <v>1050</v>
      </c>
      <c r="L113" s="38"/>
      <c r="M113" s="38"/>
      <c r="N113" s="38"/>
      <c r="O113" s="39" t="s">
        <v>1050</v>
      </c>
      <c r="P113" s="30">
        <f>0.275*0.2</f>
        <v>5.5000000000000007E-2</v>
      </c>
      <c r="Q113" s="60"/>
      <c r="R113" s="63">
        <f t="shared" si="36"/>
        <v>20000000</v>
      </c>
      <c r="S113" s="60">
        <f>7.1*6.02+1.76</f>
        <v>44.501999999999995</v>
      </c>
      <c r="T113" s="60"/>
      <c r="V113" s="60"/>
      <c r="W113" s="60"/>
      <c r="X113" s="29">
        <f t="shared" si="29"/>
        <v>44.501999999999995</v>
      </c>
      <c r="Y113" s="63">
        <v>1.13E-4</v>
      </c>
      <c r="Z113" s="80">
        <v>40000000</v>
      </c>
      <c r="AA113" s="64">
        <v>1</v>
      </c>
      <c r="AB113" s="63">
        <f t="shared" si="35"/>
        <v>40000000</v>
      </c>
      <c r="AC113" s="5" t="s">
        <v>2096</v>
      </c>
      <c r="AD113" s="111">
        <f t="shared" si="30"/>
        <v>2.8249999999999997</v>
      </c>
      <c r="AE113" s="29" t="str">
        <f t="shared" si="31"/>
        <v/>
      </c>
      <c r="AF113" s="29">
        <f t="shared" si="32"/>
        <v>20.592329696027196</v>
      </c>
      <c r="AG113" s="29" t="str">
        <f t="shared" si="33"/>
        <v/>
      </c>
      <c r="AH113" s="29">
        <f t="shared" si="34"/>
        <v>156.98151552180559</v>
      </c>
      <c r="AI113" s="33">
        <f t="shared" si="23"/>
        <v>5.148082424006799E-7</v>
      </c>
      <c r="AJ113" s="48">
        <f t="shared" si="24"/>
        <v>233.00211543508522</v>
      </c>
    </row>
    <row r="114" spans="1:36" x14ac:dyDescent="0.3">
      <c r="A114" s="64">
        <v>2011</v>
      </c>
      <c r="B114" s="30">
        <v>25.3</v>
      </c>
      <c r="C114" s="30" t="s">
        <v>23</v>
      </c>
      <c r="D114" s="30" t="s">
        <v>27</v>
      </c>
      <c r="E114" s="30">
        <v>0.09</v>
      </c>
      <c r="F114" s="28" t="s">
        <v>900</v>
      </c>
      <c r="G114" s="28" t="s">
        <v>910</v>
      </c>
      <c r="H114" s="28" t="s">
        <v>905</v>
      </c>
      <c r="I114" s="28" t="s">
        <v>1233</v>
      </c>
      <c r="J114" s="149" t="s">
        <v>2959</v>
      </c>
      <c r="K114" s="28" t="s">
        <v>1050</v>
      </c>
      <c r="L114" s="38"/>
      <c r="M114" s="38"/>
      <c r="N114" s="38"/>
      <c r="O114" s="39" t="s">
        <v>1050</v>
      </c>
      <c r="P114" s="30">
        <v>0.18</v>
      </c>
      <c r="Q114" s="60"/>
      <c r="R114" s="63">
        <f t="shared" si="36"/>
        <v>105000000</v>
      </c>
      <c r="S114" s="60">
        <v>30</v>
      </c>
      <c r="T114" s="60"/>
      <c r="V114" s="60"/>
      <c r="W114" s="60">
        <v>35</v>
      </c>
      <c r="X114" s="29">
        <f t="shared" si="29"/>
        <v>30</v>
      </c>
      <c r="Y114" s="63">
        <v>3.4799999999999998E-2</v>
      </c>
      <c r="Z114" s="80">
        <v>210000000</v>
      </c>
      <c r="AA114" s="64">
        <v>1</v>
      </c>
      <c r="AB114" s="63">
        <f t="shared" si="35"/>
        <v>210000000</v>
      </c>
      <c r="AC114" s="5" t="s">
        <v>2096</v>
      </c>
      <c r="AD114" s="111">
        <f t="shared" si="30"/>
        <v>165.71428571428572</v>
      </c>
      <c r="AE114" s="29" t="str">
        <f t="shared" si="31"/>
        <v/>
      </c>
      <c r="AF114" s="29">
        <f t="shared" si="32"/>
        <v>6415.3335093785117</v>
      </c>
      <c r="AG114" s="29" t="str">
        <f t="shared" si="33"/>
        <v/>
      </c>
      <c r="AH114" s="29">
        <f t="shared" si="34"/>
        <v>124.79610055123358</v>
      </c>
      <c r="AI114" s="33">
        <f t="shared" si="23"/>
        <v>3.0549207187516724E-5</v>
      </c>
      <c r="AJ114" s="48">
        <f t="shared" si="24"/>
        <v>208.01829349857277</v>
      </c>
    </row>
    <row r="115" spans="1:36" x14ac:dyDescent="0.3">
      <c r="A115" s="64">
        <v>2011</v>
      </c>
      <c r="B115" s="30">
        <v>25.4</v>
      </c>
      <c r="C115" s="30" t="s">
        <v>23</v>
      </c>
      <c r="D115" s="30" t="s">
        <v>2228</v>
      </c>
      <c r="E115" s="30">
        <v>0.13</v>
      </c>
      <c r="F115" s="28" t="s">
        <v>901</v>
      </c>
      <c r="G115" s="28" t="s">
        <v>911</v>
      </c>
      <c r="H115" s="28" t="s">
        <v>906</v>
      </c>
      <c r="I115" s="28" t="s">
        <v>1233</v>
      </c>
      <c r="J115" s="149" t="s">
        <v>2960</v>
      </c>
      <c r="K115" s="28" t="s">
        <v>1050</v>
      </c>
      <c r="L115" s="38"/>
      <c r="M115" s="38"/>
      <c r="N115" s="38"/>
      <c r="O115" s="39" t="s">
        <v>1050</v>
      </c>
      <c r="P115" s="30">
        <v>0.55000000000000004</v>
      </c>
      <c r="Q115" s="60"/>
      <c r="R115" s="63">
        <f t="shared" si="36"/>
        <v>500000000</v>
      </c>
      <c r="S115" s="60">
        <v>38.9</v>
      </c>
      <c r="T115" s="60"/>
      <c r="V115" s="60"/>
      <c r="W115" s="60"/>
      <c r="X115" s="29">
        <f t="shared" si="29"/>
        <v>38.9</v>
      </c>
      <c r="Y115" s="63">
        <v>2.6499999999999999E-2</v>
      </c>
      <c r="Z115" s="80">
        <v>1000000000</v>
      </c>
      <c r="AA115" s="64">
        <v>1</v>
      </c>
      <c r="AB115" s="63">
        <f t="shared" si="35"/>
        <v>1000000000</v>
      </c>
      <c r="AC115" s="5" t="s">
        <v>2096</v>
      </c>
      <c r="AD115" s="111">
        <f t="shared" si="30"/>
        <v>26.5</v>
      </c>
      <c r="AE115" s="29" t="str">
        <f t="shared" si="31"/>
        <v/>
      </c>
      <c r="AF115" s="29">
        <f t="shared" si="32"/>
        <v>368.18052921314654</v>
      </c>
      <c r="AG115" s="29" t="str">
        <f t="shared" si="33"/>
        <v/>
      </c>
      <c r="AH115" s="29">
        <f t="shared" si="34"/>
        <v>141.65724130399212</v>
      </c>
      <c r="AI115" s="33">
        <f t="shared" si="23"/>
        <v>3.6818052921314654E-7</v>
      </c>
      <c r="AJ115" s="48">
        <f t="shared" si="24"/>
        <v>231.65724130399212</v>
      </c>
    </row>
    <row r="116" spans="1:36" x14ac:dyDescent="0.3">
      <c r="A116" s="64">
        <v>2011</v>
      </c>
      <c r="B116" s="30">
        <v>25.5</v>
      </c>
      <c r="C116" s="30" t="s">
        <v>22</v>
      </c>
      <c r="D116" s="30" t="s">
        <v>782</v>
      </c>
      <c r="E116" s="30">
        <v>0.09</v>
      </c>
      <c r="F116" s="28" t="s">
        <v>902</v>
      </c>
      <c r="G116" s="28" t="s">
        <v>912</v>
      </c>
      <c r="H116" s="28" t="s">
        <v>907</v>
      </c>
      <c r="I116" s="28" t="s">
        <v>1233</v>
      </c>
      <c r="J116" s="149" t="s">
        <v>2962</v>
      </c>
      <c r="K116" s="28" t="s">
        <v>1050</v>
      </c>
      <c r="L116" s="38"/>
      <c r="M116" s="38"/>
      <c r="N116" s="38"/>
      <c r="O116" s="39" t="s">
        <v>1050</v>
      </c>
      <c r="P116" s="30">
        <v>0.1</v>
      </c>
      <c r="Q116" s="60"/>
      <c r="R116" s="63">
        <f t="shared" si="36"/>
        <v>8000000</v>
      </c>
      <c r="S116" s="60">
        <v>59.1</v>
      </c>
      <c r="T116" s="60">
        <v>61.1</v>
      </c>
      <c r="V116" s="60"/>
      <c r="W116" s="60">
        <v>71</v>
      </c>
      <c r="X116" s="29">
        <f t="shared" si="29"/>
        <v>59.1</v>
      </c>
      <c r="Y116" s="63">
        <v>4.3E-3</v>
      </c>
      <c r="Z116" s="80">
        <v>640000000</v>
      </c>
      <c r="AA116" s="64">
        <v>40</v>
      </c>
      <c r="AB116" s="63">
        <f t="shared" si="35"/>
        <v>16000000</v>
      </c>
      <c r="AC116" s="5" t="s">
        <v>2096</v>
      </c>
      <c r="AD116" s="111">
        <f t="shared" si="30"/>
        <v>268.75</v>
      </c>
      <c r="AE116" s="29" t="str">
        <f t="shared" si="31"/>
        <v/>
      </c>
      <c r="AF116" s="29">
        <f t="shared" si="32"/>
        <v>364.80666705605012</v>
      </c>
      <c r="AG116" s="29" t="str">
        <f t="shared" si="33"/>
        <v/>
      </c>
      <c r="AH116" s="29">
        <f t="shared" si="34"/>
        <v>151.79621531412357</v>
      </c>
      <c r="AI116" s="33">
        <f t="shared" si="23"/>
        <v>2.2800416691003132E-5</v>
      </c>
      <c r="AJ116" s="48">
        <f t="shared" si="24"/>
        <v>223.83741514068282</v>
      </c>
    </row>
    <row r="117" spans="1:36" x14ac:dyDescent="0.3">
      <c r="A117" s="59">
        <v>2012</v>
      </c>
      <c r="B117" s="28">
        <v>4.0999999999999996</v>
      </c>
      <c r="C117" s="30" t="s">
        <v>23</v>
      </c>
      <c r="D117" s="30" t="s">
        <v>27</v>
      </c>
      <c r="E117" s="30">
        <v>0.04</v>
      </c>
      <c r="F117" s="28" t="s">
        <v>955</v>
      </c>
      <c r="G117" s="28" t="s">
        <v>2164</v>
      </c>
      <c r="H117" s="28" t="s">
        <v>956</v>
      </c>
      <c r="I117" s="28" t="s">
        <v>2503</v>
      </c>
      <c r="J117" s="149" t="str">
        <f t="shared" si="20"/>
        <v>https://doi.org/10.1109/VLSIC.2012.6243772</v>
      </c>
      <c r="K117" s="28" t="s">
        <v>1050</v>
      </c>
      <c r="L117" s="38">
        <v>1.1000000000000001</v>
      </c>
      <c r="M117" s="38"/>
      <c r="N117" s="38"/>
      <c r="O117" s="39" t="s">
        <v>1050</v>
      </c>
      <c r="P117" s="30">
        <v>2.1000000000000001E-2</v>
      </c>
      <c r="Q117" s="60"/>
      <c r="R117" s="63">
        <f t="shared" si="36"/>
        <v>1500000000</v>
      </c>
      <c r="S117" s="60">
        <v>33.1</v>
      </c>
      <c r="T117" s="60"/>
      <c r="V117" s="60"/>
      <c r="W117" s="60">
        <v>38</v>
      </c>
      <c r="X117" s="29">
        <f t="shared" si="29"/>
        <v>33.1</v>
      </c>
      <c r="Y117" s="63">
        <v>1.0999999999999999E-2</v>
      </c>
      <c r="Z117" s="80">
        <v>3000000000</v>
      </c>
      <c r="AA117" s="64">
        <v>1</v>
      </c>
      <c r="AB117" s="63">
        <f t="shared" si="35"/>
        <v>3000000000</v>
      </c>
      <c r="AC117" s="5" t="s">
        <v>2096</v>
      </c>
      <c r="AD117" s="111">
        <f t="shared" si="30"/>
        <v>3.6666666666666661</v>
      </c>
      <c r="AE117" s="29" t="str">
        <f t="shared" si="31"/>
        <v/>
      </c>
      <c r="AF117" s="29">
        <f t="shared" si="32"/>
        <v>99.337968351424408</v>
      </c>
      <c r="AG117" s="29" t="str">
        <f t="shared" si="33"/>
        <v/>
      </c>
      <c r="AH117" s="29">
        <f t="shared" si="34"/>
        <v>144.44698573897455</v>
      </c>
      <c r="AI117" s="33">
        <f t="shared" si="23"/>
        <v>3.311265611714147E-8</v>
      </c>
      <c r="AJ117" s="48">
        <f t="shared" si="24"/>
        <v>239.21819828617117</v>
      </c>
    </row>
    <row r="118" spans="1:36" x14ac:dyDescent="0.3">
      <c r="A118" s="64">
        <v>2012</v>
      </c>
      <c r="B118" s="28">
        <v>4.2</v>
      </c>
      <c r="C118" s="30" t="s">
        <v>23</v>
      </c>
      <c r="D118" s="30" t="s">
        <v>958</v>
      </c>
      <c r="E118" s="30">
        <v>0.13</v>
      </c>
      <c r="F118" s="28" t="s">
        <v>957</v>
      </c>
      <c r="G118" s="28" t="s">
        <v>960</v>
      </c>
      <c r="H118" s="28" t="s">
        <v>959</v>
      </c>
      <c r="I118" s="28" t="s">
        <v>2504</v>
      </c>
      <c r="J118" s="149" t="str">
        <f t="shared" si="20"/>
        <v>https://doi.org/10.1109/VLSIC.2012.6243773</v>
      </c>
      <c r="K118" s="28" t="s">
        <v>1050</v>
      </c>
      <c r="L118" s="38">
        <v>0.8</v>
      </c>
      <c r="M118" s="38"/>
      <c r="N118" s="38"/>
      <c r="O118" s="39" t="s">
        <v>1050</v>
      </c>
      <c r="P118" s="30">
        <v>0.36</v>
      </c>
      <c r="Q118" s="60"/>
      <c r="R118" s="63">
        <f t="shared" si="36"/>
        <v>10000</v>
      </c>
      <c r="S118" s="60">
        <v>50</v>
      </c>
      <c r="T118" s="60">
        <v>56</v>
      </c>
      <c r="V118" s="60"/>
      <c r="W118" s="60"/>
      <c r="X118" s="29">
        <f t="shared" si="29"/>
        <v>50</v>
      </c>
      <c r="Y118" s="63">
        <v>7.4000000000000003E-6</v>
      </c>
      <c r="Z118" s="80">
        <v>20000</v>
      </c>
      <c r="AA118" s="64">
        <v>1</v>
      </c>
      <c r="AB118" s="63">
        <f t="shared" si="35"/>
        <v>20000</v>
      </c>
      <c r="AC118" s="5" t="s">
        <v>2096</v>
      </c>
      <c r="AD118" s="111">
        <f t="shared" si="30"/>
        <v>370</v>
      </c>
      <c r="AE118" s="29" t="str">
        <f t="shared" si="31"/>
        <v/>
      </c>
      <c r="AF118" s="29">
        <f t="shared" si="32"/>
        <v>1432.0604809477632</v>
      </c>
      <c r="AG118" s="29" t="str">
        <f t="shared" si="33"/>
        <v/>
      </c>
      <c r="AH118" s="29">
        <f t="shared" si="34"/>
        <v>141.30768280269024</v>
      </c>
      <c r="AI118" s="33">
        <f t="shared" si="23"/>
        <v>7.1603024047388164E-2</v>
      </c>
      <c r="AJ118" s="48">
        <f t="shared" si="24"/>
        <v>184.31798275933005</v>
      </c>
    </row>
    <row r="119" spans="1:36" x14ac:dyDescent="0.3">
      <c r="A119" s="64">
        <v>2012</v>
      </c>
      <c r="B119" s="28">
        <v>4.3</v>
      </c>
      <c r="C119" s="30" t="s">
        <v>23</v>
      </c>
      <c r="D119" s="30" t="s">
        <v>26</v>
      </c>
      <c r="E119" s="30">
        <v>6.5000000000000002E-2</v>
      </c>
      <c r="F119" s="28" t="s">
        <v>961</v>
      </c>
      <c r="G119" s="28" t="s">
        <v>962</v>
      </c>
      <c r="H119" s="28" t="s">
        <v>963</v>
      </c>
      <c r="I119" s="28" t="s">
        <v>2505</v>
      </c>
      <c r="J119" s="149" t="str">
        <f t="shared" si="20"/>
        <v>https://doi.org/10.1109/VLSIC.2012.6243774</v>
      </c>
      <c r="K119" s="28" t="s">
        <v>1050</v>
      </c>
      <c r="L119" s="38"/>
      <c r="M119" s="38"/>
      <c r="N119" s="38"/>
      <c r="O119" s="39" t="s">
        <v>1050</v>
      </c>
      <c r="P119" s="30">
        <v>0.22500000000000001</v>
      </c>
      <c r="Q119" s="60"/>
      <c r="R119" s="63">
        <f t="shared" si="36"/>
        <v>500000000</v>
      </c>
      <c r="S119" s="60">
        <v>52.4</v>
      </c>
      <c r="T119" s="60"/>
      <c r="V119" s="60"/>
      <c r="W119" s="60"/>
      <c r="X119" s="29">
        <f t="shared" si="29"/>
        <v>52.4</v>
      </c>
      <c r="Y119" s="63">
        <f>0.015+0.0143+0.0036</f>
        <v>3.2899999999999999E-2</v>
      </c>
      <c r="Z119" s="80">
        <v>1000000000</v>
      </c>
      <c r="AA119" s="64">
        <v>1</v>
      </c>
      <c r="AB119" s="63">
        <f t="shared" si="35"/>
        <v>1000000000</v>
      </c>
      <c r="AC119" s="5" t="s">
        <v>2096</v>
      </c>
      <c r="AD119" s="111">
        <f t="shared" si="30"/>
        <v>32.9</v>
      </c>
      <c r="AE119" s="29" t="str">
        <f t="shared" si="31"/>
        <v/>
      </c>
      <c r="AF119" s="29">
        <f t="shared" si="32"/>
        <v>96.592537594295678</v>
      </c>
      <c r="AG119" s="29" t="str">
        <f t="shared" si="33"/>
        <v/>
      </c>
      <c r="AH119" s="29">
        <f t="shared" si="34"/>
        <v>154.21774106386044</v>
      </c>
      <c r="AI119" s="33">
        <f t="shared" si="23"/>
        <v>9.6592537594295678E-8</v>
      </c>
      <c r="AJ119" s="48">
        <f t="shared" si="24"/>
        <v>244.21774106386044</v>
      </c>
    </row>
    <row r="120" spans="1:36" x14ac:dyDescent="0.3">
      <c r="A120" s="64">
        <v>2012</v>
      </c>
      <c r="B120" s="28">
        <v>4.4000000000000004</v>
      </c>
      <c r="C120" s="30" t="s">
        <v>23</v>
      </c>
      <c r="D120" s="30" t="s">
        <v>26</v>
      </c>
      <c r="E120" s="30">
        <v>0.18</v>
      </c>
      <c r="F120" s="28" t="s">
        <v>964</v>
      </c>
      <c r="G120" s="28" t="s">
        <v>965</v>
      </c>
      <c r="H120" s="28" t="s">
        <v>966</v>
      </c>
      <c r="I120" s="28" t="s">
        <v>2506</v>
      </c>
      <c r="J120" s="149" t="str">
        <f t="shared" si="20"/>
        <v>https://doi.org/10.1109/VLSIC.2012.6243775</v>
      </c>
      <c r="K120" s="28" t="s">
        <v>1050</v>
      </c>
      <c r="L120" s="38"/>
      <c r="M120" s="38"/>
      <c r="N120" s="38"/>
      <c r="O120" s="39" t="s">
        <v>1050</v>
      </c>
      <c r="P120" s="30">
        <v>0.5</v>
      </c>
      <c r="Q120" s="60"/>
      <c r="R120" s="63">
        <f t="shared" si="36"/>
        <v>15000000</v>
      </c>
      <c r="S120" s="60">
        <v>61.5</v>
      </c>
      <c r="T120" s="60">
        <v>61.9</v>
      </c>
      <c r="V120" s="60"/>
      <c r="W120" s="60">
        <v>72.400000000000006</v>
      </c>
      <c r="X120" s="29">
        <f t="shared" si="29"/>
        <v>61.5</v>
      </c>
      <c r="Y120" s="63">
        <v>2.5999999999999999E-3</v>
      </c>
      <c r="Z120" s="80">
        <v>30000000</v>
      </c>
      <c r="AA120" s="64">
        <v>1</v>
      </c>
      <c r="AB120" s="63">
        <f t="shared" si="35"/>
        <v>30000000</v>
      </c>
      <c r="AC120" s="5" t="s">
        <v>2096</v>
      </c>
      <c r="AD120" s="111">
        <f t="shared" si="30"/>
        <v>86.666666666666671</v>
      </c>
      <c r="AE120" s="29" t="str">
        <f t="shared" si="31"/>
        <v/>
      </c>
      <c r="AF120" s="29">
        <f t="shared" si="32"/>
        <v>89.238945269119071</v>
      </c>
      <c r="AG120" s="29" t="str">
        <f t="shared" si="33"/>
        <v/>
      </c>
      <c r="AH120" s="29">
        <f t="shared" si="34"/>
        <v>159.11117911084864</v>
      </c>
      <c r="AI120" s="33">
        <f t="shared" si="23"/>
        <v>2.9746315089706356E-6</v>
      </c>
      <c r="AJ120" s="48">
        <f t="shared" si="24"/>
        <v>233.88239165804526</v>
      </c>
    </row>
    <row r="121" spans="1:36" x14ac:dyDescent="0.3">
      <c r="A121" s="64">
        <v>2012</v>
      </c>
      <c r="B121" s="28">
        <v>11.1</v>
      </c>
      <c r="C121" s="30" t="s">
        <v>23</v>
      </c>
      <c r="D121" s="30" t="s">
        <v>592</v>
      </c>
      <c r="E121" s="30">
        <v>6.5000000000000002E-2</v>
      </c>
      <c r="F121" s="28" t="s">
        <v>967</v>
      </c>
      <c r="G121" s="28" t="s">
        <v>968</v>
      </c>
      <c r="H121" s="28" t="s">
        <v>969</v>
      </c>
      <c r="I121" s="28" t="s">
        <v>2507</v>
      </c>
      <c r="J121" s="149" t="str">
        <f t="shared" si="20"/>
        <v>https://doi.org/10.1109/VLSIC.2012.6243801</v>
      </c>
      <c r="K121" s="28" t="s">
        <v>1050</v>
      </c>
      <c r="L121" s="38">
        <v>1.2</v>
      </c>
      <c r="M121" s="38"/>
      <c r="N121" s="38"/>
      <c r="O121" s="39" t="s">
        <v>1050</v>
      </c>
      <c r="P121" s="30">
        <f>0.4*0.45</f>
        <v>0.18000000000000002</v>
      </c>
      <c r="Q121" s="60"/>
      <c r="R121" s="63">
        <f t="shared" si="36"/>
        <v>1400000000</v>
      </c>
      <c r="S121" s="60">
        <v>48.2</v>
      </c>
      <c r="T121" s="60"/>
      <c r="V121" s="60"/>
      <c r="W121" s="60">
        <v>55</v>
      </c>
      <c r="X121" s="29">
        <f t="shared" si="29"/>
        <v>48.2</v>
      </c>
      <c r="Y121" s="63">
        <v>4.4600000000000001E-2</v>
      </c>
      <c r="Z121" s="80">
        <v>2800000000</v>
      </c>
      <c r="AA121" s="64">
        <v>1</v>
      </c>
      <c r="AB121" s="63">
        <f t="shared" si="35"/>
        <v>2800000000</v>
      </c>
      <c r="AC121" s="5" t="s">
        <v>2096</v>
      </c>
      <c r="AD121" s="111">
        <f t="shared" si="30"/>
        <v>15.928571428571429</v>
      </c>
      <c r="AE121" s="29" t="str">
        <f t="shared" si="31"/>
        <v/>
      </c>
      <c r="AF121" s="29">
        <f t="shared" si="32"/>
        <v>75.848226810155637</v>
      </c>
      <c r="AG121" s="29" t="str">
        <f t="shared" si="33"/>
        <v/>
      </c>
      <c r="AH121" s="29">
        <f t="shared" si="34"/>
        <v>153.16793176966095</v>
      </c>
      <c r="AI121" s="33">
        <f t="shared" si="23"/>
        <v>2.7088652432198442E-8</v>
      </c>
      <c r="AJ121" s="48">
        <f t="shared" si="24"/>
        <v>247.63951208308316</v>
      </c>
    </row>
    <row r="122" spans="1:36" x14ac:dyDescent="0.3">
      <c r="A122" s="64">
        <v>2012</v>
      </c>
      <c r="B122" s="28">
        <v>11.2</v>
      </c>
      <c r="C122" s="30" t="s">
        <v>23</v>
      </c>
      <c r="D122" s="30" t="s">
        <v>990</v>
      </c>
      <c r="E122" s="30">
        <v>6.5000000000000002E-2</v>
      </c>
      <c r="F122" s="28" t="s">
        <v>970</v>
      </c>
      <c r="G122" s="28" t="s">
        <v>971</v>
      </c>
      <c r="H122" s="28" t="s">
        <v>972</v>
      </c>
      <c r="I122" s="28" t="s">
        <v>2508</v>
      </c>
      <c r="J122" s="149" t="str">
        <f t="shared" si="20"/>
        <v>https://doi.org/10.1109/VLSIC.2012.6243802</v>
      </c>
      <c r="K122" s="28" t="s">
        <v>1050</v>
      </c>
      <c r="L122" s="38">
        <v>1</v>
      </c>
      <c r="M122" s="38"/>
      <c r="N122" s="38"/>
      <c r="O122" s="39" t="s">
        <v>1050</v>
      </c>
      <c r="P122" s="30">
        <v>1.2999999999999999E-2</v>
      </c>
      <c r="Q122" s="60"/>
      <c r="R122" s="63">
        <f t="shared" si="36"/>
        <v>500000000</v>
      </c>
      <c r="S122" s="60">
        <v>42.75</v>
      </c>
      <c r="T122" s="60"/>
      <c r="V122" s="60"/>
      <c r="W122" s="60">
        <v>58</v>
      </c>
      <c r="X122" s="29">
        <f t="shared" si="29"/>
        <v>42.75</v>
      </c>
      <c r="Y122" s="63">
        <v>3.8E-3</v>
      </c>
      <c r="Z122" s="80">
        <v>1000000000</v>
      </c>
      <c r="AA122" s="64">
        <v>1</v>
      </c>
      <c r="AB122" s="63">
        <f t="shared" si="35"/>
        <v>1000000000</v>
      </c>
      <c r="AC122" s="5" t="s">
        <v>2096</v>
      </c>
      <c r="AD122" s="111">
        <f t="shared" si="30"/>
        <v>3.8</v>
      </c>
      <c r="AE122" s="29" t="str">
        <f t="shared" si="31"/>
        <v/>
      </c>
      <c r="AF122" s="29">
        <f t="shared" si="32"/>
        <v>33.890607754610286</v>
      </c>
      <c r="AG122" s="29" t="str">
        <f t="shared" si="33"/>
        <v/>
      </c>
      <c r="AH122" s="29">
        <f t="shared" si="34"/>
        <v>153.94186407719209</v>
      </c>
      <c r="AI122" s="33">
        <f t="shared" si="23"/>
        <v>3.3890607754610283E-8</v>
      </c>
      <c r="AJ122" s="48">
        <f t="shared" si="24"/>
        <v>243.94186407719209</v>
      </c>
    </row>
    <row r="123" spans="1:36" x14ac:dyDescent="0.3">
      <c r="A123" s="64">
        <v>2012</v>
      </c>
      <c r="B123" s="28">
        <v>11.3</v>
      </c>
      <c r="C123" s="30" t="s">
        <v>23</v>
      </c>
      <c r="D123" s="30" t="s">
        <v>31</v>
      </c>
      <c r="E123" s="30">
        <v>2.8000000000000001E-2</v>
      </c>
      <c r="F123" s="28" t="s">
        <v>973</v>
      </c>
      <c r="G123" s="28" t="s">
        <v>975</v>
      </c>
      <c r="H123" s="28" t="s">
        <v>974</v>
      </c>
      <c r="I123" s="28" t="s">
        <v>2509</v>
      </c>
      <c r="J123" s="149" t="str">
        <f t="shared" si="20"/>
        <v>https://doi.org/10.1109/VLSIC.2012.6243803</v>
      </c>
      <c r="K123" s="28" t="s">
        <v>1050</v>
      </c>
      <c r="L123" s="38">
        <v>1</v>
      </c>
      <c r="M123" s="38"/>
      <c r="N123" s="38"/>
      <c r="O123" s="39" t="s">
        <v>1050</v>
      </c>
      <c r="P123" s="30">
        <v>4.0000000000000001E-3</v>
      </c>
      <c r="Q123" s="60"/>
      <c r="R123" s="63">
        <f t="shared" si="36"/>
        <v>375000000</v>
      </c>
      <c r="S123" s="60">
        <f>6.9*6.02+1.76</f>
        <v>43.297999999999995</v>
      </c>
      <c r="T123" s="60"/>
      <c r="V123" s="60"/>
      <c r="W123" s="60">
        <v>57</v>
      </c>
      <c r="X123" s="29">
        <f t="shared" si="29"/>
        <v>43.297999999999995</v>
      </c>
      <c r="Y123" s="63">
        <v>4.4999999999999997E-3</v>
      </c>
      <c r="Z123" s="80">
        <v>750000000</v>
      </c>
      <c r="AA123" s="64">
        <v>1</v>
      </c>
      <c r="AB123" s="63">
        <f t="shared" si="35"/>
        <v>750000000</v>
      </c>
      <c r="AC123" s="5" t="s">
        <v>2096</v>
      </c>
      <c r="AD123" s="111">
        <f t="shared" si="30"/>
        <v>5.9999999999999991</v>
      </c>
      <c r="AE123" s="29" t="str">
        <f t="shared" si="31"/>
        <v/>
      </c>
      <c r="AF123" s="29">
        <f t="shared" si="32"/>
        <v>50.239381056388744</v>
      </c>
      <c r="AG123" s="29" t="str">
        <f t="shared" si="33"/>
        <v/>
      </c>
      <c r="AH123" s="29">
        <f t="shared" si="34"/>
        <v>152.50618753952375</v>
      </c>
      <c r="AI123" s="33">
        <f t="shared" si="23"/>
        <v>6.698584140851832E-8</v>
      </c>
      <c r="AJ123" s="48">
        <f t="shared" si="24"/>
        <v>241.25680017344075</v>
      </c>
    </row>
    <row r="124" spans="1:36" x14ac:dyDescent="0.3">
      <c r="A124" s="64">
        <v>2012</v>
      </c>
      <c r="B124" s="28">
        <v>11.4</v>
      </c>
      <c r="C124" s="30" t="s">
        <v>23</v>
      </c>
      <c r="D124" s="30" t="s">
        <v>260</v>
      </c>
      <c r="E124" s="30">
        <v>6.5000000000000002E-2</v>
      </c>
      <c r="F124" s="28" t="s">
        <v>976</v>
      </c>
      <c r="G124" s="28" t="s">
        <v>977</v>
      </c>
      <c r="H124" s="28" t="s">
        <v>1118</v>
      </c>
      <c r="I124" s="28" t="s">
        <v>2510</v>
      </c>
      <c r="J124" s="149" t="str">
        <f t="shared" si="20"/>
        <v>https://doi.org/10.1109/VLSIC.2012.6243804</v>
      </c>
      <c r="K124" s="28" t="s">
        <v>1050</v>
      </c>
      <c r="L124" s="38"/>
      <c r="M124" s="38"/>
      <c r="N124" s="38"/>
      <c r="O124" s="39" t="s">
        <v>1050</v>
      </c>
      <c r="P124" s="30">
        <v>4.5999999999999999E-2</v>
      </c>
      <c r="Q124" s="60"/>
      <c r="R124" s="63">
        <f t="shared" si="36"/>
        <v>250000000</v>
      </c>
      <c r="S124" s="60">
        <v>52.94</v>
      </c>
      <c r="T124" s="60"/>
      <c r="V124" s="60"/>
      <c r="W124" s="60">
        <v>66.03</v>
      </c>
      <c r="X124" s="29">
        <f t="shared" si="29"/>
        <v>52.94</v>
      </c>
      <c r="Y124" s="63">
        <v>8.2000000000000007E-3</v>
      </c>
      <c r="Z124" s="80">
        <v>500000000</v>
      </c>
      <c r="AA124" s="64">
        <v>1</v>
      </c>
      <c r="AB124" s="63">
        <f t="shared" si="35"/>
        <v>500000000</v>
      </c>
      <c r="AC124" s="5" t="s">
        <v>2096</v>
      </c>
      <c r="AD124" s="111">
        <f t="shared" si="30"/>
        <v>16.400000000000002</v>
      </c>
      <c r="AE124" s="29" t="str">
        <f t="shared" si="31"/>
        <v/>
      </c>
      <c r="AF124" s="29">
        <f t="shared" si="32"/>
        <v>45.246900554918589</v>
      </c>
      <c r="AG124" s="29" t="str">
        <f t="shared" si="33"/>
        <v/>
      </c>
      <c r="AH124" s="29">
        <f t="shared" si="34"/>
        <v>157.7812615628832</v>
      </c>
      <c r="AI124" s="33">
        <f t="shared" si="23"/>
        <v>9.049380110983718E-8</v>
      </c>
      <c r="AJ124" s="48">
        <f t="shared" si="24"/>
        <v>244.77096160624339</v>
      </c>
    </row>
    <row r="125" spans="1:36" x14ac:dyDescent="0.3">
      <c r="A125" s="64">
        <v>2012</v>
      </c>
      <c r="B125" s="28">
        <v>11.5</v>
      </c>
      <c r="C125" s="30" t="s">
        <v>23</v>
      </c>
      <c r="D125" s="30" t="s">
        <v>31</v>
      </c>
      <c r="E125" s="30">
        <v>0.09</v>
      </c>
      <c r="F125" s="28" t="s">
        <v>978</v>
      </c>
      <c r="G125" s="28" t="s">
        <v>980</v>
      </c>
      <c r="H125" s="28" t="s">
        <v>979</v>
      </c>
      <c r="I125" s="28" t="s">
        <v>2511</v>
      </c>
      <c r="J125" s="149" t="str">
        <f t="shared" si="20"/>
        <v>https://doi.org/10.1109/VLSIC.2012.6243805</v>
      </c>
      <c r="K125" s="28" t="s">
        <v>1050</v>
      </c>
      <c r="L125" s="38">
        <v>0.35</v>
      </c>
      <c r="M125" s="38"/>
      <c r="N125" s="38"/>
      <c r="O125" s="39" t="s">
        <v>1050</v>
      </c>
      <c r="P125" s="30">
        <v>0.03</v>
      </c>
      <c r="Q125" s="60"/>
      <c r="R125" s="63">
        <f t="shared" si="36"/>
        <v>50000</v>
      </c>
      <c r="S125" s="60">
        <v>56.3</v>
      </c>
      <c r="T125" s="60">
        <v>57</v>
      </c>
      <c r="V125" s="60">
        <v>64.5</v>
      </c>
      <c r="W125" s="60">
        <v>71</v>
      </c>
      <c r="X125" s="29">
        <f t="shared" si="29"/>
        <v>56.3</v>
      </c>
      <c r="Y125" s="63">
        <v>1.6999999999999999E-7</v>
      </c>
      <c r="Z125" s="80">
        <v>100000</v>
      </c>
      <c r="AA125" s="64">
        <v>1</v>
      </c>
      <c r="AB125" s="63">
        <f t="shared" si="35"/>
        <v>100000</v>
      </c>
      <c r="AC125" s="5" t="s">
        <v>2096</v>
      </c>
      <c r="AD125" s="111">
        <f t="shared" si="30"/>
        <v>1.6999999999999997</v>
      </c>
      <c r="AE125" s="29" t="str">
        <f t="shared" si="31"/>
        <v/>
      </c>
      <c r="AF125" s="29">
        <f t="shared" si="32"/>
        <v>3.1854967522888336</v>
      </c>
      <c r="AG125" s="29" t="str">
        <f t="shared" si="33"/>
        <v/>
      </c>
      <c r="AH125" s="29">
        <f t="shared" si="34"/>
        <v>170.98521082957745</v>
      </c>
      <c r="AI125" s="33">
        <f t="shared" si="23"/>
        <v>3.1854967522888335E-5</v>
      </c>
      <c r="AJ125" s="48">
        <f t="shared" si="24"/>
        <v>220.98521082957745</v>
      </c>
    </row>
    <row r="126" spans="1:36" x14ac:dyDescent="0.3">
      <c r="A126" s="64">
        <v>2012</v>
      </c>
      <c r="B126" s="28">
        <v>19.100000000000001</v>
      </c>
      <c r="C126" s="30" t="s">
        <v>22</v>
      </c>
      <c r="D126" s="30" t="s">
        <v>30</v>
      </c>
      <c r="E126" s="30">
        <v>0.04</v>
      </c>
      <c r="F126" s="28" t="s">
        <v>981</v>
      </c>
      <c r="G126" s="28" t="s">
        <v>982</v>
      </c>
      <c r="H126" s="28" t="s">
        <v>983</v>
      </c>
      <c r="I126" s="28" t="s">
        <v>2512</v>
      </c>
      <c r="J126" s="149" t="str">
        <f t="shared" si="20"/>
        <v>https://doi.org/10.1109/VLSIC.2012.6243839</v>
      </c>
      <c r="K126" s="28" t="s">
        <v>991</v>
      </c>
      <c r="L126" s="38"/>
      <c r="M126" s="38"/>
      <c r="N126" s="38"/>
      <c r="O126" s="39" t="s">
        <v>1050</v>
      </c>
      <c r="P126" s="30">
        <v>5.0999999999999997E-2</v>
      </c>
      <c r="Q126" s="60"/>
      <c r="R126" s="63">
        <f t="shared" si="36"/>
        <v>10000000</v>
      </c>
      <c r="S126" s="60">
        <v>70</v>
      </c>
      <c r="T126" s="60"/>
      <c r="U126" s="30">
        <v>70.599999999999994</v>
      </c>
      <c r="V126" s="60"/>
      <c r="W126" s="60"/>
      <c r="X126" s="29">
        <f t="shared" si="29"/>
        <v>70</v>
      </c>
      <c r="Y126" s="63">
        <v>2.5699999999999998E-3</v>
      </c>
      <c r="Z126" s="80">
        <v>300000000</v>
      </c>
      <c r="AA126" s="64">
        <v>15</v>
      </c>
      <c r="AB126" s="63">
        <f t="shared" si="35"/>
        <v>20000000</v>
      </c>
      <c r="AC126" s="5" t="s">
        <v>2096</v>
      </c>
      <c r="AD126" s="111">
        <f t="shared" si="30"/>
        <v>128.5</v>
      </c>
      <c r="AE126" s="29" t="str">
        <f t="shared" si="31"/>
        <v/>
      </c>
      <c r="AF126" s="29">
        <f t="shared" si="32"/>
        <v>49.723662541246327</v>
      </c>
      <c r="AG126" s="29" t="str">
        <f t="shared" si="33"/>
        <v/>
      </c>
      <c r="AH126" s="29">
        <f t="shared" si="34"/>
        <v>165.90066876668706</v>
      </c>
      <c r="AI126" s="33">
        <f t="shared" si="23"/>
        <v>2.4861831270623165E-6</v>
      </c>
      <c r="AJ126" s="48">
        <f t="shared" si="24"/>
        <v>238.91096872332687</v>
      </c>
    </row>
    <row r="127" spans="1:36" x14ac:dyDescent="0.3">
      <c r="A127" s="64">
        <v>2012</v>
      </c>
      <c r="B127" s="28">
        <v>19.2</v>
      </c>
      <c r="C127" s="30" t="s">
        <v>22</v>
      </c>
      <c r="D127" s="30" t="s">
        <v>25</v>
      </c>
      <c r="E127" s="30">
        <v>0.13</v>
      </c>
      <c r="F127" s="28" t="s">
        <v>984</v>
      </c>
      <c r="G127" s="28" t="s">
        <v>985</v>
      </c>
      <c r="H127" s="28" t="s">
        <v>986</v>
      </c>
      <c r="I127" s="28" t="s">
        <v>2513</v>
      </c>
      <c r="J127" s="149" t="str">
        <f t="shared" si="20"/>
        <v>https://doi.org/10.1109/VLSIC.2012.6243840</v>
      </c>
      <c r="K127" s="28" t="s">
        <v>1050</v>
      </c>
      <c r="L127" s="38"/>
      <c r="M127" s="38"/>
      <c r="N127" s="38"/>
      <c r="O127" s="39" t="s">
        <v>1050</v>
      </c>
      <c r="P127" s="30">
        <v>0.37</v>
      </c>
      <c r="Q127" s="60"/>
      <c r="R127" s="63">
        <f t="shared" si="36"/>
        <v>5000000</v>
      </c>
      <c r="S127" s="60">
        <v>70.7</v>
      </c>
      <c r="T127" s="60">
        <v>71</v>
      </c>
      <c r="U127" s="30">
        <v>71.599999999999994</v>
      </c>
      <c r="V127" s="60"/>
      <c r="W127" s="60"/>
      <c r="X127" s="29">
        <f t="shared" si="29"/>
        <v>70.7</v>
      </c>
      <c r="Y127" s="63">
        <v>8.0999999999999996E-3</v>
      </c>
      <c r="Z127" s="80">
        <v>80000000</v>
      </c>
      <c r="AA127" s="64">
        <v>8</v>
      </c>
      <c r="AB127" s="63">
        <f t="shared" si="35"/>
        <v>10000000</v>
      </c>
      <c r="AC127" s="5" t="s">
        <v>2096</v>
      </c>
      <c r="AD127" s="111">
        <f t="shared" si="30"/>
        <v>810</v>
      </c>
      <c r="AE127" s="29" t="str">
        <f t="shared" si="31"/>
        <v/>
      </c>
      <c r="AF127" s="29">
        <f t="shared" si="32"/>
        <v>289.16219562936476</v>
      </c>
      <c r="AG127" s="29" t="str">
        <f t="shared" si="33"/>
        <v/>
      </c>
      <c r="AH127" s="29">
        <f t="shared" si="34"/>
        <v>158.60484985457367</v>
      </c>
      <c r="AI127" s="33">
        <f t="shared" si="23"/>
        <v>2.8916219562936475E-5</v>
      </c>
      <c r="AJ127" s="48">
        <f t="shared" si="24"/>
        <v>228.60484985457367</v>
      </c>
    </row>
    <row r="128" spans="1:36" x14ac:dyDescent="0.3">
      <c r="A128" s="64">
        <v>2012</v>
      </c>
      <c r="B128" s="28">
        <v>19.3</v>
      </c>
      <c r="C128" s="30" t="s">
        <v>22</v>
      </c>
      <c r="D128" s="30" t="s">
        <v>25</v>
      </c>
      <c r="E128" s="30">
        <v>6.5000000000000002E-2</v>
      </c>
      <c r="F128" s="28" t="s">
        <v>987</v>
      </c>
      <c r="G128" s="28" t="s">
        <v>2165</v>
      </c>
      <c r="H128" s="28" t="s">
        <v>988</v>
      </c>
      <c r="I128" s="28" t="s">
        <v>2514</v>
      </c>
      <c r="J128" s="149" t="str">
        <f t="shared" si="20"/>
        <v>https://doi.org/10.1109/VLSIC.2012.6243841</v>
      </c>
      <c r="K128" s="28" t="s">
        <v>2705</v>
      </c>
      <c r="L128" s="38">
        <v>1.25</v>
      </c>
      <c r="M128" s="38"/>
      <c r="N128" s="38"/>
      <c r="O128" s="39" t="s">
        <v>1050</v>
      </c>
      <c r="P128" s="30">
        <v>0.28000000000000003</v>
      </c>
      <c r="Q128" s="60"/>
      <c r="R128" s="63">
        <f t="shared" si="36"/>
        <v>15000000</v>
      </c>
      <c r="S128" s="60">
        <v>67</v>
      </c>
      <c r="T128" s="60"/>
      <c r="V128" s="60"/>
      <c r="W128" s="60">
        <v>85</v>
      </c>
      <c r="X128" s="29">
        <f t="shared" si="29"/>
        <v>67</v>
      </c>
      <c r="Y128" s="63">
        <v>3.6999999999999998E-2</v>
      </c>
      <c r="Z128" s="80">
        <v>240000000</v>
      </c>
      <c r="AA128" s="64">
        <v>8</v>
      </c>
      <c r="AB128" s="63">
        <f t="shared" si="35"/>
        <v>30000000</v>
      </c>
      <c r="AC128" s="5" t="s">
        <v>2096</v>
      </c>
      <c r="AD128" s="111">
        <f t="shared" si="30"/>
        <v>1233.3333333333333</v>
      </c>
      <c r="AE128" s="29" t="str">
        <f t="shared" si="31"/>
        <v/>
      </c>
      <c r="AF128" s="29">
        <f t="shared" si="32"/>
        <v>674.14823226052795</v>
      </c>
      <c r="AG128" s="29" t="str">
        <f t="shared" si="33"/>
        <v/>
      </c>
      <c r="AH128" s="29">
        <f t="shared" si="34"/>
        <v>153.07889534988686</v>
      </c>
      <c r="AI128" s="33">
        <f t="shared" si="23"/>
        <v>2.2471607742017598E-5</v>
      </c>
      <c r="AJ128" s="48">
        <f t="shared" si="24"/>
        <v>227.85010789708349</v>
      </c>
    </row>
    <row r="129" spans="1:36" ht="16" x14ac:dyDescent="0.4">
      <c r="A129" s="64">
        <v>2012</v>
      </c>
      <c r="B129" s="28">
        <v>19.399999999999999</v>
      </c>
      <c r="C129" s="30" t="s">
        <v>22</v>
      </c>
      <c r="D129" s="30" t="s">
        <v>782</v>
      </c>
      <c r="E129" s="30">
        <v>6.5000000000000002E-2</v>
      </c>
      <c r="F129" s="28" t="s">
        <v>989</v>
      </c>
      <c r="G129" s="28" t="s">
        <v>2223</v>
      </c>
      <c r="H129" s="28" t="s">
        <v>739</v>
      </c>
      <c r="I129" s="28" t="s">
        <v>2515</v>
      </c>
      <c r="J129" s="149" t="str">
        <f t="shared" si="20"/>
        <v>https://doi.org/10.1109/VLSIC.2012.6243842</v>
      </c>
      <c r="K129" s="28" t="s">
        <v>992</v>
      </c>
      <c r="L129" s="38">
        <v>1.2</v>
      </c>
      <c r="M129" s="38"/>
      <c r="N129" s="38"/>
      <c r="O129" s="39" t="s">
        <v>1050</v>
      </c>
      <c r="P129" s="30">
        <v>7.4999999999999997E-2</v>
      </c>
      <c r="Q129" s="60"/>
      <c r="R129" s="63">
        <f t="shared" si="36"/>
        <v>37500000</v>
      </c>
      <c r="S129" s="60">
        <v>70</v>
      </c>
      <c r="T129" s="60">
        <v>71</v>
      </c>
      <c r="V129" s="60"/>
      <c r="W129" s="60">
        <v>77</v>
      </c>
      <c r="X129" s="29">
        <f t="shared" si="29"/>
        <v>70</v>
      </c>
      <c r="Y129" s="63">
        <v>3.9E-2</v>
      </c>
      <c r="Z129" s="80">
        <v>2400000000</v>
      </c>
      <c r="AA129" s="64">
        <v>32</v>
      </c>
      <c r="AB129" s="63">
        <f t="shared" si="35"/>
        <v>75000000</v>
      </c>
      <c r="AC129" s="5" t="s">
        <v>2096</v>
      </c>
      <c r="AD129" s="111">
        <f t="shared" si="30"/>
        <v>520</v>
      </c>
      <c r="AE129" s="29" t="str">
        <f t="shared" si="31"/>
        <v/>
      </c>
      <c r="AF129" s="29">
        <f t="shared" si="32"/>
        <v>201.21637759881784</v>
      </c>
      <c r="AG129" s="29" t="str">
        <f t="shared" si="33"/>
        <v/>
      </c>
      <c r="AH129" s="29">
        <f t="shared" si="34"/>
        <v>159.8296666070122</v>
      </c>
      <c r="AI129" s="33">
        <f t="shared" si="23"/>
        <v>2.6828850346509045E-6</v>
      </c>
      <c r="AJ129" s="48">
        <f t="shared" si="24"/>
        <v>238.5802792409292</v>
      </c>
    </row>
    <row r="130" spans="1:36" ht="12.75" customHeight="1" x14ac:dyDescent="0.3">
      <c r="A130" s="59">
        <v>2013</v>
      </c>
      <c r="B130" s="28">
        <v>5.0999999999999996</v>
      </c>
      <c r="C130" s="30" t="s">
        <v>22</v>
      </c>
      <c r="D130" s="30" t="s">
        <v>30</v>
      </c>
      <c r="E130" s="30">
        <v>5.5E-2</v>
      </c>
      <c r="F130" s="28" t="s">
        <v>1059</v>
      </c>
      <c r="G130" s="28" t="s">
        <v>2166</v>
      </c>
      <c r="H130" s="28" t="s">
        <v>1060</v>
      </c>
      <c r="I130" s="28" t="s">
        <v>1233</v>
      </c>
      <c r="J130" s="149" t="s">
        <v>2963</v>
      </c>
      <c r="K130" s="28" t="s">
        <v>1050</v>
      </c>
      <c r="L130" s="38"/>
      <c r="M130" s="38"/>
      <c r="N130" s="38"/>
      <c r="O130" s="39" t="s">
        <v>1050</v>
      </c>
      <c r="P130" s="30">
        <v>7.0999999999999994E-2</v>
      </c>
      <c r="Q130" s="60"/>
      <c r="R130" s="63">
        <f t="shared" si="36"/>
        <v>30000000</v>
      </c>
      <c r="S130" s="30">
        <v>75.099999999999994</v>
      </c>
      <c r="T130" s="60">
        <v>75.900000000000006</v>
      </c>
      <c r="U130" s="30">
        <v>77.099999999999994</v>
      </c>
      <c r="V130" s="36"/>
      <c r="W130" s="60"/>
      <c r="X130" s="29">
        <f t="shared" si="29"/>
        <v>75.099999999999994</v>
      </c>
      <c r="Y130" s="63">
        <v>1.2999999999999999E-2</v>
      </c>
      <c r="Z130" s="80">
        <v>840000000</v>
      </c>
      <c r="AA130" s="64">
        <f>Z130/AB130</f>
        <v>14</v>
      </c>
      <c r="AB130" s="63">
        <v>60000000</v>
      </c>
      <c r="AC130" s="5" t="s">
        <v>2096</v>
      </c>
      <c r="AD130" s="111">
        <f t="shared" si="30"/>
        <v>216.66666666666666</v>
      </c>
      <c r="AE130" s="29" t="str">
        <f t="shared" si="31"/>
        <v/>
      </c>
      <c r="AF130" s="29">
        <f t="shared" si="32"/>
        <v>46.604373378395742</v>
      </c>
      <c r="AG130" s="29" t="str">
        <f t="shared" si="33"/>
        <v/>
      </c>
      <c r="AH130" s="29">
        <f t="shared" si="34"/>
        <v>168.73177902412826</v>
      </c>
      <c r="AI130" s="33">
        <f t="shared" si="23"/>
        <v>7.7673955630659568E-7</v>
      </c>
      <c r="AJ130" s="48">
        <f t="shared" si="24"/>
        <v>246.5132915279647</v>
      </c>
    </row>
    <row r="131" spans="1:36" ht="14.25" customHeight="1" x14ac:dyDescent="0.3">
      <c r="A131" s="64">
        <v>2013</v>
      </c>
      <c r="B131" s="28">
        <v>5.2</v>
      </c>
      <c r="C131" s="30" t="s">
        <v>22</v>
      </c>
      <c r="D131" s="30" t="s">
        <v>1955</v>
      </c>
      <c r="E131" s="30">
        <v>6.5000000000000002E-2</v>
      </c>
      <c r="F131" s="28" t="s">
        <v>1061</v>
      </c>
      <c r="G131" s="28" t="s">
        <v>2167</v>
      </c>
      <c r="H131" s="28" t="s">
        <v>1062</v>
      </c>
      <c r="I131" s="28" t="s">
        <v>1233</v>
      </c>
      <c r="J131" s="149" t="s">
        <v>2964</v>
      </c>
      <c r="K131" s="28" t="s">
        <v>1050</v>
      </c>
      <c r="L131" s="38"/>
      <c r="M131" s="38"/>
      <c r="N131" s="38"/>
      <c r="O131" s="39" t="s">
        <v>1050</v>
      </c>
      <c r="P131" s="30">
        <v>0.25</v>
      </c>
      <c r="Q131" s="60"/>
      <c r="R131" s="63">
        <f t="shared" si="36"/>
        <v>25000000</v>
      </c>
      <c r="S131" s="60">
        <v>69</v>
      </c>
      <c r="T131" s="60"/>
      <c r="U131" s="60">
        <v>70</v>
      </c>
      <c r="V131" s="36"/>
      <c r="W131" s="60"/>
      <c r="X131" s="29">
        <f t="shared" ref="X131:X176" si="37">+IF(ISNUMBER($S131),$S131,MIN($V131,$T131,$U131,$W131))</f>
        <v>69</v>
      </c>
      <c r="Y131" s="63">
        <v>3.5000000000000003E-2</v>
      </c>
      <c r="Z131" s="80">
        <v>800000000</v>
      </c>
      <c r="AA131" s="64">
        <f>Z131/AB131</f>
        <v>16</v>
      </c>
      <c r="AB131" s="63">
        <v>50000000</v>
      </c>
      <c r="AC131" s="5">
        <v>200000000</v>
      </c>
      <c r="AD131" s="111">
        <f t="shared" si="30"/>
        <v>700.00000000000011</v>
      </c>
      <c r="AE131" s="29" t="str">
        <f t="shared" si="31"/>
        <v/>
      </c>
      <c r="AF131" s="29">
        <f t="shared" si="32"/>
        <v>303.92260666179567</v>
      </c>
      <c r="AG131" s="29" t="str">
        <f t="shared" si="33"/>
        <v/>
      </c>
      <c r="AH131" s="29">
        <f t="shared" si="34"/>
        <v>157.53871964321763</v>
      </c>
      <c r="AI131" s="33">
        <f t="shared" si="23"/>
        <v>6.0784521332359133E-6</v>
      </c>
      <c r="AJ131" s="48">
        <f t="shared" si="24"/>
        <v>234.52841968657782</v>
      </c>
    </row>
    <row r="132" spans="1:36" x14ac:dyDescent="0.3">
      <c r="A132" s="64">
        <v>2013</v>
      </c>
      <c r="B132" s="28">
        <v>5.3</v>
      </c>
      <c r="C132" s="30" t="s">
        <v>22</v>
      </c>
      <c r="D132" s="30" t="s">
        <v>1063</v>
      </c>
      <c r="E132" s="30">
        <v>2.1999999999999999E-2</v>
      </c>
      <c r="F132" s="28" t="s">
        <v>1064</v>
      </c>
      <c r="G132" s="28" t="s">
        <v>1065</v>
      </c>
      <c r="H132" s="37" t="s">
        <v>1066</v>
      </c>
      <c r="I132" s="28" t="s">
        <v>1233</v>
      </c>
      <c r="J132" s="149" t="s">
        <v>2965</v>
      </c>
      <c r="K132" s="28" t="s">
        <v>1050</v>
      </c>
      <c r="L132" s="38"/>
      <c r="M132" s="38"/>
      <c r="N132" s="38"/>
      <c r="O132" s="39" t="s">
        <v>1050</v>
      </c>
      <c r="P132" s="30">
        <v>0.04</v>
      </c>
      <c r="Q132" s="60"/>
      <c r="R132" s="63">
        <f t="shared" si="36"/>
        <v>15000000</v>
      </c>
      <c r="S132" s="60">
        <v>66</v>
      </c>
      <c r="T132" s="60"/>
      <c r="U132" s="60"/>
      <c r="V132" s="36"/>
      <c r="W132" s="60">
        <v>83</v>
      </c>
      <c r="X132" s="29">
        <f t="shared" si="37"/>
        <v>66</v>
      </c>
      <c r="Y132" s="63">
        <v>1.2699999999999999E-2</v>
      </c>
      <c r="Z132" s="80">
        <v>240000000</v>
      </c>
      <c r="AA132" s="64">
        <f>Z132/AB132</f>
        <v>8</v>
      </c>
      <c r="AB132" s="63">
        <v>30000000</v>
      </c>
      <c r="AC132" s="5" t="s">
        <v>2096</v>
      </c>
      <c r="AD132" s="111">
        <f t="shared" si="30"/>
        <v>423.33333333333331</v>
      </c>
      <c r="AE132" s="29" t="str">
        <f t="shared" si="31"/>
        <v/>
      </c>
      <c r="AF132" s="29">
        <f t="shared" si="32"/>
        <v>259.63448744024521</v>
      </c>
      <c r="AG132" s="29" t="str">
        <f t="shared" si="33"/>
        <v/>
      </c>
      <c r="AH132" s="29">
        <f t="shared" si="34"/>
        <v>156.72287538099724</v>
      </c>
      <c r="AI132" s="33">
        <f t="shared" ref="AI132:AI156" si="38">AF132/AB132</f>
        <v>8.6544829146748408E-6</v>
      </c>
      <c r="AJ132" s="48">
        <f t="shared" ref="AJ132:AJ156" si="39">AH132+10*LOG10(AB132)</f>
        <v>231.49408792819386</v>
      </c>
    </row>
    <row r="133" spans="1:36" x14ac:dyDescent="0.3">
      <c r="A133" s="64">
        <v>2013</v>
      </c>
      <c r="B133" s="28">
        <v>5.4</v>
      </c>
      <c r="C133" s="30" t="s">
        <v>22</v>
      </c>
      <c r="D133" s="30" t="s">
        <v>1302</v>
      </c>
      <c r="E133" s="30">
        <v>0.18</v>
      </c>
      <c r="F133" s="28" t="s">
        <v>1067</v>
      </c>
      <c r="G133" s="28" t="s">
        <v>2168</v>
      </c>
      <c r="H133" s="28" t="s">
        <v>1068</v>
      </c>
      <c r="I133" s="28" t="s">
        <v>1233</v>
      </c>
      <c r="J133" s="149" t="s">
        <v>2966</v>
      </c>
      <c r="K133" s="28" t="s">
        <v>1050</v>
      </c>
      <c r="L133" s="38"/>
      <c r="M133" s="38"/>
      <c r="N133" s="38"/>
      <c r="O133" s="39" t="s">
        <v>1050</v>
      </c>
      <c r="P133" s="30">
        <v>0.06</v>
      </c>
      <c r="Q133" s="60"/>
      <c r="R133" s="63">
        <f t="shared" si="36"/>
        <v>2000</v>
      </c>
      <c r="S133" s="60">
        <v>58.5</v>
      </c>
      <c r="T133" s="60">
        <v>59.8</v>
      </c>
      <c r="U133" s="60"/>
      <c r="V133" s="36"/>
      <c r="W133" s="60">
        <v>65.3</v>
      </c>
      <c r="X133" s="29">
        <f t="shared" si="37"/>
        <v>58.5</v>
      </c>
      <c r="Y133" s="63">
        <v>3.7899999999999999E-7</v>
      </c>
      <c r="Z133" s="80">
        <v>25000</v>
      </c>
      <c r="AA133" s="64">
        <f>Z133/AB133</f>
        <v>6.25</v>
      </c>
      <c r="AB133" s="63">
        <v>4000</v>
      </c>
      <c r="AC133" s="5" t="s">
        <v>2096</v>
      </c>
      <c r="AD133" s="111">
        <f t="shared" si="30"/>
        <v>94.75</v>
      </c>
      <c r="AE133" s="29" t="str">
        <f t="shared" si="31"/>
        <v/>
      </c>
      <c r="AF133" s="29">
        <f t="shared" si="32"/>
        <v>137.81500399794294</v>
      </c>
      <c r="AG133" s="29" t="str">
        <f t="shared" si="33"/>
        <v/>
      </c>
      <c r="AH133" s="29">
        <f t="shared" si="34"/>
        <v>155.7239078569591</v>
      </c>
      <c r="AI133" s="33">
        <f t="shared" si="38"/>
        <v>3.4453750999485735E-2</v>
      </c>
      <c r="AJ133" s="48">
        <f t="shared" si="39"/>
        <v>191.74450777023873</v>
      </c>
    </row>
    <row r="134" spans="1:36" x14ac:dyDescent="0.3">
      <c r="A134" s="64">
        <v>2013</v>
      </c>
      <c r="B134" s="28">
        <v>5.5</v>
      </c>
      <c r="C134" s="30" t="s">
        <v>22</v>
      </c>
      <c r="D134" s="30" t="s">
        <v>782</v>
      </c>
      <c r="E134" s="30">
        <v>0.09</v>
      </c>
      <c r="F134" s="28" t="s">
        <v>1069</v>
      </c>
      <c r="G134" s="28" t="s">
        <v>1070</v>
      </c>
      <c r="H134" s="37" t="s">
        <v>1071</v>
      </c>
      <c r="I134" s="28" t="s">
        <v>1233</v>
      </c>
      <c r="J134" s="149" t="s">
        <v>2967</v>
      </c>
      <c r="K134" s="28" t="s">
        <v>1050</v>
      </c>
      <c r="L134" s="38"/>
      <c r="M134" s="38"/>
      <c r="N134" s="38"/>
      <c r="O134" s="39" t="s">
        <v>1050</v>
      </c>
      <c r="P134" s="30">
        <v>0.16</v>
      </c>
      <c r="Q134" s="60"/>
      <c r="R134" s="63">
        <f t="shared" si="36"/>
        <v>5000000</v>
      </c>
      <c r="S134" s="60">
        <v>73.900000000000006</v>
      </c>
      <c r="T134" s="60">
        <v>75.400000000000006</v>
      </c>
      <c r="U134" s="60"/>
      <c r="V134" s="36"/>
      <c r="W134" s="60">
        <v>83</v>
      </c>
      <c r="X134" s="29">
        <f t="shared" si="37"/>
        <v>73.900000000000006</v>
      </c>
      <c r="Y134" s="63">
        <v>4.1000000000000003E-3</v>
      </c>
      <c r="Z134" s="80">
        <v>640000000</v>
      </c>
      <c r="AA134" s="64">
        <f>Z134/AB134</f>
        <v>64</v>
      </c>
      <c r="AB134" s="63">
        <v>10000000</v>
      </c>
      <c r="AC134" s="5" t="s">
        <v>2096</v>
      </c>
      <c r="AD134" s="111">
        <f t="shared" si="30"/>
        <v>410.00000000000006</v>
      </c>
      <c r="AE134" s="29" t="str">
        <f t="shared" si="31"/>
        <v/>
      </c>
      <c r="AF134" s="29">
        <f t="shared" si="32"/>
        <v>101.25684865416865</v>
      </c>
      <c r="AG134" s="29" t="str">
        <f t="shared" si="33"/>
        <v/>
      </c>
      <c r="AH134" s="29">
        <f t="shared" si="34"/>
        <v>164.76186147616284</v>
      </c>
      <c r="AI134" s="33">
        <f t="shared" si="38"/>
        <v>1.0125684865416866E-5</v>
      </c>
      <c r="AJ134" s="48">
        <f t="shared" si="39"/>
        <v>234.76186147616284</v>
      </c>
    </row>
    <row r="135" spans="1:36" x14ac:dyDescent="0.3">
      <c r="A135" s="64">
        <v>2013</v>
      </c>
      <c r="B135" s="28">
        <v>8.1</v>
      </c>
      <c r="C135" s="30" t="s">
        <v>23</v>
      </c>
      <c r="D135" s="30" t="s">
        <v>260</v>
      </c>
      <c r="E135" s="30">
        <v>2.8000000000000001E-2</v>
      </c>
      <c r="F135" s="28" t="s">
        <v>1074</v>
      </c>
      <c r="G135" s="28" t="s">
        <v>2169</v>
      </c>
      <c r="H135" s="37" t="s">
        <v>1075</v>
      </c>
      <c r="I135" s="28" t="s">
        <v>1233</v>
      </c>
      <c r="J135" s="149" t="s">
        <v>2968</v>
      </c>
      <c r="K135" s="17" t="s">
        <v>1227</v>
      </c>
      <c r="L135" s="48"/>
      <c r="M135" s="48"/>
      <c r="N135" s="48"/>
      <c r="O135" s="39" t="s">
        <v>1050</v>
      </c>
      <c r="P135" s="30">
        <v>0.4</v>
      </c>
      <c r="Q135" s="60">
        <v>61</v>
      </c>
      <c r="R135" s="63">
        <f t="shared" si="36"/>
        <v>2700000000</v>
      </c>
      <c r="S135" s="40"/>
      <c r="T135" s="60">
        <v>50</v>
      </c>
      <c r="U135" s="60"/>
      <c r="V135" s="60">
        <v>57</v>
      </c>
      <c r="W135" s="60">
        <v>65</v>
      </c>
      <c r="X135" s="29">
        <f t="shared" si="37"/>
        <v>50</v>
      </c>
      <c r="Y135" s="63">
        <v>0.5</v>
      </c>
      <c r="Z135" s="80">
        <v>5400000000</v>
      </c>
      <c r="AA135" s="64">
        <v>1</v>
      </c>
      <c r="AB135" s="63">
        <f t="shared" ref="AB135:AB148" si="40">Z135/AA135</f>
        <v>5400000000</v>
      </c>
      <c r="AC135" s="5" t="s">
        <v>2096</v>
      </c>
      <c r="AD135" s="111">
        <f t="shared" si="30"/>
        <v>92.592592592592595</v>
      </c>
      <c r="AE135" s="29">
        <f t="shared" si="31"/>
        <v>100.9906276302835</v>
      </c>
      <c r="AF135" s="29">
        <f t="shared" si="32"/>
        <v>358.37349373067144</v>
      </c>
      <c r="AG135" s="29">
        <f t="shared" si="33"/>
        <v>158.32393759822969</v>
      </c>
      <c r="AH135" s="29">
        <f t="shared" si="34"/>
        <v>147.32393759822969</v>
      </c>
      <c r="AI135" s="33">
        <f t="shared" si="38"/>
        <v>6.6365461801976198E-8</v>
      </c>
      <c r="AJ135" s="48">
        <f t="shared" si="39"/>
        <v>244.64787519645938</v>
      </c>
    </row>
    <row r="136" spans="1:36" x14ac:dyDescent="0.3">
      <c r="A136" s="64">
        <v>2013</v>
      </c>
      <c r="B136" s="28">
        <v>8.1999999999999993</v>
      </c>
      <c r="C136" s="30" t="s">
        <v>23</v>
      </c>
      <c r="D136" s="30" t="s">
        <v>26</v>
      </c>
      <c r="E136" s="30">
        <v>0.18</v>
      </c>
      <c r="F136" s="28" t="s">
        <v>1076</v>
      </c>
      <c r="G136" s="28" t="s">
        <v>2706</v>
      </c>
      <c r="H136" s="37" t="s">
        <v>1077</v>
      </c>
      <c r="I136" s="28" t="s">
        <v>1233</v>
      </c>
      <c r="J136" s="149" t="s">
        <v>2969</v>
      </c>
      <c r="K136" s="28" t="s">
        <v>1078</v>
      </c>
      <c r="L136" s="38">
        <v>1.2</v>
      </c>
      <c r="M136" s="38"/>
      <c r="N136" s="38"/>
      <c r="O136" s="39" t="s">
        <v>1050</v>
      </c>
      <c r="P136" s="30">
        <v>1.98</v>
      </c>
      <c r="Q136" s="60"/>
      <c r="R136" s="63">
        <f t="shared" si="36"/>
        <v>10000000</v>
      </c>
      <c r="S136" s="60">
        <v>75.900000000000006</v>
      </c>
      <c r="T136" s="60">
        <v>76.099999999999994</v>
      </c>
      <c r="U136" s="60"/>
      <c r="V136" s="36"/>
      <c r="W136" s="60">
        <v>91.4</v>
      </c>
      <c r="X136" s="29">
        <f t="shared" si="37"/>
        <v>75.900000000000006</v>
      </c>
      <c r="Y136" s="63">
        <v>2.96E-3</v>
      </c>
      <c r="Z136" s="80">
        <v>20000000</v>
      </c>
      <c r="AA136" s="64">
        <v>1</v>
      </c>
      <c r="AB136" s="63">
        <f t="shared" si="40"/>
        <v>20000000</v>
      </c>
      <c r="AC136" s="5" t="s">
        <v>2096</v>
      </c>
      <c r="AD136" s="111">
        <f t="shared" si="30"/>
        <v>148</v>
      </c>
      <c r="AE136" s="29" t="str">
        <f t="shared" si="31"/>
        <v/>
      </c>
      <c r="AF136" s="29">
        <f t="shared" si="32"/>
        <v>29.033025821670531</v>
      </c>
      <c r="AG136" s="29" t="str">
        <f t="shared" si="33"/>
        <v/>
      </c>
      <c r="AH136" s="29">
        <f t="shared" si="34"/>
        <v>171.18708288941062</v>
      </c>
      <c r="AI136" s="33">
        <f t="shared" si="38"/>
        <v>1.4516512910835266E-6</v>
      </c>
      <c r="AJ136" s="48">
        <f t="shared" si="39"/>
        <v>244.19738284605043</v>
      </c>
    </row>
    <row r="137" spans="1:36" x14ac:dyDescent="0.3">
      <c r="A137" s="64">
        <v>2013</v>
      </c>
      <c r="B137" s="28">
        <v>8.3000000000000007</v>
      </c>
      <c r="C137" s="30" t="s">
        <v>23</v>
      </c>
      <c r="D137" s="30" t="s">
        <v>26</v>
      </c>
      <c r="E137" s="30">
        <v>0.13</v>
      </c>
      <c r="F137" s="28" t="s">
        <v>1079</v>
      </c>
      <c r="G137" s="28" t="s">
        <v>1080</v>
      </c>
      <c r="H137" s="37" t="s">
        <v>1081</v>
      </c>
      <c r="I137" s="28" t="s">
        <v>1233</v>
      </c>
      <c r="J137" s="149" t="s">
        <v>2970</v>
      </c>
      <c r="K137" s="28" t="s">
        <v>1050</v>
      </c>
      <c r="L137" s="38">
        <v>1.3</v>
      </c>
      <c r="M137" s="38"/>
      <c r="N137" s="38"/>
      <c r="O137" s="39" t="s">
        <v>1050</v>
      </c>
      <c r="P137" s="30">
        <v>0.5</v>
      </c>
      <c r="Q137" s="60">
        <v>69.3</v>
      </c>
      <c r="R137" s="63">
        <v>20000000</v>
      </c>
      <c r="S137" s="60">
        <v>65.2</v>
      </c>
      <c r="T137" s="60">
        <v>66.099999999999994</v>
      </c>
      <c r="U137" s="60"/>
      <c r="V137" s="36"/>
      <c r="W137" s="60"/>
      <c r="X137" s="29">
        <f t="shared" si="37"/>
        <v>65.2</v>
      </c>
      <c r="Y137" s="63">
        <v>6.3800000000000003E-3</v>
      </c>
      <c r="Z137" s="80">
        <v>70000000</v>
      </c>
      <c r="AA137" s="64">
        <v>1</v>
      </c>
      <c r="AB137" s="63">
        <f t="shared" si="40"/>
        <v>70000000</v>
      </c>
      <c r="AC137" s="5" t="s">
        <v>2096</v>
      </c>
      <c r="AD137" s="111">
        <f t="shared" si="30"/>
        <v>91.142857142857153</v>
      </c>
      <c r="AE137" s="29">
        <f t="shared" si="31"/>
        <v>38.228398918403641</v>
      </c>
      <c r="AF137" s="29">
        <f t="shared" si="32"/>
        <v>61.292387447120824</v>
      </c>
      <c r="AG137" s="29">
        <f t="shared" si="33"/>
        <v>166.69247365629113</v>
      </c>
      <c r="AH137" s="29">
        <f t="shared" si="34"/>
        <v>162.59247365629113</v>
      </c>
      <c r="AI137" s="33">
        <f t="shared" si="38"/>
        <v>8.7560553495886892E-7</v>
      </c>
      <c r="AJ137" s="48">
        <f t="shared" si="39"/>
        <v>241.04345405643369</v>
      </c>
    </row>
    <row r="138" spans="1:36" x14ac:dyDescent="0.3">
      <c r="A138" s="64">
        <v>2013</v>
      </c>
      <c r="B138" s="28">
        <v>8.4</v>
      </c>
      <c r="C138" s="30" t="s">
        <v>23</v>
      </c>
      <c r="D138" s="30" t="s">
        <v>26</v>
      </c>
      <c r="E138" s="30">
        <v>6.5000000000000002E-2</v>
      </c>
      <c r="F138" s="28" t="s">
        <v>1082</v>
      </c>
      <c r="G138" s="28" t="s">
        <v>2170</v>
      </c>
      <c r="H138" s="37" t="s">
        <v>1083</v>
      </c>
      <c r="I138" s="28" t="s">
        <v>1233</v>
      </c>
      <c r="J138" s="149" t="s">
        <v>2971</v>
      </c>
      <c r="K138" s="28" t="s">
        <v>1050</v>
      </c>
      <c r="L138" s="38">
        <v>1</v>
      </c>
      <c r="M138" s="38"/>
      <c r="N138" s="38"/>
      <c r="O138" s="39">
        <v>8</v>
      </c>
      <c r="P138" s="30">
        <v>0.26</v>
      </c>
      <c r="Q138" s="60">
        <v>65</v>
      </c>
      <c r="R138" s="63">
        <f>AB138/2</f>
        <v>100000000</v>
      </c>
      <c r="S138" s="60">
        <v>57.6</v>
      </c>
      <c r="T138" s="60"/>
      <c r="U138" s="60"/>
      <c r="V138" s="36"/>
      <c r="W138" s="60">
        <v>63</v>
      </c>
      <c r="X138" s="29">
        <f t="shared" si="37"/>
        <v>57.6</v>
      </c>
      <c r="Y138" s="63">
        <v>1.15E-2</v>
      </c>
      <c r="Z138" s="80">
        <v>200000000</v>
      </c>
      <c r="AA138" s="64">
        <v>1</v>
      </c>
      <c r="AB138" s="63">
        <f t="shared" si="40"/>
        <v>200000000</v>
      </c>
      <c r="AC138" s="5" t="s">
        <v>2096</v>
      </c>
      <c r="AD138" s="111">
        <f t="shared" si="30"/>
        <v>57.5</v>
      </c>
      <c r="AE138" s="29">
        <f t="shared" si="31"/>
        <v>39.568787343646001</v>
      </c>
      <c r="AF138" s="29">
        <f t="shared" si="32"/>
        <v>92.766167022451228</v>
      </c>
      <c r="AG138" s="29">
        <f t="shared" si="33"/>
        <v>164.39302159646388</v>
      </c>
      <c r="AH138" s="29">
        <f t="shared" si="34"/>
        <v>156.99302159646388</v>
      </c>
      <c r="AI138" s="33">
        <f t="shared" si="38"/>
        <v>4.6383083511225611E-7</v>
      </c>
      <c r="AJ138" s="48">
        <f t="shared" si="39"/>
        <v>240.00332155310369</v>
      </c>
    </row>
    <row r="139" spans="1:36" x14ac:dyDescent="0.3">
      <c r="A139" s="64">
        <v>2013</v>
      </c>
      <c r="B139" s="28">
        <v>8.5</v>
      </c>
      <c r="C139" s="30" t="s">
        <v>23</v>
      </c>
      <c r="D139" s="30" t="s">
        <v>26</v>
      </c>
      <c r="E139" s="30">
        <v>6.5000000000000002E-2</v>
      </c>
      <c r="F139" s="28" t="s">
        <v>1084</v>
      </c>
      <c r="G139" s="28" t="s">
        <v>2222</v>
      </c>
      <c r="H139" s="28" t="s">
        <v>1101</v>
      </c>
      <c r="I139" s="28" t="s">
        <v>1233</v>
      </c>
      <c r="J139" s="149" t="s">
        <v>2972</v>
      </c>
      <c r="K139" s="28" t="s">
        <v>1050</v>
      </c>
      <c r="L139" s="38"/>
      <c r="M139" s="38"/>
      <c r="N139" s="38"/>
      <c r="O139" s="39" t="s">
        <v>1050</v>
      </c>
      <c r="P139" s="30">
        <v>0.18</v>
      </c>
      <c r="Q139" s="60">
        <v>55</v>
      </c>
      <c r="R139" s="63">
        <f>AB139/2</f>
        <v>400000000</v>
      </c>
      <c r="S139" s="60">
        <v>52.2</v>
      </c>
      <c r="T139" s="60"/>
      <c r="U139" s="60"/>
      <c r="V139" s="36"/>
      <c r="W139" s="60"/>
      <c r="X139" s="29">
        <f t="shared" si="37"/>
        <v>52.2</v>
      </c>
      <c r="Y139" s="63">
        <v>1.9E-2</v>
      </c>
      <c r="Z139" s="80">
        <v>800000000</v>
      </c>
      <c r="AA139" s="64">
        <v>1</v>
      </c>
      <c r="AB139" s="63">
        <f t="shared" si="40"/>
        <v>800000000</v>
      </c>
      <c r="AC139" s="5" t="s">
        <v>2096</v>
      </c>
      <c r="AD139" s="111">
        <f t="shared" si="30"/>
        <v>23.75</v>
      </c>
      <c r="AE139" s="29">
        <f t="shared" si="31"/>
        <v>51.689024578741929</v>
      </c>
      <c r="AF139" s="29">
        <f t="shared" si="32"/>
        <v>71.353008320539288</v>
      </c>
      <c r="AG139" s="29">
        <f t="shared" si="33"/>
        <v>158.23306390375134</v>
      </c>
      <c r="AH139" s="29">
        <f t="shared" si="34"/>
        <v>155.43306390375136</v>
      </c>
      <c r="AI139" s="33">
        <f t="shared" si="38"/>
        <v>8.9191260400674111E-8</v>
      </c>
      <c r="AJ139" s="48">
        <f t="shared" si="39"/>
        <v>244.4639637736708</v>
      </c>
    </row>
    <row r="140" spans="1:36" x14ac:dyDescent="0.3">
      <c r="A140" s="64">
        <v>2013</v>
      </c>
      <c r="B140" s="28">
        <v>21.1</v>
      </c>
      <c r="C140" s="30" t="s">
        <v>23</v>
      </c>
      <c r="D140" s="30" t="s">
        <v>592</v>
      </c>
      <c r="E140" s="30">
        <v>3.2000000000000001E-2</v>
      </c>
      <c r="F140" s="28" t="s">
        <v>1085</v>
      </c>
      <c r="G140" s="28" t="s">
        <v>1086</v>
      </c>
      <c r="H140" s="28" t="s">
        <v>1102</v>
      </c>
      <c r="I140" s="28" t="s">
        <v>1233</v>
      </c>
      <c r="J140" s="149" t="s">
        <v>2973</v>
      </c>
      <c r="K140" s="28" t="s">
        <v>1050</v>
      </c>
      <c r="L140" s="38">
        <v>1</v>
      </c>
      <c r="M140" s="38"/>
      <c r="N140" s="38"/>
      <c r="O140" s="39">
        <v>0.128</v>
      </c>
      <c r="P140" s="30">
        <v>2.5000000000000001E-2</v>
      </c>
      <c r="Q140" s="60">
        <f>6.2*6.02+1.76</f>
        <v>39.083999999999996</v>
      </c>
      <c r="R140" s="63">
        <v>3810000000</v>
      </c>
      <c r="S140" s="60">
        <v>36.979999999999997</v>
      </c>
      <c r="T140" s="60">
        <v>38.56</v>
      </c>
      <c r="U140" s="60"/>
      <c r="V140" s="36"/>
      <c r="W140" s="60">
        <v>48.76</v>
      </c>
      <c r="X140" s="29">
        <f t="shared" si="37"/>
        <v>36.979999999999997</v>
      </c>
      <c r="Y140" s="63">
        <v>3.5000000000000003E-2</v>
      </c>
      <c r="Z140" s="80">
        <v>8800000000</v>
      </c>
      <c r="AA140" s="64">
        <v>1</v>
      </c>
      <c r="AB140" s="63">
        <f t="shared" si="40"/>
        <v>8800000000</v>
      </c>
      <c r="AC140" s="5" t="s">
        <v>2096</v>
      </c>
      <c r="AD140" s="111">
        <f t="shared" si="30"/>
        <v>3.9772727272727275</v>
      </c>
      <c r="AE140" s="29">
        <f t="shared" si="31"/>
        <v>54.100265829837276</v>
      </c>
      <c r="AF140" s="29">
        <f t="shared" si="32"/>
        <v>68.930254602465098</v>
      </c>
      <c r="AG140" s="29">
        <f t="shared" si="33"/>
        <v>150.07784632135912</v>
      </c>
      <c r="AH140" s="29">
        <f t="shared" si="34"/>
        <v>147.9738463213591</v>
      </c>
      <c r="AI140" s="33">
        <f t="shared" si="38"/>
        <v>7.8329834775528521E-9</v>
      </c>
      <c r="AJ140" s="48">
        <f t="shared" si="39"/>
        <v>247.4186730428608</v>
      </c>
    </row>
    <row r="141" spans="1:36" x14ac:dyDescent="0.3">
      <c r="A141" s="64">
        <v>2013</v>
      </c>
      <c r="B141" s="28">
        <v>21.3</v>
      </c>
      <c r="C141" s="30" t="s">
        <v>23</v>
      </c>
      <c r="D141" s="30" t="s">
        <v>27</v>
      </c>
      <c r="E141" s="30">
        <v>3.2000000000000001E-2</v>
      </c>
      <c r="F141" s="28" t="s">
        <v>1088</v>
      </c>
      <c r="G141" s="28" t="s">
        <v>1089</v>
      </c>
      <c r="H141" s="37" t="s">
        <v>1090</v>
      </c>
      <c r="I141" s="28" t="s">
        <v>1233</v>
      </c>
      <c r="J141" s="149" t="s">
        <v>2974</v>
      </c>
      <c r="K141" s="28" t="s">
        <v>1050</v>
      </c>
      <c r="L141" s="38"/>
      <c r="M141" s="38"/>
      <c r="N141" s="38"/>
      <c r="O141" s="39">
        <v>0.1</v>
      </c>
      <c r="P141" s="30">
        <v>0.02</v>
      </c>
      <c r="Q141" s="60">
        <v>33.4</v>
      </c>
      <c r="R141" s="63">
        <f>AB141/2</f>
        <v>2500000000</v>
      </c>
      <c r="S141" s="60">
        <v>30.9</v>
      </c>
      <c r="T141" s="60"/>
      <c r="U141" s="60"/>
      <c r="V141" s="36"/>
      <c r="W141" s="60"/>
      <c r="X141" s="29">
        <f t="shared" si="37"/>
        <v>30.9</v>
      </c>
      <c r="Y141" s="63">
        <v>8.5000000000000006E-3</v>
      </c>
      <c r="Z141" s="80">
        <v>5000000000</v>
      </c>
      <c r="AA141" s="64">
        <v>1</v>
      </c>
      <c r="AB141" s="63">
        <f t="shared" si="40"/>
        <v>5000000000</v>
      </c>
      <c r="AC141" s="5" t="s">
        <v>2096</v>
      </c>
      <c r="AD141" s="111">
        <f t="shared" si="30"/>
        <v>1.7</v>
      </c>
      <c r="AE141" s="29">
        <f t="shared" si="31"/>
        <v>44.492956984557154</v>
      </c>
      <c r="AF141" s="29">
        <f t="shared" si="32"/>
        <v>59.334013545344185</v>
      </c>
      <c r="AG141" s="29">
        <f t="shared" si="33"/>
        <v>148.08521082957745</v>
      </c>
      <c r="AH141" s="29">
        <f t="shared" si="34"/>
        <v>145.58521082957745</v>
      </c>
      <c r="AI141" s="33">
        <f t="shared" si="38"/>
        <v>1.1866802709068837E-8</v>
      </c>
      <c r="AJ141" s="48">
        <f t="shared" si="39"/>
        <v>242.57491087293764</v>
      </c>
    </row>
    <row r="142" spans="1:36" x14ac:dyDescent="0.3">
      <c r="A142" s="64">
        <v>2013</v>
      </c>
      <c r="B142" s="28">
        <v>21.4</v>
      </c>
      <c r="C142" s="30" t="s">
        <v>23</v>
      </c>
      <c r="D142" s="30" t="s">
        <v>31</v>
      </c>
      <c r="E142" s="30">
        <v>0.04</v>
      </c>
      <c r="F142" s="28" t="s">
        <v>1091</v>
      </c>
      <c r="G142" s="28" t="s">
        <v>2171</v>
      </c>
      <c r="H142" s="28" t="s">
        <v>1092</v>
      </c>
      <c r="I142" s="28" t="s">
        <v>1233</v>
      </c>
      <c r="J142" s="149" t="s">
        <v>2975</v>
      </c>
      <c r="K142" s="28" t="s">
        <v>1050</v>
      </c>
      <c r="L142" s="38">
        <v>0.7</v>
      </c>
      <c r="M142" s="38"/>
      <c r="N142" s="38"/>
      <c r="O142" s="39">
        <v>6.4000000000000001E-2</v>
      </c>
      <c r="P142" s="30">
        <v>5.7999999999999996E-3</v>
      </c>
      <c r="Q142" s="60"/>
      <c r="R142" s="63">
        <f>AB142/2</f>
        <v>12288000</v>
      </c>
      <c r="S142" s="60">
        <v>44.2</v>
      </c>
      <c r="T142" s="60"/>
      <c r="U142" s="60"/>
      <c r="V142" s="36"/>
      <c r="W142" s="60"/>
      <c r="X142" s="29">
        <f t="shared" si="37"/>
        <v>44.2</v>
      </c>
      <c r="Y142" s="63">
        <v>5.4599999999999999E-5</v>
      </c>
      <c r="Z142" s="80">
        <v>24576000</v>
      </c>
      <c r="AA142" s="64">
        <v>1</v>
      </c>
      <c r="AB142" s="63">
        <f t="shared" si="40"/>
        <v>24576000</v>
      </c>
      <c r="AC142" s="5" t="s">
        <v>2096</v>
      </c>
      <c r="AD142" s="111">
        <f t="shared" si="30"/>
        <v>2.2216796875</v>
      </c>
      <c r="AE142" s="29" t="str">
        <f t="shared" si="31"/>
        <v/>
      </c>
      <c r="AF142" s="29">
        <f t="shared" si="32"/>
        <v>16.767564279273973</v>
      </c>
      <c r="AG142" s="29" t="str">
        <f t="shared" si="33"/>
        <v/>
      </c>
      <c r="AH142" s="29">
        <f t="shared" si="34"/>
        <v>157.72288559982701</v>
      </c>
      <c r="AI142" s="33">
        <f t="shared" si="38"/>
        <v>6.822739371449371E-7</v>
      </c>
      <c r="AJ142" s="48">
        <f t="shared" si="39"/>
        <v>231.6279975833412</v>
      </c>
    </row>
    <row r="143" spans="1:36" x14ac:dyDescent="0.3">
      <c r="A143" s="64">
        <v>2013</v>
      </c>
      <c r="B143" s="28">
        <v>21.5</v>
      </c>
      <c r="C143" s="30" t="s">
        <v>23</v>
      </c>
      <c r="D143" s="30" t="s">
        <v>26</v>
      </c>
      <c r="E143" s="30">
        <v>2.8000000000000001E-2</v>
      </c>
      <c r="F143" s="28" t="s">
        <v>1093</v>
      </c>
      <c r="G143" s="37" t="s">
        <v>1094</v>
      </c>
      <c r="H143" s="28" t="s">
        <v>1095</v>
      </c>
      <c r="I143" s="28" t="s">
        <v>1233</v>
      </c>
      <c r="J143" s="149" t="s">
        <v>2976</v>
      </c>
      <c r="K143" s="28" t="s">
        <v>1050</v>
      </c>
      <c r="L143" s="38"/>
      <c r="M143" s="38"/>
      <c r="N143" s="38"/>
      <c r="O143" s="39" t="s">
        <v>1050</v>
      </c>
      <c r="P143" s="30">
        <v>0.11</v>
      </c>
      <c r="Q143" s="60">
        <v>60</v>
      </c>
      <c r="R143" s="63">
        <f>AB143/2</f>
        <v>205000000</v>
      </c>
      <c r="S143" s="60">
        <v>55</v>
      </c>
      <c r="T143" s="60"/>
      <c r="U143" s="60"/>
      <c r="V143" s="36"/>
      <c r="W143" s="60"/>
      <c r="X143" s="29">
        <f t="shared" si="37"/>
        <v>55</v>
      </c>
      <c r="Y143" s="63">
        <f>0.000000000005*Z143+0.0001*0.9</f>
        <v>2.1399999999999995E-3</v>
      </c>
      <c r="Z143" s="80">
        <v>410000000</v>
      </c>
      <c r="AA143" s="64">
        <v>1</v>
      </c>
      <c r="AB143" s="63">
        <f t="shared" si="40"/>
        <v>410000000</v>
      </c>
      <c r="AC143" s="5" t="s">
        <v>2096</v>
      </c>
      <c r="AD143" s="111">
        <f t="shared" si="30"/>
        <v>5.2195121951219496</v>
      </c>
      <c r="AE143" s="29">
        <f t="shared" si="31"/>
        <v>6.3876296190151729</v>
      </c>
      <c r="AF143" s="29">
        <f t="shared" si="32"/>
        <v>11.359641858640073</v>
      </c>
      <c r="AG143" s="29">
        <f t="shared" si="33"/>
        <v>169.81340087706565</v>
      </c>
      <c r="AH143" s="29">
        <f t="shared" si="34"/>
        <v>164.81340087706565</v>
      </c>
      <c r="AI143" s="33">
        <f t="shared" si="38"/>
        <v>2.7706443557658715E-8</v>
      </c>
      <c r="AJ143" s="48">
        <f t="shared" si="39"/>
        <v>250.941239444263</v>
      </c>
    </row>
    <row r="144" spans="1:36" x14ac:dyDescent="0.3">
      <c r="A144" s="64">
        <v>2013</v>
      </c>
      <c r="B144" s="28">
        <v>22.2</v>
      </c>
      <c r="C144" s="30" t="s">
        <v>23</v>
      </c>
      <c r="D144" s="30" t="s">
        <v>592</v>
      </c>
      <c r="E144" s="30">
        <v>6.5000000000000002E-2</v>
      </c>
      <c r="F144" s="28" t="s">
        <v>1096</v>
      </c>
      <c r="G144" s="28" t="s">
        <v>2172</v>
      </c>
      <c r="H144" s="28" t="s">
        <v>1097</v>
      </c>
      <c r="I144" s="28" t="s">
        <v>1233</v>
      </c>
      <c r="J144" s="149" t="s">
        <v>2977</v>
      </c>
      <c r="K144" s="28" t="s">
        <v>1098</v>
      </c>
      <c r="L144" s="38"/>
      <c r="M144" s="38"/>
      <c r="N144" s="38"/>
      <c r="O144" s="39" t="s">
        <v>1050</v>
      </c>
      <c r="P144" s="30">
        <v>0.33</v>
      </c>
      <c r="Q144" s="60">
        <v>29.19</v>
      </c>
      <c r="R144" s="63">
        <f>AB144/2</f>
        <v>5000000000</v>
      </c>
      <c r="S144" s="60">
        <v>27</v>
      </c>
      <c r="T144" s="60"/>
      <c r="U144" s="60"/>
      <c r="V144" s="36"/>
      <c r="W144" s="60"/>
      <c r="X144" s="29">
        <f t="shared" si="37"/>
        <v>27</v>
      </c>
      <c r="Y144" s="63">
        <v>7.9299999999999995E-2</v>
      </c>
      <c r="Z144" s="80">
        <v>10000000000</v>
      </c>
      <c r="AA144" s="64">
        <v>1</v>
      </c>
      <c r="AB144" s="63">
        <f t="shared" si="40"/>
        <v>10000000000</v>
      </c>
      <c r="AC144" s="5" t="s">
        <v>2096</v>
      </c>
      <c r="AD144" s="111">
        <f t="shared" si="30"/>
        <v>7.9300000000000006</v>
      </c>
      <c r="AE144" s="29">
        <f t="shared" si="31"/>
        <v>337.00513064491696</v>
      </c>
      <c r="AF144" s="29">
        <f t="shared" si="32"/>
        <v>433.65806213322816</v>
      </c>
      <c r="AG144" s="29">
        <f t="shared" si="33"/>
        <v>137.18696817018414</v>
      </c>
      <c r="AH144" s="29">
        <f t="shared" si="34"/>
        <v>134.99696817018415</v>
      </c>
      <c r="AI144" s="33">
        <f t="shared" si="38"/>
        <v>4.3365806213322816E-8</v>
      </c>
      <c r="AJ144" s="48">
        <f t="shared" si="39"/>
        <v>234.99696817018415</v>
      </c>
    </row>
    <row r="145" spans="1:36" ht="14.25" customHeight="1" x14ac:dyDescent="0.3">
      <c r="A145" s="59">
        <v>2014</v>
      </c>
      <c r="B145" s="28">
        <v>5.0999999999999996</v>
      </c>
      <c r="C145" s="30" t="s">
        <v>23</v>
      </c>
      <c r="D145" s="30" t="s">
        <v>745</v>
      </c>
      <c r="E145" s="30">
        <v>0.18</v>
      </c>
      <c r="F145" s="28" t="s">
        <v>1192</v>
      </c>
      <c r="G145" s="50" t="s">
        <v>1273</v>
      </c>
      <c r="H145" s="28" t="s">
        <v>1193</v>
      </c>
      <c r="I145" s="28" t="s">
        <v>2516</v>
      </c>
      <c r="J145" s="149" t="str">
        <f t="shared" ref="J145:J194" si="41">IF(I145&lt;&gt;"?", HYPERLINK(CONCATENATE("https://doi.org/",I145)), "")</f>
        <v>https://doi.org/10.1109/VLSIC.2014.6858371</v>
      </c>
      <c r="K145" s="28" t="s">
        <v>1194</v>
      </c>
      <c r="L145" s="38"/>
      <c r="M145" s="38"/>
      <c r="N145" s="38"/>
      <c r="O145" s="38" t="s">
        <v>1050</v>
      </c>
      <c r="P145" s="30">
        <v>5.74</v>
      </c>
      <c r="Q145" s="60"/>
      <c r="R145" s="63">
        <v>1000</v>
      </c>
      <c r="S145" s="60">
        <v>98.6</v>
      </c>
      <c r="T145" s="30">
        <v>99</v>
      </c>
      <c r="U145" s="30">
        <v>100.2</v>
      </c>
      <c r="W145" s="60"/>
      <c r="X145" s="29">
        <f t="shared" si="37"/>
        <v>98.6</v>
      </c>
      <c r="Y145" s="63">
        <v>3.0519999999999999E-2</v>
      </c>
      <c r="Z145" s="80">
        <v>5000000</v>
      </c>
      <c r="AA145" s="64">
        <v>1</v>
      </c>
      <c r="AB145" s="63">
        <f t="shared" si="40"/>
        <v>5000000</v>
      </c>
      <c r="AC145" s="5" t="s">
        <v>2096</v>
      </c>
      <c r="AD145" s="111">
        <f t="shared" si="30"/>
        <v>6104</v>
      </c>
      <c r="AE145" s="29" t="str">
        <f t="shared" si="31"/>
        <v/>
      </c>
      <c r="AF145" s="29">
        <f t="shared" si="32"/>
        <v>87.726742510454315</v>
      </c>
      <c r="AG145" s="29" t="str">
        <f t="shared" si="33"/>
        <v/>
      </c>
      <c r="AH145" s="29">
        <f t="shared" si="34"/>
        <v>177.73355479389193</v>
      </c>
      <c r="AI145" s="33">
        <f t="shared" si="38"/>
        <v>1.7545348502090862E-5</v>
      </c>
      <c r="AJ145" s="48">
        <f t="shared" si="39"/>
        <v>244.72325483725211</v>
      </c>
    </row>
    <row r="146" spans="1:36" x14ac:dyDescent="0.3">
      <c r="A146" s="64">
        <v>2014</v>
      </c>
      <c r="B146" s="28">
        <v>5.2</v>
      </c>
      <c r="C146" s="30" t="s">
        <v>23</v>
      </c>
      <c r="D146" s="30" t="s">
        <v>31</v>
      </c>
      <c r="E146" s="30">
        <v>0.09</v>
      </c>
      <c r="F146" s="28" t="s">
        <v>1195</v>
      </c>
      <c r="G146" s="49" t="s">
        <v>1196</v>
      </c>
      <c r="H146" s="28" t="s">
        <v>1197</v>
      </c>
      <c r="I146" s="28" t="s">
        <v>2517</v>
      </c>
      <c r="J146" s="149" t="str">
        <f t="shared" si="41"/>
        <v>https://doi.org/10.1109/VLSIC.2014.6858372</v>
      </c>
      <c r="K146" s="28" t="s">
        <v>1050</v>
      </c>
      <c r="L146" s="38">
        <v>0.4</v>
      </c>
      <c r="M146" s="38"/>
      <c r="N146" s="38"/>
      <c r="P146" s="30">
        <v>0.04</v>
      </c>
      <c r="Q146" s="60"/>
      <c r="R146" s="63">
        <v>125000</v>
      </c>
      <c r="S146" s="60">
        <v>53.7</v>
      </c>
      <c r="W146" s="60"/>
      <c r="X146" s="29">
        <f t="shared" si="37"/>
        <v>53.7</v>
      </c>
      <c r="Y146" s="63">
        <v>1.9999999999999999E-7</v>
      </c>
      <c r="Z146" s="80">
        <v>250000</v>
      </c>
      <c r="AA146" s="64">
        <v>1</v>
      </c>
      <c r="AB146" s="63">
        <f t="shared" si="40"/>
        <v>250000</v>
      </c>
      <c r="AC146" s="5" t="s">
        <v>2096</v>
      </c>
      <c r="AD146" s="111">
        <f t="shared" si="30"/>
        <v>0.79999999999999993</v>
      </c>
      <c r="AE146" s="29" t="str">
        <f t="shared" si="31"/>
        <v/>
      </c>
      <c r="AF146" s="29">
        <f t="shared" si="32"/>
        <v>2.022232972096329</v>
      </c>
      <c r="AG146" s="29" t="str">
        <f t="shared" si="33"/>
        <v/>
      </c>
      <c r="AH146" s="29">
        <f t="shared" si="34"/>
        <v>171.65880017344074</v>
      </c>
      <c r="AI146" s="33">
        <f t="shared" si="38"/>
        <v>8.0889318883853155E-6</v>
      </c>
      <c r="AJ146" s="48">
        <f t="shared" si="39"/>
        <v>225.63820026016111</v>
      </c>
    </row>
    <row r="147" spans="1:36" x14ac:dyDescent="0.3">
      <c r="A147" s="64">
        <v>2014</v>
      </c>
      <c r="B147" s="28">
        <v>5.3</v>
      </c>
      <c r="C147" s="30" t="s">
        <v>23</v>
      </c>
      <c r="D147" s="30" t="s">
        <v>26</v>
      </c>
      <c r="E147" s="30">
        <v>0.18</v>
      </c>
      <c r="F147" s="28" t="s">
        <v>1198</v>
      </c>
      <c r="G147" s="49" t="s">
        <v>2173</v>
      </c>
      <c r="H147" s="28" t="s">
        <v>1199</v>
      </c>
      <c r="I147" s="28" t="s">
        <v>2518</v>
      </c>
      <c r="J147" s="149" t="str">
        <f t="shared" si="41"/>
        <v>https://doi.org/10.1109/VLSIC.2014.6858373</v>
      </c>
      <c r="K147" s="28" t="s">
        <v>1050</v>
      </c>
      <c r="L147" s="38">
        <v>1.3</v>
      </c>
      <c r="M147" s="38"/>
      <c r="N147" s="38"/>
      <c r="O147" s="30">
        <v>2.5</v>
      </c>
      <c r="P147" s="30">
        <v>3.06</v>
      </c>
      <c r="Q147" s="60">
        <v>74.2</v>
      </c>
      <c r="R147" s="63">
        <v>15000000</v>
      </c>
      <c r="S147" s="60">
        <v>72</v>
      </c>
      <c r="V147" s="30">
        <v>84</v>
      </c>
      <c r="W147" s="60">
        <v>86</v>
      </c>
      <c r="X147" s="29">
        <f t="shared" si="37"/>
        <v>72</v>
      </c>
      <c r="Y147" s="63">
        <v>6.0000000000000001E-3</v>
      </c>
      <c r="Z147" s="80">
        <v>30000000</v>
      </c>
      <c r="AA147" s="64">
        <v>1</v>
      </c>
      <c r="AB147" s="63">
        <f t="shared" si="40"/>
        <v>30000000</v>
      </c>
      <c r="AC147" s="5" t="s">
        <v>2096</v>
      </c>
      <c r="AD147" s="111">
        <f t="shared" si="30"/>
        <v>200</v>
      </c>
      <c r="AE147" s="29">
        <f t="shared" si="31"/>
        <v>47.716551688785373</v>
      </c>
      <c r="AF147" s="29">
        <f t="shared" si="32"/>
        <v>61.472377903983158</v>
      </c>
      <c r="AG147" s="29">
        <f t="shared" si="33"/>
        <v>168.17940008672036</v>
      </c>
      <c r="AH147" s="29">
        <f t="shared" si="34"/>
        <v>165.97940008672037</v>
      </c>
      <c r="AI147" s="33">
        <f t="shared" si="38"/>
        <v>2.0490792634661051E-6</v>
      </c>
      <c r="AJ147" s="48">
        <f t="shared" si="39"/>
        <v>240.750612633917</v>
      </c>
    </row>
    <row r="148" spans="1:36" x14ac:dyDescent="0.3">
      <c r="A148" s="64">
        <v>2014</v>
      </c>
      <c r="B148" s="28">
        <v>5.4</v>
      </c>
      <c r="C148" s="30" t="s">
        <v>23</v>
      </c>
      <c r="D148" s="30" t="s">
        <v>19</v>
      </c>
      <c r="E148" s="30">
        <v>6.5000000000000002E-2</v>
      </c>
      <c r="F148" s="28" t="s">
        <v>1200</v>
      </c>
      <c r="G148" s="49" t="s">
        <v>1201</v>
      </c>
      <c r="H148" s="28" t="s">
        <v>1202</v>
      </c>
      <c r="I148" s="28" t="s">
        <v>2519</v>
      </c>
      <c r="J148" s="149" t="str">
        <f t="shared" si="41"/>
        <v>https://doi.org/10.1109/VLSIC.2014.6858374</v>
      </c>
      <c r="K148" s="28" t="s">
        <v>1203</v>
      </c>
      <c r="L148" s="38"/>
      <c r="M148" s="38"/>
      <c r="N148" s="38"/>
      <c r="O148" s="30" t="s">
        <v>1050</v>
      </c>
      <c r="P148" s="30">
        <v>8.6999999999999994E-2</v>
      </c>
      <c r="Q148" s="60">
        <v>37</v>
      </c>
      <c r="R148" s="63">
        <v>410000000</v>
      </c>
      <c r="S148" s="60">
        <v>37.4</v>
      </c>
      <c r="W148" s="60">
        <v>46.2</v>
      </c>
      <c r="X148" s="29">
        <f t="shared" si="37"/>
        <v>37.4</v>
      </c>
      <c r="Y148" s="63">
        <v>4.2599999999999999E-3</v>
      </c>
      <c r="Z148" s="80">
        <v>820000000</v>
      </c>
      <c r="AA148" s="64">
        <v>1</v>
      </c>
      <c r="AB148" s="63">
        <f t="shared" si="40"/>
        <v>820000000</v>
      </c>
      <c r="AC148" s="5" t="s">
        <v>2096</v>
      </c>
      <c r="AD148" s="111">
        <f t="shared" si="30"/>
        <v>5.1951219512195115</v>
      </c>
      <c r="AE148" s="29">
        <f t="shared" si="31"/>
        <v>89.8297430626817</v>
      </c>
      <c r="AF148" s="29">
        <f t="shared" si="32"/>
        <v>85.786344936854135</v>
      </c>
      <c r="AG148" s="29">
        <f t="shared" si="33"/>
        <v>146.83374257617015</v>
      </c>
      <c r="AH148" s="29">
        <f t="shared" si="34"/>
        <v>147.23374257617016</v>
      </c>
      <c r="AI148" s="33">
        <f t="shared" si="38"/>
        <v>1.0461749382543188E-7</v>
      </c>
      <c r="AJ148" s="48">
        <f t="shared" si="39"/>
        <v>236.37188110000733</v>
      </c>
    </row>
    <row r="149" spans="1:36" x14ac:dyDescent="0.3">
      <c r="A149" s="64">
        <v>2014</v>
      </c>
      <c r="B149" s="28">
        <v>10.1</v>
      </c>
      <c r="C149" s="30" t="s">
        <v>22</v>
      </c>
      <c r="D149" s="30" t="s">
        <v>1302</v>
      </c>
      <c r="E149" s="30">
        <v>6.5000000000000002E-2</v>
      </c>
      <c r="F149" s="28" t="s">
        <v>1204</v>
      </c>
      <c r="G149" s="49" t="s">
        <v>1205</v>
      </c>
      <c r="H149" s="28" t="s">
        <v>1206</v>
      </c>
      <c r="I149" s="28" t="s">
        <v>2699</v>
      </c>
      <c r="J149" s="149" t="str">
        <f t="shared" si="41"/>
        <v>https://doi.org/10.1109/VLSIC.2014.6858395</v>
      </c>
      <c r="K149" s="28" t="s">
        <v>1050</v>
      </c>
      <c r="L149" s="38"/>
      <c r="M149" s="38"/>
      <c r="N149" s="38"/>
      <c r="P149" s="30">
        <v>0.49</v>
      </c>
      <c r="Q149" s="60"/>
      <c r="R149" s="63">
        <v>2000000</v>
      </c>
      <c r="S149" s="60">
        <v>64</v>
      </c>
      <c r="T149" s="30">
        <v>71</v>
      </c>
      <c r="U149" s="30">
        <v>75</v>
      </c>
      <c r="W149" s="60"/>
      <c r="X149" s="29">
        <f t="shared" si="37"/>
        <v>64</v>
      </c>
      <c r="Y149" s="63">
        <v>3.7999999999999999E-2</v>
      </c>
      <c r="Z149" s="80">
        <v>1280000000</v>
      </c>
      <c r="AA149" s="64">
        <f>Z149/AB149</f>
        <v>12.8</v>
      </c>
      <c r="AB149" s="63">
        <v>100000000</v>
      </c>
      <c r="AC149" s="5" t="s">
        <v>2096</v>
      </c>
      <c r="AD149" s="111">
        <f t="shared" si="30"/>
        <v>380</v>
      </c>
      <c r="AE149" s="29" t="str">
        <f t="shared" si="31"/>
        <v/>
      </c>
      <c r="AF149" s="29">
        <f t="shared" si="32"/>
        <v>293.40902980326439</v>
      </c>
      <c r="AG149" s="29" t="str">
        <f t="shared" si="33"/>
        <v/>
      </c>
      <c r="AH149" s="29">
        <f t="shared" si="34"/>
        <v>155.19186407719209</v>
      </c>
      <c r="AI149" s="33">
        <f t="shared" si="38"/>
        <v>2.934090298032644E-6</v>
      </c>
      <c r="AJ149" s="48">
        <f t="shared" si="39"/>
        <v>235.19186407719209</v>
      </c>
    </row>
    <row r="150" spans="1:36" x14ac:dyDescent="0.3">
      <c r="A150" s="64">
        <v>2014</v>
      </c>
      <c r="B150" s="28">
        <v>10.199999999999999</v>
      </c>
      <c r="C150" s="30" t="s">
        <v>22</v>
      </c>
      <c r="D150" s="30" t="s">
        <v>30</v>
      </c>
      <c r="E150" s="30">
        <v>0.02</v>
      </c>
      <c r="F150" s="28" t="s">
        <v>1207</v>
      </c>
      <c r="G150" s="49" t="s">
        <v>1208</v>
      </c>
      <c r="H150" s="28" t="s">
        <v>1209</v>
      </c>
      <c r="I150" s="28" t="s">
        <v>2700</v>
      </c>
      <c r="J150" s="149" t="str">
        <f t="shared" si="41"/>
        <v>https://doi.org/10.1109/VLSIC.2014.6858396</v>
      </c>
      <c r="K150" s="28" t="s">
        <v>1050</v>
      </c>
      <c r="L150" s="38"/>
      <c r="M150" s="38"/>
      <c r="N150" s="38"/>
      <c r="P150" s="30">
        <v>0.1</v>
      </c>
      <c r="Q150" s="60"/>
      <c r="R150" s="63">
        <v>15000000</v>
      </c>
      <c r="S150" s="60">
        <v>67.5</v>
      </c>
      <c r="T150" s="30">
        <v>70</v>
      </c>
      <c r="U150" s="30">
        <v>73</v>
      </c>
      <c r="W150" s="60"/>
      <c r="X150" s="29">
        <f t="shared" si="37"/>
        <v>67.5</v>
      </c>
      <c r="Y150" s="63">
        <v>2.3E-2</v>
      </c>
      <c r="Z150" s="80">
        <v>2814000000</v>
      </c>
      <c r="AA150" s="64">
        <f>Z150/AB150</f>
        <v>17.587499999999999</v>
      </c>
      <c r="AB150" s="63">
        <v>160000000</v>
      </c>
      <c r="AC150" s="5" t="s">
        <v>2096</v>
      </c>
      <c r="AD150" s="111">
        <f t="shared" si="30"/>
        <v>143.75</v>
      </c>
      <c r="AE150" s="29" t="str">
        <f t="shared" si="31"/>
        <v/>
      </c>
      <c r="AF150" s="29">
        <f t="shared" si="32"/>
        <v>74.178883578577526</v>
      </c>
      <c r="AG150" s="29" t="str">
        <f t="shared" si="33"/>
        <v/>
      </c>
      <c r="AH150" s="29">
        <f t="shared" si="34"/>
        <v>162.91362150974351</v>
      </c>
      <c r="AI150" s="33">
        <f t="shared" si="38"/>
        <v>4.6361802236610955E-7</v>
      </c>
      <c r="AJ150" s="48">
        <f t="shared" si="39"/>
        <v>244.95482133630276</v>
      </c>
    </row>
    <row r="151" spans="1:36" x14ac:dyDescent="0.3">
      <c r="A151" s="64">
        <v>2014</v>
      </c>
      <c r="B151" s="28">
        <v>10.3</v>
      </c>
      <c r="C151" s="30" t="s">
        <v>22</v>
      </c>
      <c r="D151" s="30" t="s">
        <v>30</v>
      </c>
      <c r="E151" s="30">
        <v>0.18</v>
      </c>
      <c r="F151" s="28" t="s">
        <v>1210</v>
      </c>
      <c r="G151" s="49" t="s">
        <v>2174</v>
      </c>
      <c r="H151" s="28" t="s">
        <v>1211</v>
      </c>
      <c r="I151" s="28" t="s">
        <v>2520</v>
      </c>
      <c r="J151" s="149" t="str">
        <f t="shared" si="41"/>
        <v>https://doi.org/10.1109/VLSIC.2014.6858397</v>
      </c>
      <c r="K151" s="28" t="s">
        <v>1050</v>
      </c>
      <c r="L151" s="38"/>
      <c r="M151" s="38"/>
      <c r="N151" s="38"/>
      <c r="P151" s="30">
        <v>0.99</v>
      </c>
      <c r="Q151" s="60"/>
      <c r="R151" s="63">
        <v>600000</v>
      </c>
      <c r="S151" s="60"/>
      <c r="T151" s="30">
        <v>97.3</v>
      </c>
      <c r="W151" s="60">
        <v>90</v>
      </c>
      <c r="X151" s="29">
        <f t="shared" si="37"/>
        <v>90</v>
      </c>
      <c r="Y151" s="63">
        <v>2.1000000000000001E-2</v>
      </c>
      <c r="Z151" s="80">
        <v>57500000</v>
      </c>
      <c r="AA151" s="64">
        <v>48</v>
      </c>
      <c r="AB151" s="63">
        <f>Z151/AA151</f>
        <v>1197916.6666666667</v>
      </c>
      <c r="AC151" s="5" t="s">
        <v>2096</v>
      </c>
      <c r="AD151" s="111">
        <f t="shared" si="30"/>
        <v>17530.434782608696</v>
      </c>
      <c r="AE151" s="29" t="str">
        <f t="shared" si="31"/>
        <v/>
      </c>
      <c r="AF151" s="29">
        <f t="shared" si="32"/>
        <v>678.19255319949878</v>
      </c>
      <c r="AG151" s="29" t="str">
        <f t="shared" si="33"/>
        <v/>
      </c>
      <c r="AH151" s="29">
        <f t="shared" si="34"/>
        <v>164.55177316916144</v>
      </c>
      <c r="AI151" s="33">
        <f t="shared" si="38"/>
        <v>5.6614334875784245E-4</v>
      </c>
      <c r="AJ151" s="48">
        <f t="shared" si="39"/>
        <v>225.33603924230187</v>
      </c>
    </row>
    <row r="152" spans="1:36" x14ac:dyDescent="0.3">
      <c r="A152" s="64">
        <v>2014</v>
      </c>
      <c r="B152" s="28">
        <v>10.4</v>
      </c>
      <c r="C152" s="30" t="s">
        <v>22</v>
      </c>
      <c r="D152" s="30" t="s">
        <v>30</v>
      </c>
      <c r="E152" s="30">
        <v>0.09</v>
      </c>
      <c r="F152" s="28" t="s">
        <v>1212</v>
      </c>
      <c r="G152" s="49" t="s">
        <v>1213</v>
      </c>
      <c r="H152" s="28" t="s">
        <v>1214</v>
      </c>
      <c r="I152" s="28" t="s">
        <v>2521</v>
      </c>
      <c r="J152" s="149" t="str">
        <f t="shared" si="41"/>
        <v>https://doi.org/10.1109/VLSIC.2014.6858398</v>
      </c>
      <c r="K152" s="28" t="s">
        <v>1050</v>
      </c>
      <c r="L152" s="38"/>
      <c r="M152" s="38"/>
      <c r="N152" s="38"/>
      <c r="P152" s="30">
        <f>0.6*0.2</f>
        <v>0.12</v>
      </c>
      <c r="Q152" s="60"/>
      <c r="R152" s="63">
        <v>2000000</v>
      </c>
      <c r="S152" s="60">
        <v>67.2</v>
      </c>
      <c r="T152" s="30">
        <v>69.3</v>
      </c>
      <c r="X152" s="29">
        <f t="shared" si="37"/>
        <v>67.2</v>
      </c>
      <c r="Y152" s="63">
        <v>4.3E-3</v>
      </c>
      <c r="Z152" s="80">
        <v>300000000</v>
      </c>
      <c r="AA152" s="64">
        <f>Z152/AB152</f>
        <v>17.647058823529413</v>
      </c>
      <c r="AB152" s="63">
        <v>17000000</v>
      </c>
      <c r="AC152" s="5" t="s">
        <v>2096</v>
      </c>
      <c r="AD152" s="111">
        <f t="shared" si="30"/>
        <v>252.94117647058823</v>
      </c>
      <c r="AE152" s="29" t="str">
        <f t="shared" si="31"/>
        <v/>
      </c>
      <c r="AF152" s="29">
        <f t="shared" si="32"/>
        <v>135.11185866122293</v>
      </c>
      <c r="AG152" s="29" t="str">
        <f t="shared" si="33"/>
        <v/>
      </c>
      <c r="AH152" s="29">
        <f t="shared" si="34"/>
        <v>160.15950470134706</v>
      </c>
      <c r="AI152" s="33">
        <f t="shared" si="38"/>
        <v>7.9477563918366418E-6</v>
      </c>
      <c r="AJ152" s="48">
        <f t="shared" si="39"/>
        <v>232.46399391512981</v>
      </c>
    </row>
    <row r="153" spans="1:36" x14ac:dyDescent="0.3">
      <c r="A153" s="64">
        <v>2014</v>
      </c>
      <c r="B153" s="28">
        <v>23.1</v>
      </c>
      <c r="C153" s="30" t="s">
        <v>23</v>
      </c>
      <c r="D153" s="30" t="s">
        <v>1148</v>
      </c>
      <c r="E153" s="30">
        <v>2.8000000000000001E-2</v>
      </c>
      <c r="F153" s="28" t="s">
        <v>1215</v>
      </c>
      <c r="G153" s="49" t="s">
        <v>1216</v>
      </c>
      <c r="H153" s="28" t="s">
        <v>1217</v>
      </c>
      <c r="I153" s="28" t="s">
        <v>2522</v>
      </c>
      <c r="J153" s="149" t="str">
        <f t="shared" si="41"/>
        <v>https://doi.org/10.1109/VLSIC.2014.6858451</v>
      </c>
      <c r="K153" s="28" t="s">
        <v>1050</v>
      </c>
      <c r="L153" s="38">
        <v>0.9</v>
      </c>
      <c r="M153" s="38"/>
      <c r="N153" s="38"/>
      <c r="O153" s="30">
        <v>3.5</v>
      </c>
      <c r="P153" s="30">
        <v>0.35</v>
      </c>
      <c r="Q153" s="60">
        <v>70</v>
      </c>
      <c r="R153" s="63">
        <v>100000000</v>
      </c>
      <c r="S153" s="60">
        <v>65</v>
      </c>
      <c r="X153" s="29">
        <f t="shared" si="37"/>
        <v>65</v>
      </c>
      <c r="Y153" s="63">
        <v>2.3E-3</v>
      </c>
      <c r="Z153" s="80">
        <v>200000000</v>
      </c>
      <c r="AA153" s="64">
        <v>1</v>
      </c>
      <c r="AB153" s="63">
        <f t="shared" ref="AB153:AB171" si="42">Z153/AA153</f>
        <v>200000000</v>
      </c>
      <c r="AC153" s="5" t="s">
        <v>2096</v>
      </c>
      <c r="AD153" s="111">
        <f t="shared" si="30"/>
        <v>11.499999999999998</v>
      </c>
      <c r="AE153" s="29">
        <f t="shared" si="31"/>
        <v>4.449977581512317</v>
      </c>
      <c r="AF153" s="29">
        <f t="shared" si="32"/>
        <v>7.9137574687291998</v>
      </c>
      <c r="AG153" s="29">
        <f t="shared" si="33"/>
        <v>176.38272163982407</v>
      </c>
      <c r="AH153" s="29">
        <f t="shared" si="34"/>
        <v>171.38272163982407</v>
      </c>
      <c r="AI153" s="33">
        <f t="shared" si="38"/>
        <v>3.9568787343646002E-8</v>
      </c>
      <c r="AJ153" s="48">
        <f t="shared" si="39"/>
        <v>254.39302159646388</v>
      </c>
    </row>
    <row r="154" spans="1:36" x14ac:dyDescent="0.3">
      <c r="A154" s="64">
        <v>2014</v>
      </c>
      <c r="B154" s="28">
        <v>23.2</v>
      </c>
      <c r="C154" s="30" t="s">
        <v>23</v>
      </c>
      <c r="D154" s="30" t="s">
        <v>745</v>
      </c>
      <c r="E154" s="30">
        <v>6.5000000000000002E-2</v>
      </c>
      <c r="F154" s="28" t="s">
        <v>1218</v>
      </c>
      <c r="G154" s="49" t="s">
        <v>1219</v>
      </c>
      <c r="H154" s="28" t="s">
        <v>1220</v>
      </c>
      <c r="I154" s="28" t="s">
        <v>2523</v>
      </c>
      <c r="J154" s="149" t="str">
        <f t="shared" si="41"/>
        <v>https://doi.org/10.1109/VLSIC.2014.6858452</v>
      </c>
      <c r="K154" s="28" t="s">
        <v>1050</v>
      </c>
      <c r="L154" s="38">
        <v>1</v>
      </c>
      <c r="M154" s="38"/>
      <c r="N154" s="38"/>
      <c r="O154" s="30">
        <v>2</v>
      </c>
      <c r="P154" s="30">
        <v>0.48</v>
      </c>
      <c r="Q154" s="60">
        <v>63.48</v>
      </c>
      <c r="R154" s="63">
        <v>100000000</v>
      </c>
      <c r="S154" s="60">
        <v>60.1</v>
      </c>
      <c r="W154" s="30">
        <v>74.8</v>
      </c>
      <c r="X154" s="29">
        <f t="shared" si="37"/>
        <v>60.1</v>
      </c>
      <c r="Y154" s="63">
        <v>5.3E-3</v>
      </c>
      <c r="Z154" s="80">
        <v>210000000</v>
      </c>
      <c r="AA154" s="64">
        <v>1</v>
      </c>
      <c r="AB154" s="63">
        <f t="shared" si="42"/>
        <v>210000000</v>
      </c>
      <c r="AC154" s="5" t="s">
        <v>2096</v>
      </c>
      <c r="AD154" s="111">
        <f t="shared" si="30"/>
        <v>25.238095238095237</v>
      </c>
      <c r="AE154" s="29">
        <f t="shared" si="31"/>
        <v>20.689454709676379</v>
      </c>
      <c r="AF154" s="29">
        <f t="shared" si="32"/>
        <v>30.532747485368272</v>
      </c>
      <c r="AG154" s="29">
        <f t="shared" si="33"/>
        <v>166.44913429469148</v>
      </c>
      <c r="AH154" s="29">
        <f t="shared" si="34"/>
        <v>163.06913429469148</v>
      </c>
      <c r="AI154" s="33">
        <f t="shared" si="38"/>
        <v>1.4539403564461082E-7</v>
      </c>
      <c r="AJ154" s="48">
        <f t="shared" si="39"/>
        <v>246.29132724203066</v>
      </c>
    </row>
    <row r="155" spans="1:36" x14ac:dyDescent="0.3">
      <c r="A155" s="64">
        <v>2014</v>
      </c>
      <c r="B155" s="28">
        <v>23.3</v>
      </c>
      <c r="C155" s="30" t="s">
        <v>23</v>
      </c>
      <c r="D155" s="30" t="s">
        <v>31</v>
      </c>
      <c r="E155" s="30">
        <v>2.8000000000000001E-2</v>
      </c>
      <c r="F155" s="28" t="s">
        <v>1221</v>
      </c>
      <c r="G155" s="49" t="s">
        <v>2175</v>
      </c>
      <c r="H155" s="28" t="s">
        <v>1222</v>
      </c>
      <c r="I155" s="28" t="s">
        <v>2524</v>
      </c>
      <c r="J155" s="149" t="str">
        <f t="shared" si="41"/>
        <v>https://doi.org/10.1109/VLSIC.2014.6858453</v>
      </c>
      <c r="K155" s="28" t="s">
        <v>1223</v>
      </c>
      <c r="L155" s="38"/>
      <c r="M155" s="38"/>
      <c r="N155" s="38"/>
      <c r="O155" s="30">
        <v>1.25</v>
      </c>
      <c r="P155" s="30">
        <v>0.1</v>
      </c>
      <c r="Q155" s="60">
        <v>71</v>
      </c>
      <c r="R155" s="63">
        <v>50000000</v>
      </c>
      <c r="S155" s="60">
        <v>67.099999999999994</v>
      </c>
      <c r="W155" s="30">
        <v>76</v>
      </c>
      <c r="X155" s="29">
        <f t="shared" si="37"/>
        <v>67.099999999999994</v>
      </c>
      <c r="Y155" s="63">
        <v>8.0000000000000002E-3</v>
      </c>
      <c r="Z155" s="80">
        <v>100000000</v>
      </c>
      <c r="AA155" s="64">
        <v>1</v>
      </c>
      <c r="AB155" s="63">
        <f t="shared" si="42"/>
        <v>100000000</v>
      </c>
      <c r="AC155" s="5" t="s">
        <v>2096</v>
      </c>
      <c r="AD155" s="111">
        <f t="shared" si="30"/>
        <v>80.000000000000014</v>
      </c>
      <c r="AE155" s="29">
        <f t="shared" si="31"/>
        <v>27.589573509096716</v>
      </c>
      <c r="AF155" s="29">
        <f t="shared" si="32"/>
        <v>43.227927999647335</v>
      </c>
      <c r="AG155" s="29">
        <f t="shared" si="33"/>
        <v>168.95880017344075</v>
      </c>
      <c r="AH155" s="29">
        <f t="shared" si="34"/>
        <v>165.05880017344074</v>
      </c>
      <c r="AI155" s="33">
        <f t="shared" si="38"/>
        <v>4.3227927999647336E-7</v>
      </c>
      <c r="AJ155" s="48">
        <f t="shared" si="39"/>
        <v>245.05880017344074</v>
      </c>
    </row>
    <row r="156" spans="1:36" x14ac:dyDescent="0.3">
      <c r="A156" s="64">
        <v>2014</v>
      </c>
      <c r="B156" s="28">
        <v>23.4</v>
      </c>
      <c r="C156" s="30" t="s">
        <v>23</v>
      </c>
      <c r="D156" s="30" t="s">
        <v>745</v>
      </c>
      <c r="E156" s="30">
        <v>0.04</v>
      </c>
      <c r="F156" s="28" t="s">
        <v>1224</v>
      </c>
      <c r="G156" s="49" t="s">
        <v>2176</v>
      </c>
      <c r="H156" s="28" t="s">
        <v>1225</v>
      </c>
      <c r="I156" s="28" t="s">
        <v>2525</v>
      </c>
      <c r="J156" s="149" t="str">
        <f t="shared" si="41"/>
        <v>https://doi.org/10.1109/VLSIC.2014.6858454</v>
      </c>
      <c r="K156" s="28" t="s">
        <v>1050</v>
      </c>
      <c r="L156" s="38"/>
      <c r="M156" s="38"/>
      <c r="N156" s="38"/>
      <c r="O156" s="30">
        <v>0.63</v>
      </c>
      <c r="P156" s="30">
        <v>4.2000000000000003E-2</v>
      </c>
      <c r="Q156" s="60">
        <v>66.7</v>
      </c>
      <c r="R156" s="63">
        <v>80000000</v>
      </c>
      <c r="S156" s="60">
        <v>65.3</v>
      </c>
      <c r="W156" s="30">
        <v>85</v>
      </c>
      <c r="X156" s="29">
        <f t="shared" si="37"/>
        <v>65.3</v>
      </c>
      <c r="Y156" s="63">
        <v>4.96E-3</v>
      </c>
      <c r="Z156" s="80">
        <v>160000000</v>
      </c>
      <c r="AA156" s="64">
        <v>1</v>
      </c>
      <c r="AB156" s="63">
        <f t="shared" si="42"/>
        <v>160000000</v>
      </c>
      <c r="AC156" s="5" t="s">
        <v>2096</v>
      </c>
      <c r="AD156" s="111">
        <f t="shared" si="30"/>
        <v>31.000000000000004</v>
      </c>
      <c r="AE156" s="29">
        <f t="shared" si="31"/>
        <v>17.540344520179907</v>
      </c>
      <c r="AF156" s="29">
        <f t="shared" si="32"/>
        <v>20.608438904286437</v>
      </c>
      <c r="AG156" s="29">
        <f t="shared" si="33"/>
        <v>168.77608310501745</v>
      </c>
      <c r="AH156" s="29">
        <f t="shared" si="34"/>
        <v>167.37608310501747</v>
      </c>
      <c r="AI156" s="33">
        <f t="shared" si="38"/>
        <v>1.2880274315179022E-7</v>
      </c>
      <c r="AJ156" s="48">
        <f t="shared" si="39"/>
        <v>249.41728293157672</v>
      </c>
    </row>
    <row r="157" spans="1:36" x14ac:dyDescent="0.3">
      <c r="A157" s="31">
        <v>2015</v>
      </c>
      <c r="B157" s="28">
        <v>3.2</v>
      </c>
      <c r="C157" s="30" t="s">
        <v>23</v>
      </c>
      <c r="D157" s="30" t="s">
        <v>31</v>
      </c>
      <c r="E157" s="30">
        <v>0.18</v>
      </c>
      <c r="F157" s="28" t="s">
        <v>1280</v>
      </c>
      <c r="G157" s="28" t="s">
        <v>1281</v>
      </c>
      <c r="H157" s="28" t="s">
        <v>1282</v>
      </c>
      <c r="I157" s="28" t="s">
        <v>2526</v>
      </c>
      <c r="J157" s="149" t="str">
        <f t="shared" si="41"/>
        <v>https://doi.org/10.1109/VLSIC.2015.7231327</v>
      </c>
      <c r="K157" s="28" t="s">
        <v>1050</v>
      </c>
      <c r="L157" s="38">
        <v>0.6</v>
      </c>
      <c r="M157" s="38"/>
      <c r="N157" s="38"/>
      <c r="O157" s="30">
        <f>256*0.0000000000000045*1000000000000</f>
        <v>1.1519999999999999</v>
      </c>
      <c r="P157" s="30">
        <v>0.12</v>
      </c>
      <c r="Q157" s="60"/>
      <c r="R157" s="63">
        <f>AB157/2</f>
        <v>50000</v>
      </c>
      <c r="S157" s="60">
        <v>46.9</v>
      </c>
      <c r="W157" s="30">
        <v>63.8</v>
      </c>
      <c r="X157" s="29">
        <f t="shared" si="37"/>
        <v>46.9</v>
      </c>
      <c r="Y157" s="63">
        <v>1.1999999999999999E-7</v>
      </c>
      <c r="Z157" s="80">
        <v>100000</v>
      </c>
      <c r="AA157" s="64">
        <v>1</v>
      </c>
      <c r="AB157" s="63">
        <f t="shared" si="42"/>
        <v>100000</v>
      </c>
      <c r="AC157" s="5" t="s">
        <v>2096</v>
      </c>
      <c r="AD157" s="111">
        <f t="shared" si="30"/>
        <v>1.2</v>
      </c>
      <c r="AE157" s="29" t="str">
        <f t="shared" si="31"/>
        <v/>
      </c>
      <c r="AF157" s="29">
        <f t="shared" si="32"/>
        <v>6.6367632935546208</v>
      </c>
      <c r="AG157" s="29" t="str">
        <f t="shared" si="33"/>
        <v/>
      </c>
      <c r="AH157" s="29">
        <f t="shared" si="34"/>
        <v>163.09788758288394</v>
      </c>
      <c r="AI157" s="33">
        <f t="shared" ref="AI157:AI171" si="43">AF157/AB157</f>
        <v>6.6367632935546202E-5</v>
      </c>
      <c r="AJ157" s="48">
        <f t="shared" ref="AJ157:AJ171" si="44">AH157+10*LOG10(AB157)</f>
        <v>213.09788758288394</v>
      </c>
    </row>
    <row r="158" spans="1:36" x14ac:dyDescent="0.3">
      <c r="A158" s="30">
        <v>2015</v>
      </c>
      <c r="B158" s="28">
        <v>3.3</v>
      </c>
      <c r="C158" s="30" t="s">
        <v>23</v>
      </c>
      <c r="D158" s="30" t="s">
        <v>31</v>
      </c>
      <c r="E158" s="30">
        <v>1.4E-2</v>
      </c>
      <c r="F158" s="28" t="s">
        <v>1283</v>
      </c>
      <c r="G158" s="28" t="s">
        <v>1284</v>
      </c>
      <c r="H158" s="28" t="s">
        <v>1285</v>
      </c>
      <c r="I158" s="28" t="s">
        <v>2527</v>
      </c>
      <c r="J158" s="149" t="str">
        <f t="shared" si="41"/>
        <v>https://doi.org/10.1109/VLSIC.2015.7231328</v>
      </c>
      <c r="K158" s="28" t="s">
        <v>1050</v>
      </c>
      <c r="L158" s="38">
        <v>1</v>
      </c>
      <c r="M158" s="38"/>
      <c r="N158" s="38"/>
      <c r="P158" s="30">
        <v>1.9E-2</v>
      </c>
      <c r="Q158" s="60">
        <v>69</v>
      </c>
      <c r="R158" s="63">
        <f t="shared" ref="R158:R171" si="45">AB158/2</f>
        <v>35000000</v>
      </c>
      <c r="S158" s="60">
        <v>68.099999999999994</v>
      </c>
      <c r="W158" s="30">
        <v>82</v>
      </c>
      <c r="X158" s="29">
        <f t="shared" si="37"/>
        <v>68.099999999999994</v>
      </c>
      <c r="Y158" s="63">
        <v>4.3E-3</v>
      </c>
      <c r="Z158" s="80">
        <v>70000000</v>
      </c>
      <c r="AA158" s="64">
        <v>1</v>
      </c>
      <c r="AB158" s="63">
        <f t="shared" si="42"/>
        <v>70000000</v>
      </c>
      <c r="AC158" s="5" t="s">
        <v>2096</v>
      </c>
      <c r="AD158" s="111">
        <f t="shared" si="30"/>
        <v>61.428571428571423</v>
      </c>
      <c r="AE158" s="29">
        <f t="shared" si="31"/>
        <v>26.670759360116751</v>
      </c>
      <c r="AF158" s="29">
        <f t="shared" si="32"/>
        <v>29.582840048600826</v>
      </c>
      <c r="AG158" s="29">
        <f t="shared" si="33"/>
        <v>168.10599588770688</v>
      </c>
      <c r="AH158" s="29">
        <f t="shared" si="34"/>
        <v>167.20599588770688</v>
      </c>
      <c r="AI158" s="33">
        <f t="shared" si="43"/>
        <v>4.226120006942975E-7</v>
      </c>
      <c r="AJ158" s="48">
        <f t="shared" si="44"/>
        <v>245.65697628784943</v>
      </c>
    </row>
    <row r="159" spans="1:36" x14ac:dyDescent="0.3">
      <c r="A159" s="30">
        <v>2015</v>
      </c>
      <c r="B159" s="28">
        <v>3.4</v>
      </c>
      <c r="C159" s="30" t="s">
        <v>22</v>
      </c>
      <c r="D159" s="30" t="s">
        <v>31</v>
      </c>
      <c r="E159" s="30">
        <v>6.5000000000000002E-2</v>
      </c>
      <c r="F159" s="28" t="s">
        <v>1286</v>
      </c>
      <c r="G159" s="28" t="s">
        <v>1287</v>
      </c>
      <c r="H159" s="28" t="s">
        <v>1288</v>
      </c>
      <c r="I159" s="28" t="s">
        <v>2528</v>
      </c>
      <c r="J159" s="149" t="str">
        <f t="shared" si="41"/>
        <v>https://doi.org/10.1109/VLSIC.2015.7231329</v>
      </c>
      <c r="K159" s="28" t="s">
        <v>1050</v>
      </c>
      <c r="L159" s="38">
        <v>0.8</v>
      </c>
      <c r="M159" s="38"/>
      <c r="N159" s="38"/>
      <c r="P159" s="30">
        <v>1.23E-2</v>
      </c>
      <c r="Q159" s="60"/>
      <c r="R159" s="63">
        <f t="shared" si="45"/>
        <v>6250000</v>
      </c>
      <c r="S159" s="60">
        <v>58</v>
      </c>
      <c r="X159" s="29">
        <f t="shared" si="37"/>
        <v>58</v>
      </c>
      <c r="Y159" s="63">
        <v>1.2070000000000001E-4</v>
      </c>
      <c r="Z159" s="80">
        <v>50000000</v>
      </c>
      <c r="AA159" s="64">
        <v>4</v>
      </c>
      <c r="AB159" s="63">
        <f t="shared" si="42"/>
        <v>12500000</v>
      </c>
      <c r="AC159" s="5" t="s">
        <v>2096</v>
      </c>
      <c r="AD159" s="111">
        <f t="shared" si="30"/>
        <v>9.6560000000000006</v>
      </c>
      <c r="AE159" s="29" t="str">
        <f t="shared" si="31"/>
        <v/>
      </c>
      <c r="AF159" s="29">
        <f t="shared" si="32"/>
        <v>14.877057165981428</v>
      </c>
      <c r="AG159" s="29" t="str">
        <f t="shared" si="33"/>
        <v/>
      </c>
      <c r="AH159" s="29">
        <f t="shared" si="34"/>
        <v>165.14172747246727</v>
      </c>
      <c r="AI159" s="33">
        <f t="shared" si="43"/>
        <v>1.1901645732785144E-6</v>
      </c>
      <c r="AJ159" s="48">
        <f t="shared" si="44"/>
        <v>236.11082760254783</v>
      </c>
    </row>
    <row r="160" spans="1:36" x14ac:dyDescent="0.3">
      <c r="A160" s="30">
        <v>2015</v>
      </c>
      <c r="B160" s="28">
        <v>3.5</v>
      </c>
      <c r="C160" s="30" t="s">
        <v>23</v>
      </c>
      <c r="D160" s="30" t="s">
        <v>1279</v>
      </c>
      <c r="E160" s="30">
        <v>4.4999999999999998E-2</v>
      </c>
      <c r="F160" s="28" t="s">
        <v>1289</v>
      </c>
      <c r="G160" s="28" t="s">
        <v>1290</v>
      </c>
      <c r="H160" s="28" t="s">
        <v>1291</v>
      </c>
      <c r="I160" s="28" t="s">
        <v>2529</v>
      </c>
      <c r="J160" s="149" t="str">
        <f t="shared" si="41"/>
        <v>https://doi.org/10.1109/VLSIC.2015.7231330</v>
      </c>
      <c r="K160" s="28" t="s">
        <v>1050</v>
      </c>
      <c r="L160" s="38">
        <v>0.85</v>
      </c>
      <c r="M160" s="38"/>
      <c r="N160" s="38"/>
      <c r="P160" s="30">
        <f>0.2*0.3</f>
        <v>0.06</v>
      </c>
      <c r="Q160" s="60">
        <v>68.2</v>
      </c>
      <c r="R160" s="63">
        <f t="shared" si="45"/>
        <v>100000000</v>
      </c>
      <c r="S160" s="60">
        <v>68</v>
      </c>
      <c r="W160" s="30">
        <v>70</v>
      </c>
      <c r="X160" s="29">
        <f t="shared" si="37"/>
        <v>68</v>
      </c>
      <c r="Y160" s="63">
        <v>3.3999999999999998E-3</v>
      </c>
      <c r="Z160" s="80">
        <v>200000000</v>
      </c>
      <c r="AA160" s="64">
        <v>1</v>
      </c>
      <c r="AB160" s="63">
        <f t="shared" si="42"/>
        <v>200000000</v>
      </c>
      <c r="AC160" s="5" t="s">
        <v>2096</v>
      </c>
      <c r="AD160" s="111">
        <f t="shared" si="30"/>
        <v>17</v>
      </c>
      <c r="AE160" s="29">
        <f t="shared" si="31"/>
        <v>8.0931552760413332</v>
      </c>
      <c r="AF160" s="29">
        <f t="shared" si="32"/>
        <v>8.2816880825827006</v>
      </c>
      <c r="AG160" s="29">
        <f t="shared" si="33"/>
        <v>172.88521082957743</v>
      </c>
      <c r="AH160" s="29">
        <f t="shared" si="34"/>
        <v>172.68521082957744</v>
      </c>
      <c r="AI160" s="33">
        <f t="shared" si="43"/>
        <v>4.1408440412913504E-8</v>
      </c>
      <c r="AJ160" s="48">
        <f t="shared" si="44"/>
        <v>255.69551078621726</v>
      </c>
    </row>
    <row r="161" spans="1:36" x14ac:dyDescent="0.3">
      <c r="A161" s="30">
        <v>2015</v>
      </c>
      <c r="B161" s="28">
        <v>11.1</v>
      </c>
      <c r="C161" s="30" t="s">
        <v>23</v>
      </c>
      <c r="D161" s="30" t="s">
        <v>2233</v>
      </c>
      <c r="E161" s="30">
        <v>6.5000000000000002E-2</v>
      </c>
      <c r="F161" s="28" t="s">
        <v>1293</v>
      </c>
      <c r="G161" s="28" t="s">
        <v>2177</v>
      </c>
      <c r="H161" s="28" t="s">
        <v>1294</v>
      </c>
      <c r="I161" s="28" t="s">
        <v>2530</v>
      </c>
      <c r="J161" s="149" t="str">
        <f t="shared" si="41"/>
        <v>https://doi.org/10.1109/VLSIC.2015.7231248</v>
      </c>
      <c r="K161" s="28" t="s">
        <v>1050</v>
      </c>
      <c r="L161" s="38"/>
      <c r="M161" s="38"/>
      <c r="N161" s="38"/>
      <c r="P161" s="30">
        <v>0.24</v>
      </c>
      <c r="Q161" s="60">
        <v>32</v>
      </c>
      <c r="R161" s="63">
        <f t="shared" si="45"/>
        <v>12500000000</v>
      </c>
      <c r="S161" s="60">
        <v>29.7</v>
      </c>
      <c r="W161" s="30">
        <v>40</v>
      </c>
      <c r="X161" s="29">
        <f t="shared" si="37"/>
        <v>29.7</v>
      </c>
      <c r="Y161" s="63">
        <v>8.7999999999999995E-2</v>
      </c>
      <c r="Z161" s="80">
        <v>25000000000</v>
      </c>
      <c r="AA161" s="64">
        <v>1</v>
      </c>
      <c r="AB161" s="63">
        <f t="shared" si="42"/>
        <v>25000000000</v>
      </c>
      <c r="AC161" s="5" t="s">
        <v>2096</v>
      </c>
      <c r="AD161" s="111">
        <f t="shared" si="30"/>
        <v>3.52</v>
      </c>
      <c r="AE161" s="29">
        <f t="shared" si="31"/>
        <v>108.2410477743756</v>
      </c>
      <c r="AF161" s="29">
        <f t="shared" si="32"/>
        <v>141.05985975465677</v>
      </c>
      <c r="AG161" s="29">
        <f t="shared" si="33"/>
        <v>143.52427340857886</v>
      </c>
      <c r="AH161" s="29">
        <f t="shared" si="34"/>
        <v>141.22427340857885</v>
      </c>
      <c r="AI161" s="33">
        <f t="shared" si="43"/>
        <v>5.6423943901862706E-9</v>
      </c>
      <c r="AJ161" s="48">
        <f t="shared" si="44"/>
        <v>245.20367349529923</v>
      </c>
    </row>
    <row r="162" spans="1:36" x14ac:dyDescent="0.3">
      <c r="A162" s="30">
        <v>2015</v>
      </c>
      <c r="B162" s="28">
        <v>11.2</v>
      </c>
      <c r="C162" s="30" t="s">
        <v>23</v>
      </c>
      <c r="D162" s="30" t="s">
        <v>1292</v>
      </c>
      <c r="E162" s="30">
        <v>2.8000000000000001E-2</v>
      </c>
      <c r="F162" s="28" t="s">
        <v>2178</v>
      </c>
      <c r="G162" s="28" t="s">
        <v>2179</v>
      </c>
      <c r="H162" s="28" t="s">
        <v>1295</v>
      </c>
      <c r="I162" s="28" t="s">
        <v>2694</v>
      </c>
      <c r="J162" s="149" t="str">
        <f t="shared" si="41"/>
        <v>https://doi.org/10.1109/VLSIC.2015.7231249</v>
      </c>
      <c r="K162" s="28" t="s">
        <v>1050</v>
      </c>
      <c r="L162" s="38">
        <v>0.65</v>
      </c>
      <c r="M162" s="38"/>
      <c r="N162" s="38"/>
      <c r="P162" s="30">
        <v>3.2000000000000002E-3</v>
      </c>
      <c r="Q162" s="60"/>
      <c r="R162" s="63">
        <f t="shared" si="45"/>
        <v>40000000</v>
      </c>
      <c r="S162" s="60">
        <v>40</v>
      </c>
      <c r="X162" s="29">
        <f t="shared" si="37"/>
        <v>40</v>
      </c>
      <c r="Y162" s="63">
        <v>2.4000000000000001E-5</v>
      </c>
      <c r="Z162" s="80">
        <v>80000000</v>
      </c>
      <c r="AA162" s="64">
        <v>1</v>
      </c>
      <c r="AB162" s="63">
        <f t="shared" si="42"/>
        <v>80000000</v>
      </c>
      <c r="AC162" s="5" t="s">
        <v>2096</v>
      </c>
      <c r="AD162" s="111">
        <f t="shared" si="30"/>
        <v>0.3</v>
      </c>
      <c r="AE162" s="29" t="str">
        <f t="shared" si="31"/>
        <v/>
      </c>
      <c r="AF162" s="29">
        <f t="shared" si="32"/>
        <v>3.6722371302973595</v>
      </c>
      <c r="AG162" s="29" t="str">
        <f t="shared" si="33"/>
        <v/>
      </c>
      <c r="AH162" s="29">
        <f t="shared" si="34"/>
        <v>162.21848749616356</v>
      </c>
      <c r="AI162" s="33">
        <f t="shared" si="43"/>
        <v>4.5902964128716992E-8</v>
      </c>
      <c r="AJ162" s="48">
        <f t="shared" si="44"/>
        <v>241.249387366083</v>
      </c>
    </row>
    <row r="163" spans="1:36" x14ac:dyDescent="0.3">
      <c r="A163" s="30">
        <v>2015</v>
      </c>
      <c r="B163" s="28">
        <v>11.3</v>
      </c>
      <c r="C163" s="30" t="s">
        <v>23</v>
      </c>
      <c r="D163" s="30" t="s">
        <v>592</v>
      </c>
      <c r="E163" s="30">
        <v>2.8000000000000001E-2</v>
      </c>
      <c r="F163" s="28" t="s">
        <v>1296</v>
      </c>
      <c r="G163" s="28" t="s">
        <v>2180</v>
      </c>
      <c r="H163" s="28" t="s">
        <v>1297</v>
      </c>
      <c r="I163" s="28" t="s">
        <v>2531</v>
      </c>
      <c r="J163" s="149" t="str">
        <f t="shared" si="41"/>
        <v>https://doi.org/10.1109/VLSIC.2015.7231250</v>
      </c>
      <c r="K163" s="28" t="s">
        <v>1050</v>
      </c>
      <c r="L163" s="38">
        <v>1.6</v>
      </c>
      <c r="M163" s="38">
        <v>1.05</v>
      </c>
      <c r="N163" s="38"/>
      <c r="P163" s="30">
        <v>0.14000000000000001</v>
      </c>
      <c r="Q163" s="60">
        <v>27</v>
      </c>
      <c r="R163" s="63">
        <f t="shared" si="45"/>
        <v>23000000000</v>
      </c>
      <c r="S163" s="60">
        <v>25.2</v>
      </c>
      <c r="T163" s="30">
        <v>27</v>
      </c>
      <c r="W163" s="30">
        <v>32</v>
      </c>
      <c r="X163" s="29">
        <f t="shared" si="37"/>
        <v>25.2</v>
      </c>
      <c r="Y163" s="63">
        <v>0.38100000000000001</v>
      </c>
      <c r="Z163" s="80">
        <v>46000000000</v>
      </c>
      <c r="AA163" s="64">
        <v>1</v>
      </c>
      <c r="AB163" s="63">
        <f t="shared" si="42"/>
        <v>46000000000</v>
      </c>
      <c r="AC163" s="5" t="s">
        <v>2096</v>
      </c>
      <c r="AD163" s="111">
        <f t="shared" ref="AD163:AD226" si="46">Y163/AB163*1000000000000</f>
        <v>8.2826086956521738</v>
      </c>
      <c r="AE163" s="29">
        <f t="shared" ref="AE163:AE226" si="47">IF(ISNUMBER($Q163),$AD163*1000/2^(($Q163-1.76)/6.02), "")</f>
        <v>452.94073598541564</v>
      </c>
      <c r="AF163" s="29">
        <f t="shared" ref="AF163:AF226" si="48">$AD163*1000/2^(($X163-1.76)/6.02)</f>
        <v>557.25035041080935</v>
      </c>
      <c r="AG163" s="29">
        <f t="shared" ref="AG163:AG226" si="49">IF(ISNUMBER($Q163), $Q163+10*LOG10($AB163/2/$Y163), "")</f>
        <v>134.80802860341973</v>
      </c>
      <c r="AH163" s="29">
        <f t="shared" ref="AH163:AH226" si="50">$X163+10*LOG10($AB163/2/$Y163)</f>
        <v>133.00802860341972</v>
      </c>
      <c r="AI163" s="33">
        <f t="shared" si="43"/>
        <v>1.2114138052408899E-8</v>
      </c>
      <c r="AJ163" s="48">
        <f t="shared" si="44"/>
        <v>239.63560692023546</v>
      </c>
    </row>
    <row r="164" spans="1:36" x14ac:dyDescent="0.3">
      <c r="A164" s="30">
        <v>2015</v>
      </c>
      <c r="B164" s="28">
        <v>18.100000000000001</v>
      </c>
      <c r="C164" s="30" t="s">
        <v>22</v>
      </c>
      <c r="D164" s="30" t="s">
        <v>30</v>
      </c>
      <c r="E164" s="30">
        <v>0.04</v>
      </c>
      <c r="F164" s="28" t="s">
        <v>1298</v>
      </c>
      <c r="G164" s="28" t="s">
        <v>1299</v>
      </c>
      <c r="H164" s="28" t="s">
        <v>1300</v>
      </c>
      <c r="I164" s="28" t="s">
        <v>2532</v>
      </c>
      <c r="J164" s="149" t="str">
        <f t="shared" si="41"/>
        <v>https://doi.org/10.1109/VLSIC.2015.7231277</v>
      </c>
      <c r="K164" s="28" t="s">
        <v>1050</v>
      </c>
      <c r="L164" s="38">
        <v>1.1000000000000001</v>
      </c>
      <c r="M164" s="38"/>
      <c r="N164" s="38"/>
      <c r="P164" s="30">
        <v>0.09</v>
      </c>
      <c r="Q164" s="60"/>
      <c r="R164" s="63">
        <f t="shared" si="45"/>
        <v>75000000</v>
      </c>
      <c r="S164" s="60">
        <v>64.900000000000006</v>
      </c>
      <c r="T164" s="30">
        <v>65.400000000000006</v>
      </c>
      <c r="U164" s="30">
        <v>67.7</v>
      </c>
      <c r="V164" s="30">
        <v>74.5</v>
      </c>
      <c r="X164" s="29">
        <f t="shared" si="37"/>
        <v>64.900000000000006</v>
      </c>
      <c r="Y164" s="63">
        <v>2.2800000000000001E-2</v>
      </c>
      <c r="Z164" s="80">
        <v>3200000000</v>
      </c>
      <c r="AA164" s="64">
        <f>3200/150</f>
        <v>21.333333333333332</v>
      </c>
      <c r="AB164" s="63">
        <f t="shared" si="42"/>
        <v>150000000</v>
      </c>
      <c r="AC164" s="5" t="s">
        <v>2096</v>
      </c>
      <c r="AD164" s="111">
        <f t="shared" si="46"/>
        <v>152.00000000000003</v>
      </c>
      <c r="AE164" s="29" t="str">
        <f t="shared" si="47"/>
        <v/>
      </c>
      <c r="AF164" s="29">
        <f t="shared" si="48"/>
        <v>105.81055253805232</v>
      </c>
      <c r="AG164" s="29" t="str">
        <f t="shared" si="49"/>
        <v/>
      </c>
      <c r="AH164" s="29">
        <f t="shared" si="50"/>
        <v>160.07126416391247</v>
      </c>
      <c r="AI164" s="33">
        <f t="shared" si="43"/>
        <v>7.0540368358701551E-7</v>
      </c>
      <c r="AJ164" s="48">
        <f t="shared" si="44"/>
        <v>241.83217675446929</v>
      </c>
    </row>
    <row r="165" spans="1:36" x14ac:dyDescent="0.3">
      <c r="A165" s="30">
        <v>2015</v>
      </c>
      <c r="B165" s="28">
        <v>18.2</v>
      </c>
      <c r="C165" s="30" t="s">
        <v>22</v>
      </c>
      <c r="D165" s="30" t="s">
        <v>1302</v>
      </c>
      <c r="E165" s="30">
        <v>6.5000000000000002E-2</v>
      </c>
      <c r="F165" s="28" t="s">
        <v>1301</v>
      </c>
      <c r="G165" s="28" t="s">
        <v>2221</v>
      </c>
      <c r="H165" s="28" t="s">
        <v>1318</v>
      </c>
      <c r="I165" s="28" t="s">
        <v>2533</v>
      </c>
      <c r="J165" s="149" t="str">
        <f t="shared" si="41"/>
        <v>https://doi.org/10.1109/VLSIC.2015.7231278</v>
      </c>
      <c r="K165" s="28" t="s">
        <v>1050</v>
      </c>
      <c r="L165" s="38"/>
      <c r="M165" s="38"/>
      <c r="N165" s="38"/>
      <c r="P165" s="30">
        <v>0.5</v>
      </c>
      <c r="Q165" s="60"/>
      <c r="R165" s="63">
        <f t="shared" si="45"/>
        <v>50000000</v>
      </c>
      <c r="S165" s="60">
        <v>71.5</v>
      </c>
      <c r="T165" s="30">
        <v>71.7</v>
      </c>
      <c r="U165" s="30">
        <v>72</v>
      </c>
      <c r="W165" s="30">
        <v>90</v>
      </c>
      <c r="X165" s="29">
        <f t="shared" si="37"/>
        <v>71.5</v>
      </c>
      <c r="Y165" s="63">
        <v>5.3999999999999999E-2</v>
      </c>
      <c r="Z165" s="80">
        <v>1200000000</v>
      </c>
      <c r="AA165" s="64">
        <f>1200/100</f>
        <v>12</v>
      </c>
      <c r="AB165" s="63">
        <f t="shared" si="42"/>
        <v>100000000</v>
      </c>
      <c r="AC165" s="5" t="s">
        <v>2096</v>
      </c>
      <c r="AD165" s="111">
        <f t="shared" si="46"/>
        <v>540</v>
      </c>
      <c r="AE165" s="29" t="str">
        <f t="shared" si="47"/>
        <v/>
      </c>
      <c r="AF165" s="29">
        <f t="shared" si="48"/>
        <v>175.81109082282779</v>
      </c>
      <c r="AG165" s="29" t="str">
        <f t="shared" si="49"/>
        <v/>
      </c>
      <c r="AH165" s="29">
        <f t="shared" si="50"/>
        <v>161.1657624451305</v>
      </c>
      <c r="AI165" s="33">
        <f t="shared" si="43"/>
        <v>1.7581109082282778E-6</v>
      </c>
      <c r="AJ165" s="48">
        <f t="shared" si="44"/>
        <v>241.1657624451305</v>
      </c>
    </row>
    <row r="166" spans="1:36" x14ac:dyDescent="0.3">
      <c r="A166" s="30">
        <v>2015</v>
      </c>
      <c r="B166" s="28">
        <v>18.3</v>
      </c>
      <c r="C166" s="30" t="s">
        <v>22</v>
      </c>
      <c r="D166" s="30" t="s">
        <v>30</v>
      </c>
      <c r="E166" s="30">
        <v>0.13</v>
      </c>
      <c r="F166" s="28" t="s">
        <v>1303</v>
      </c>
      <c r="G166" s="28" t="s">
        <v>2181</v>
      </c>
      <c r="H166" s="28" t="s">
        <v>1304</v>
      </c>
      <c r="I166" s="28" t="s">
        <v>2534</v>
      </c>
      <c r="J166" s="149" t="str">
        <f t="shared" si="41"/>
        <v>https://doi.org/10.1109/VLSIC.2015.7231279</v>
      </c>
      <c r="K166" s="28" t="s">
        <v>1050</v>
      </c>
      <c r="L166" s="38">
        <v>1.2</v>
      </c>
      <c r="M166" s="38"/>
      <c r="N166" s="38"/>
      <c r="P166" s="30">
        <v>0.08</v>
      </c>
      <c r="Q166" s="60"/>
      <c r="R166" s="63">
        <f t="shared" si="45"/>
        <v>10000000</v>
      </c>
      <c r="S166" s="60">
        <v>75.3</v>
      </c>
      <c r="T166" s="30">
        <v>75.5</v>
      </c>
      <c r="U166" s="30">
        <v>78.5</v>
      </c>
      <c r="W166" s="30">
        <v>94.1</v>
      </c>
      <c r="X166" s="29">
        <f t="shared" si="37"/>
        <v>75.3</v>
      </c>
      <c r="Y166" s="63">
        <v>7.1999999999999998E-3</v>
      </c>
      <c r="Z166" s="80">
        <v>640000000</v>
      </c>
      <c r="AA166" s="64">
        <v>32</v>
      </c>
      <c r="AB166" s="63">
        <f t="shared" si="42"/>
        <v>20000000</v>
      </c>
      <c r="AC166" s="5" t="s">
        <v>2096</v>
      </c>
      <c r="AD166" s="111">
        <f t="shared" si="46"/>
        <v>360</v>
      </c>
      <c r="AE166" s="29" t="str">
        <f t="shared" si="47"/>
        <v/>
      </c>
      <c r="AF166" s="29">
        <f t="shared" si="48"/>
        <v>75.672150347850817</v>
      </c>
      <c r="AG166" s="29" t="str">
        <f t="shared" si="49"/>
        <v/>
      </c>
      <c r="AH166" s="29">
        <f t="shared" si="50"/>
        <v>166.72667503568732</v>
      </c>
      <c r="AI166" s="33">
        <f t="shared" si="43"/>
        <v>3.783607517392541E-6</v>
      </c>
      <c r="AJ166" s="48">
        <f t="shared" si="44"/>
        <v>239.73697499232713</v>
      </c>
    </row>
    <row r="167" spans="1:36" x14ac:dyDescent="0.3">
      <c r="A167" s="30">
        <v>2015</v>
      </c>
      <c r="B167" s="28">
        <v>18.399999999999999</v>
      </c>
      <c r="C167" s="30" t="s">
        <v>22</v>
      </c>
      <c r="D167" s="30" t="s">
        <v>30</v>
      </c>
      <c r="E167" s="30">
        <v>1.6E-2</v>
      </c>
      <c r="F167" s="28" t="s">
        <v>1305</v>
      </c>
      <c r="G167" s="28" t="s">
        <v>2182</v>
      </c>
      <c r="H167" s="28" t="s">
        <v>1306</v>
      </c>
      <c r="I167" s="28" t="s">
        <v>2535</v>
      </c>
      <c r="J167" s="149" t="str">
        <f t="shared" si="41"/>
        <v>https://doi.org/10.1109/VLSIC.2015.7231280</v>
      </c>
      <c r="K167" s="28" t="s">
        <v>1050</v>
      </c>
      <c r="L167" s="38"/>
      <c r="M167" s="38"/>
      <c r="N167" s="38"/>
      <c r="P167" s="30">
        <v>0.23</v>
      </c>
      <c r="Q167" s="60"/>
      <c r="R167" s="63">
        <f t="shared" si="45"/>
        <v>39000000</v>
      </c>
      <c r="S167" s="60">
        <v>67.7</v>
      </c>
      <c r="U167" s="30">
        <v>78.5</v>
      </c>
      <c r="X167" s="29">
        <f t="shared" si="37"/>
        <v>67.7</v>
      </c>
      <c r="Y167" s="63">
        <v>1.24E-2</v>
      </c>
      <c r="Z167" s="80">
        <v>832000000</v>
      </c>
      <c r="AA167" s="64">
        <f>832/78</f>
        <v>10.666666666666666</v>
      </c>
      <c r="AB167" s="63">
        <f t="shared" si="42"/>
        <v>78000000</v>
      </c>
      <c r="AC167" s="5" t="s">
        <v>2096</v>
      </c>
      <c r="AD167" s="111">
        <f t="shared" si="46"/>
        <v>158.97435897435895</v>
      </c>
      <c r="AE167" s="29" t="str">
        <f t="shared" si="47"/>
        <v/>
      </c>
      <c r="AF167" s="29">
        <f t="shared" si="48"/>
        <v>80.167534122435882</v>
      </c>
      <c r="AG167" s="29" t="str">
        <f t="shared" si="49"/>
        <v/>
      </c>
      <c r="AH167" s="29">
        <f t="shared" si="50"/>
        <v>162.67642921864262</v>
      </c>
      <c r="AI167" s="33">
        <f t="shared" si="43"/>
        <v>1.0277888990055883E-6</v>
      </c>
      <c r="AJ167" s="48">
        <f t="shared" si="44"/>
        <v>241.59737524554743</v>
      </c>
    </row>
    <row r="168" spans="1:36" x14ac:dyDescent="0.3">
      <c r="A168" s="30">
        <v>2015</v>
      </c>
      <c r="B168" s="28">
        <v>18.5</v>
      </c>
      <c r="C168" s="30" t="s">
        <v>22</v>
      </c>
      <c r="D168" s="30" t="s">
        <v>30</v>
      </c>
      <c r="E168" s="30">
        <v>0.04</v>
      </c>
      <c r="F168" s="28" t="s">
        <v>1307</v>
      </c>
      <c r="G168" s="28" t="s">
        <v>2183</v>
      </c>
      <c r="H168" s="28" t="s">
        <v>1308</v>
      </c>
      <c r="I168" s="28" t="s">
        <v>2536</v>
      </c>
      <c r="J168" s="149" t="str">
        <f t="shared" si="41"/>
        <v>https://doi.org/10.1109/VLSIC.2015.7231281</v>
      </c>
      <c r="K168" s="28" t="s">
        <v>1316</v>
      </c>
      <c r="L168" s="38"/>
      <c r="M168" s="38"/>
      <c r="N168" s="38"/>
      <c r="P168" s="30">
        <v>1.9400000000000001E-2</v>
      </c>
      <c r="Q168" s="60"/>
      <c r="R168" s="63">
        <f t="shared" si="45"/>
        <v>40000000</v>
      </c>
      <c r="S168" s="60">
        <v>66.900000000000006</v>
      </c>
      <c r="U168" s="30">
        <v>67.8</v>
      </c>
      <c r="X168" s="29">
        <f t="shared" si="37"/>
        <v>66.900000000000006</v>
      </c>
      <c r="Y168" s="63">
        <v>5.2500000000000003E-3</v>
      </c>
      <c r="Z168" s="80">
        <v>2400000000</v>
      </c>
      <c r="AA168" s="64">
        <f>2400/80</f>
        <v>30</v>
      </c>
      <c r="AB168" s="63">
        <f t="shared" si="42"/>
        <v>80000000</v>
      </c>
      <c r="AC168" s="5" t="s">
        <v>2096</v>
      </c>
      <c r="AD168" s="111">
        <f t="shared" si="46"/>
        <v>65.625</v>
      </c>
      <c r="AE168" s="29" t="str">
        <f t="shared" si="47"/>
        <v/>
      </c>
      <c r="AF168" s="29">
        <f t="shared" si="48"/>
        <v>36.286471999301433</v>
      </c>
      <c r="AG168" s="29" t="str">
        <f t="shared" si="49"/>
        <v/>
      </c>
      <c r="AH168" s="29">
        <f t="shared" si="50"/>
        <v>165.71900687922005</v>
      </c>
      <c r="AI168" s="33">
        <f t="shared" si="43"/>
        <v>4.5358089999126794E-7</v>
      </c>
      <c r="AJ168" s="48">
        <f t="shared" si="44"/>
        <v>244.74990674913948</v>
      </c>
    </row>
    <row r="169" spans="1:36" x14ac:dyDescent="0.3">
      <c r="A169" s="30">
        <v>2015</v>
      </c>
      <c r="B169" s="28">
        <v>21.1</v>
      </c>
      <c r="C169" s="30" t="s">
        <v>22</v>
      </c>
      <c r="D169" s="30" t="s">
        <v>30</v>
      </c>
      <c r="E169" s="30">
        <v>6.5000000000000002E-2</v>
      </c>
      <c r="F169" s="28" t="s">
        <v>1309</v>
      </c>
      <c r="G169" s="28" t="s">
        <v>2184</v>
      </c>
      <c r="H169" s="28" t="s">
        <v>1310</v>
      </c>
      <c r="I169" s="28" t="s">
        <v>2537</v>
      </c>
      <c r="J169" s="149" t="str">
        <f t="shared" si="41"/>
        <v>https://doi.org/10.1109/VLSIC.2015.7231294</v>
      </c>
      <c r="K169" s="28" t="s">
        <v>1050</v>
      </c>
      <c r="L169" s="38">
        <v>0.7</v>
      </c>
      <c r="M169" s="38"/>
      <c r="N169" s="38"/>
      <c r="P169" s="30">
        <v>1.2999999999999999E-2</v>
      </c>
      <c r="Q169" s="60"/>
      <c r="R169" s="63">
        <f t="shared" si="45"/>
        <v>2000000</v>
      </c>
      <c r="S169" s="60">
        <v>69.099999999999994</v>
      </c>
      <c r="U169" s="30">
        <v>76.2</v>
      </c>
      <c r="X169" s="29">
        <f t="shared" si="37"/>
        <v>69.099999999999994</v>
      </c>
      <c r="Y169" s="63">
        <v>2.5599999999999999E-4</v>
      </c>
      <c r="Z169" s="80">
        <v>320000000</v>
      </c>
      <c r="AA169" s="64">
        <f>320/4</f>
        <v>80</v>
      </c>
      <c r="AB169" s="63">
        <f t="shared" si="42"/>
        <v>4000000</v>
      </c>
      <c r="AC169" s="5" t="s">
        <v>2096</v>
      </c>
      <c r="AD169" s="111">
        <f t="shared" si="46"/>
        <v>64</v>
      </c>
      <c r="AE169" s="29" t="str">
        <f t="shared" si="47"/>
        <v/>
      </c>
      <c r="AF169" s="29">
        <f t="shared" si="48"/>
        <v>27.469100676790546</v>
      </c>
      <c r="AG169" s="29" t="str">
        <f t="shared" si="49"/>
        <v/>
      </c>
      <c r="AH169" s="29">
        <f t="shared" si="50"/>
        <v>168.02790030352131</v>
      </c>
      <c r="AI169" s="33">
        <f t="shared" si="43"/>
        <v>6.8672751691976368E-6</v>
      </c>
      <c r="AJ169" s="48">
        <f t="shared" si="44"/>
        <v>234.04850021680093</v>
      </c>
    </row>
    <row r="170" spans="1:36" x14ac:dyDescent="0.3">
      <c r="A170" s="30">
        <v>2015</v>
      </c>
      <c r="B170" s="28">
        <v>21.2</v>
      </c>
      <c r="C170" s="30" t="s">
        <v>22</v>
      </c>
      <c r="D170" s="30" t="s">
        <v>30</v>
      </c>
      <c r="E170" s="30">
        <v>2.8000000000000001E-2</v>
      </c>
      <c r="F170" s="28" t="s">
        <v>1311</v>
      </c>
      <c r="G170" s="28" t="s">
        <v>2185</v>
      </c>
      <c r="H170" s="28" t="s">
        <v>1312</v>
      </c>
      <c r="I170" s="28" t="s">
        <v>2538</v>
      </c>
      <c r="J170" s="149" t="str">
        <f t="shared" si="41"/>
        <v>https://doi.org/10.1109/VLSIC.2015.7231295</v>
      </c>
      <c r="K170" s="28" t="s">
        <v>1050</v>
      </c>
      <c r="L170" s="38">
        <v>1.8</v>
      </c>
      <c r="M170" s="38">
        <v>0.9</v>
      </c>
      <c r="N170" s="38"/>
      <c r="P170" s="30">
        <v>6.6000000000000003E-2</v>
      </c>
      <c r="Q170" s="60"/>
      <c r="R170" s="63">
        <f t="shared" si="45"/>
        <v>5000000</v>
      </c>
      <c r="S170" s="60">
        <v>80.5</v>
      </c>
      <c r="U170" s="30">
        <v>83.9</v>
      </c>
      <c r="W170" s="30">
        <v>94</v>
      </c>
      <c r="X170" s="29">
        <f t="shared" si="37"/>
        <v>80.5</v>
      </c>
      <c r="Y170" s="63">
        <v>3.16E-3</v>
      </c>
      <c r="Z170" s="80">
        <v>432000000</v>
      </c>
      <c r="AA170" s="64">
        <f>432/10</f>
        <v>43.2</v>
      </c>
      <c r="AB170" s="63">
        <f t="shared" si="42"/>
        <v>10000000</v>
      </c>
      <c r="AC170" s="5" t="s">
        <v>2096</v>
      </c>
      <c r="AD170" s="111">
        <f t="shared" si="46"/>
        <v>316</v>
      </c>
      <c r="AE170" s="29" t="str">
        <f t="shared" si="47"/>
        <v/>
      </c>
      <c r="AF170" s="29">
        <f t="shared" si="48"/>
        <v>36.500158243201767</v>
      </c>
      <c r="AG170" s="29" t="str">
        <f t="shared" si="49"/>
        <v/>
      </c>
      <c r="AH170" s="29">
        <f t="shared" si="50"/>
        <v>172.49282921717614</v>
      </c>
      <c r="AI170" s="33">
        <f t="shared" si="43"/>
        <v>3.6500158243201768E-6</v>
      </c>
      <c r="AJ170" s="48">
        <f t="shared" si="44"/>
        <v>242.49282921717614</v>
      </c>
    </row>
    <row r="171" spans="1:36" ht="12.75" customHeight="1" x14ac:dyDescent="0.3">
      <c r="A171" s="30">
        <v>2015</v>
      </c>
      <c r="B171" s="28">
        <v>21.3</v>
      </c>
      <c r="C171" s="30" t="s">
        <v>22</v>
      </c>
      <c r="D171" s="30" t="s">
        <v>30</v>
      </c>
      <c r="E171" s="30">
        <v>6.5000000000000002E-2</v>
      </c>
      <c r="F171" s="28" t="s">
        <v>1313</v>
      </c>
      <c r="G171" s="28" t="s">
        <v>1314</v>
      </c>
      <c r="H171" s="28" t="s">
        <v>1315</v>
      </c>
      <c r="I171" s="28" t="s">
        <v>2539</v>
      </c>
      <c r="J171" s="149" t="str">
        <f t="shared" si="41"/>
        <v>https://doi.org/10.1109/VLSIC.2015.7231296</v>
      </c>
      <c r="K171" s="28" t="s">
        <v>1050</v>
      </c>
      <c r="L171" s="38">
        <v>1.1000000000000001</v>
      </c>
      <c r="M171" s="38"/>
      <c r="N171" s="38"/>
      <c r="P171" s="30">
        <v>0.6</v>
      </c>
      <c r="Q171" s="60"/>
      <c r="R171" s="63">
        <f t="shared" si="45"/>
        <v>24000</v>
      </c>
      <c r="S171" s="60">
        <v>85</v>
      </c>
      <c r="U171" s="30">
        <v>88</v>
      </c>
      <c r="X171" s="29">
        <f t="shared" si="37"/>
        <v>85</v>
      </c>
      <c r="Y171" s="63">
        <v>1.21E-4</v>
      </c>
      <c r="Z171" s="80">
        <v>3072000</v>
      </c>
      <c r="AA171" s="64">
        <f>3072/48</f>
        <v>64</v>
      </c>
      <c r="AB171" s="63">
        <f t="shared" si="42"/>
        <v>48000</v>
      </c>
      <c r="AC171" s="5" t="s">
        <v>2096</v>
      </c>
      <c r="AD171" s="111">
        <f t="shared" si="46"/>
        <v>2520.833333333333</v>
      </c>
      <c r="AE171" s="29" t="str">
        <f t="shared" si="47"/>
        <v/>
      </c>
      <c r="AF171" s="29">
        <f t="shared" si="48"/>
        <v>173.43205720866206</v>
      </c>
      <c r="AG171" s="29" t="str">
        <f t="shared" si="49"/>
        <v/>
      </c>
      <c r="AH171" s="29">
        <f t="shared" si="50"/>
        <v>167.97425871395154</v>
      </c>
      <c r="AI171" s="33">
        <f t="shared" si="43"/>
        <v>3.6131678585137931E-3</v>
      </c>
      <c r="AJ171" s="48">
        <f t="shared" si="44"/>
        <v>214.78667108770742</v>
      </c>
    </row>
    <row r="172" spans="1:36" x14ac:dyDescent="0.3">
      <c r="A172" s="31">
        <v>2016</v>
      </c>
      <c r="B172" s="28">
        <v>3.1</v>
      </c>
      <c r="C172" s="30" t="s">
        <v>22</v>
      </c>
      <c r="D172" s="30" t="s">
        <v>31</v>
      </c>
      <c r="E172" s="30">
        <v>2.8000000000000001E-2</v>
      </c>
      <c r="F172" s="28" t="s">
        <v>1370</v>
      </c>
      <c r="G172" s="28" t="s">
        <v>1378</v>
      </c>
      <c r="H172" s="28" t="s">
        <v>1369</v>
      </c>
      <c r="I172" s="28" t="s">
        <v>2540</v>
      </c>
      <c r="J172" s="149" t="str">
        <f t="shared" si="41"/>
        <v>https://doi.org/10.1109/VLSIC.2016.7573463</v>
      </c>
      <c r="K172" s="28" t="s">
        <v>1050</v>
      </c>
      <c r="L172" s="38">
        <v>1.55</v>
      </c>
      <c r="M172" s="38">
        <v>0.75</v>
      </c>
      <c r="N172" s="38"/>
      <c r="P172" s="30">
        <v>0.11600000000000001</v>
      </c>
      <c r="Q172" s="60"/>
      <c r="R172" s="63">
        <v>2000</v>
      </c>
      <c r="S172" s="60">
        <v>97.99</v>
      </c>
      <c r="T172" s="30">
        <v>98.57</v>
      </c>
      <c r="W172" s="30">
        <v>111.8</v>
      </c>
      <c r="X172" s="29">
        <f t="shared" si="37"/>
        <v>97.99</v>
      </c>
      <c r="Y172" s="63">
        <v>3.7100000000000001E-5</v>
      </c>
      <c r="Z172" s="80">
        <v>100000</v>
      </c>
      <c r="AA172" s="64">
        <f>Z172/AB172</f>
        <v>25</v>
      </c>
      <c r="AB172" s="63">
        <v>4000</v>
      </c>
      <c r="AC172" s="5" t="s">
        <v>2096</v>
      </c>
      <c r="AD172" s="111">
        <f t="shared" si="46"/>
        <v>9275</v>
      </c>
      <c r="AE172" s="29" t="str">
        <f t="shared" si="47"/>
        <v/>
      </c>
      <c r="AF172" s="29">
        <f t="shared" si="48"/>
        <v>142.99947272119627</v>
      </c>
      <c r="AG172" s="29" t="str">
        <f t="shared" si="49"/>
        <v/>
      </c>
      <c r="AH172" s="29">
        <f t="shared" si="50"/>
        <v>175.30656086048936</v>
      </c>
      <c r="AI172" s="33">
        <f t="shared" ref="AI172:AI187" si="51">AF172/AB172</f>
        <v>3.5749868180299064E-2</v>
      </c>
      <c r="AJ172" s="48">
        <f t="shared" ref="AJ172:AJ187" si="52">AH172+10*LOG10(AB172)</f>
        <v>211.32716077376898</v>
      </c>
    </row>
    <row r="173" spans="1:36" x14ac:dyDescent="0.3">
      <c r="A173" s="30">
        <v>2016</v>
      </c>
      <c r="B173" s="28">
        <v>3.2</v>
      </c>
      <c r="C173" s="30" t="s">
        <v>22</v>
      </c>
      <c r="D173" s="30" t="s">
        <v>2231</v>
      </c>
      <c r="E173" s="30">
        <v>0.18</v>
      </c>
      <c r="F173" s="28" t="s">
        <v>1371</v>
      </c>
      <c r="G173" s="28" t="s">
        <v>1379</v>
      </c>
      <c r="H173" s="28" t="s">
        <v>1372</v>
      </c>
      <c r="I173" s="28" t="s">
        <v>2541</v>
      </c>
      <c r="J173" s="149" t="str">
        <f t="shared" si="41"/>
        <v>https://doi.org/10.1109/VLSIC.2016.7573464</v>
      </c>
      <c r="K173" s="28" t="s">
        <v>1050</v>
      </c>
      <c r="L173" s="38">
        <v>1.5</v>
      </c>
      <c r="M173" s="38"/>
      <c r="N173" s="38"/>
      <c r="P173" s="30">
        <v>0.5</v>
      </c>
      <c r="Q173" s="60"/>
      <c r="R173" s="63">
        <v>1000</v>
      </c>
      <c r="S173" s="60">
        <v>96.8</v>
      </c>
      <c r="U173" s="30">
        <v>99.7</v>
      </c>
      <c r="X173" s="29">
        <f t="shared" si="37"/>
        <v>96.8</v>
      </c>
      <c r="Y173" s="63">
        <v>3.4600000000000001E-5</v>
      </c>
      <c r="Z173" s="80">
        <v>642000</v>
      </c>
      <c r="AA173" s="64">
        <f>Z173/AB173</f>
        <v>321</v>
      </c>
      <c r="AB173" s="63">
        <v>2000</v>
      </c>
      <c r="AC173" s="5" t="s">
        <v>2096</v>
      </c>
      <c r="AD173" s="111">
        <f t="shared" si="46"/>
        <v>17300</v>
      </c>
      <c r="AE173" s="29" t="str">
        <f t="shared" si="47"/>
        <v/>
      </c>
      <c r="AF173" s="29">
        <f t="shared" si="48"/>
        <v>305.89512116845992</v>
      </c>
      <c r="AG173" s="29" t="str">
        <f t="shared" si="49"/>
        <v/>
      </c>
      <c r="AH173" s="29">
        <f t="shared" si="50"/>
        <v>171.40923901207225</v>
      </c>
      <c r="AI173" s="33">
        <f t="shared" si="51"/>
        <v>0.15294756058422995</v>
      </c>
      <c r="AJ173" s="48">
        <f t="shared" si="52"/>
        <v>204.41953896871206</v>
      </c>
    </row>
    <row r="174" spans="1:36" x14ac:dyDescent="0.3">
      <c r="A174" s="30">
        <v>2016</v>
      </c>
      <c r="B174" s="28">
        <v>3.3</v>
      </c>
      <c r="C174" s="30" t="s">
        <v>22</v>
      </c>
      <c r="D174" s="30" t="s">
        <v>1279</v>
      </c>
      <c r="E174" s="30">
        <v>0.04</v>
      </c>
      <c r="F174" s="28" t="s">
        <v>1373</v>
      </c>
      <c r="G174" s="28" t="s">
        <v>1377</v>
      </c>
      <c r="H174" s="28" t="s">
        <v>1376</v>
      </c>
      <c r="I174" s="28" t="s">
        <v>2542</v>
      </c>
      <c r="J174" s="149" t="str">
        <f t="shared" si="41"/>
        <v>https://doi.org/10.1109/VLSIC.2016.7573465</v>
      </c>
      <c r="K174" s="28" t="s">
        <v>1050</v>
      </c>
      <c r="L174" s="38">
        <v>1.1000000000000001</v>
      </c>
      <c r="M174" s="38"/>
      <c r="N174" s="38"/>
      <c r="P174" s="30">
        <v>0.03</v>
      </c>
      <c r="Q174" s="60"/>
      <c r="R174" s="63">
        <v>1000000</v>
      </c>
      <c r="S174" s="60">
        <v>74.3</v>
      </c>
      <c r="X174" s="29">
        <f t="shared" si="37"/>
        <v>74.3</v>
      </c>
      <c r="Y174" s="63">
        <v>3.5E-4</v>
      </c>
      <c r="Z174" s="80">
        <v>36000000</v>
      </c>
      <c r="AA174" s="64">
        <f>Z174/AB174</f>
        <v>9</v>
      </c>
      <c r="AB174" s="63">
        <v>4000000</v>
      </c>
      <c r="AC174" s="5" t="s">
        <v>2096</v>
      </c>
      <c r="AD174" s="111">
        <f t="shared" si="46"/>
        <v>87.5</v>
      </c>
      <c r="AE174" s="29" t="str">
        <f t="shared" si="47"/>
        <v/>
      </c>
      <c r="AF174" s="29">
        <f t="shared" si="48"/>
        <v>20.637002189875705</v>
      </c>
      <c r="AG174" s="29" t="str">
        <f t="shared" si="49"/>
        <v/>
      </c>
      <c r="AH174" s="29">
        <f t="shared" si="50"/>
        <v>171.86961951313705</v>
      </c>
      <c r="AI174" s="33">
        <f t="shared" si="51"/>
        <v>5.1592505474689261E-6</v>
      </c>
      <c r="AJ174" s="48">
        <f t="shared" si="52"/>
        <v>237.89021942641668</v>
      </c>
    </row>
    <row r="175" spans="1:36" x14ac:dyDescent="0.3">
      <c r="A175" s="30">
        <v>2016</v>
      </c>
      <c r="B175" s="28">
        <v>3.4</v>
      </c>
      <c r="C175" s="30" t="s">
        <v>22</v>
      </c>
      <c r="D175" s="30" t="s">
        <v>30</v>
      </c>
      <c r="E175" s="30">
        <v>6.5000000000000002E-2</v>
      </c>
      <c r="F175" s="28" t="s">
        <v>1374</v>
      </c>
      <c r="G175" s="28" t="s">
        <v>1380</v>
      </c>
      <c r="H175" s="28" t="s">
        <v>1375</v>
      </c>
      <c r="I175" s="28" t="s">
        <v>2543</v>
      </c>
      <c r="J175" s="149" t="str">
        <f t="shared" si="41"/>
        <v>https://doi.org/10.1109/VLSIC.2016.7573466</v>
      </c>
      <c r="K175" s="28" t="s">
        <v>1050</v>
      </c>
      <c r="L175" s="38">
        <v>1.4</v>
      </c>
      <c r="M175" s="38"/>
      <c r="N175" s="38"/>
      <c r="P175" s="30">
        <v>7.0000000000000007E-2</v>
      </c>
      <c r="Q175" s="60"/>
      <c r="R175" s="63">
        <v>19900000</v>
      </c>
      <c r="S175" s="60">
        <v>67.599999999999994</v>
      </c>
      <c r="T175" s="30">
        <v>68.8</v>
      </c>
      <c r="U175" s="30">
        <v>76</v>
      </c>
      <c r="W175" s="30">
        <v>77.400000000000006</v>
      </c>
      <c r="X175" s="29">
        <f t="shared" si="37"/>
        <v>67.599999999999994</v>
      </c>
      <c r="Y175" s="63">
        <v>1.3299999999999999E-2</v>
      </c>
      <c r="Z175" s="80">
        <v>6000000000</v>
      </c>
      <c r="AA175" s="64">
        <f>Z175/AB175</f>
        <v>50</v>
      </c>
      <c r="AB175" s="63">
        <v>120000000</v>
      </c>
      <c r="AC175" s="5" t="s">
        <v>2096</v>
      </c>
      <c r="AD175" s="111">
        <f t="shared" si="46"/>
        <v>110.83333333333333</v>
      </c>
      <c r="AE175" s="29" t="str">
        <f t="shared" si="47"/>
        <v/>
      </c>
      <c r="AF175" s="29">
        <f t="shared" si="48"/>
        <v>56.538246636912106</v>
      </c>
      <c r="AG175" s="29" t="str">
        <f t="shared" si="49"/>
        <v/>
      </c>
      <c r="AH175" s="29">
        <f t="shared" si="50"/>
        <v>164.14299609416557</v>
      </c>
      <c r="AI175" s="33">
        <f t="shared" si="51"/>
        <v>4.7115205530760089E-7</v>
      </c>
      <c r="AJ175" s="48">
        <f t="shared" si="52"/>
        <v>244.93480855464182</v>
      </c>
    </row>
    <row r="176" spans="1:36" x14ac:dyDescent="0.3">
      <c r="A176" s="30">
        <v>2016</v>
      </c>
      <c r="B176" s="28">
        <v>5.4</v>
      </c>
      <c r="C176" s="30" t="s">
        <v>23</v>
      </c>
      <c r="D176" s="30" t="s">
        <v>592</v>
      </c>
      <c r="E176" s="30">
        <v>1.6E-2</v>
      </c>
      <c r="F176" s="28" t="s">
        <v>1381</v>
      </c>
      <c r="G176" s="28" t="s">
        <v>1383</v>
      </c>
      <c r="H176" s="28" t="s">
        <v>1382</v>
      </c>
      <c r="I176" s="28" t="s">
        <v>2544</v>
      </c>
      <c r="J176" s="149" t="str">
        <f t="shared" si="41"/>
        <v>https://doi.org/10.1109/VLSIC.2016.7573474</v>
      </c>
      <c r="K176" s="28" t="s">
        <v>1050</v>
      </c>
      <c r="L176" s="38">
        <v>0.9</v>
      </c>
      <c r="M176" s="38"/>
      <c r="N176" s="38"/>
      <c r="Q176" s="60">
        <v>40.9</v>
      </c>
      <c r="R176" s="63">
        <v>14000000000</v>
      </c>
      <c r="S176" s="60">
        <v>31.5</v>
      </c>
      <c r="W176" s="30">
        <v>39.1</v>
      </c>
      <c r="X176" s="29">
        <f t="shared" si="37"/>
        <v>31.5</v>
      </c>
      <c r="Y176" s="63">
        <v>0.28000000000000003</v>
      </c>
      <c r="Z176" s="80">
        <v>28000000000</v>
      </c>
      <c r="AA176" s="64">
        <v>1</v>
      </c>
      <c r="AB176" s="63">
        <f>Z176/AA176</f>
        <v>28000000000</v>
      </c>
      <c r="AC176" s="5" t="s">
        <v>2096</v>
      </c>
      <c r="AD176" s="111">
        <f t="shared" si="46"/>
        <v>10.000000000000002</v>
      </c>
      <c r="AE176" s="29">
        <f t="shared" si="47"/>
        <v>110.35829403638681</v>
      </c>
      <c r="AF176" s="29">
        <f t="shared" si="48"/>
        <v>325.72554202243896</v>
      </c>
      <c r="AG176" s="29">
        <f t="shared" si="49"/>
        <v>147.88970004336019</v>
      </c>
      <c r="AH176" s="29">
        <f t="shared" si="50"/>
        <v>138.48970004336019</v>
      </c>
      <c r="AI176" s="33">
        <f t="shared" si="51"/>
        <v>1.1633055072229962E-8</v>
      </c>
      <c r="AJ176" s="48">
        <f t="shared" si="52"/>
        <v>242.96128035678237</v>
      </c>
    </row>
    <row r="177" spans="1:36" x14ac:dyDescent="0.3">
      <c r="A177" s="30">
        <v>2016</v>
      </c>
      <c r="B177" s="28">
        <v>8.4</v>
      </c>
      <c r="C177" s="30" t="s">
        <v>23</v>
      </c>
      <c r="D177" s="30" t="s">
        <v>31</v>
      </c>
      <c r="E177" s="30">
        <v>0.13</v>
      </c>
      <c r="F177" s="28" t="s">
        <v>1407</v>
      </c>
      <c r="G177" s="28" t="s">
        <v>1408</v>
      </c>
      <c r="H177" s="28" t="s">
        <v>1409</v>
      </c>
      <c r="I177" s="28" t="s">
        <v>2545</v>
      </c>
      <c r="J177" s="149" t="str">
        <f t="shared" si="41"/>
        <v>https://doi.org/10.1109/VLSIC.2016.7573488</v>
      </c>
      <c r="K177" s="28" t="s">
        <v>1050</v>
      </c>
      <c r="L177" s="38">
        <v>1.5</v>
      </c>
      <c r="M177" s="38"/>
      <c r="N177" s="38"/>
      <c r="Q177" s="60"/>
      <c r="R177" s="63">
        <v>500</v>
      </c>
      <c r="S177" s="60">
        <v>75</v>
      </c>
      <c r="X177" s="29">
        <f t="shared" ref="X177:X213" si="53">+IF(ISNUMBER($S177),$S177,MIN($V177,$T177,$U177,$W177))</f>
        <v>75</v>
      </c>
      <c r="Y177" s="63">
        <v>1.3E-6</v>
      </c>
      <c r="Z177" s="80">
        <v>1000</v>
      </c>
      <c r="AA177" s="64">
        <v>1</v>
      </c>
      <c r="AB177" s="63">
        <f>Z177/AA177</f>
        <v>1000</v>
      </c>
      <c r="AC177" s="5" t="s">
        <v>2096</v>
      </c>
      <c r="AD177" s="111">
        <f t="shared" si="46"/>
        <v>1300</v>
      </c>
      <c r="AE177" s="29" t="str">
        <f t="shared" si="47"/>
        <v/>
      </c>
      <c r="AF177" s="29">
        <f t="shared" si="48"/>
        <v>282.86448406020025</v>
      </c>
      <c r="AG177" s="29" t="str">
        <f t="shared" si="49"/>
        <v/>
      </c>
      <c r="AH177" s="29">
        <f t="shared" si="50"/>
        <v>160.85026652029183</v>
      </c>
      <c r="AI177" s="33">
        <f t="shared" si="51"/>
        <v>0.28286448406020026</v>
      </c>
      <c r="AJ177" s="48">
        <f t="shared" si="52"/>
        <v>190.85026652029183</v>
      </c>
    </row>
    <row r="178" spans="1:36" x14ac:dyDescent="0.3">
      <c r="A178" s="30">
        <v>2016</v>
      </c>
      <c r="B178" s="28">
        <v>13.3</v>
      </c>
      <c r="C178" s="30" t="s">
        <v>22</v>
      </c>
      <c r="D178" s="30" t="s">
        <v>25</v>
      </c>
      <c r="E178" s="30">
        <v>6.5000000000000002E-2</v>
      </c>
      <c r="F178" s="28" t="s">
        <v>1405</v>
      </c>
      <c r="G178" s="28" t="s">
        <v>2186</v>
      </c>
      <c r="H178" s="28" t="s">
        <v>1406</v>
      </c>
      <c r="I178" s="28" t="s">
        <v>2546</v>
      </c>
      <c r="J178" s="149" t="str">
        <f t="shared" si="41"/>
        <v>https://doi.org/10.1109/VLSIC.2016.7573509</v>
      </c>
      <c r="K178" s="28" t="s">
        <v>1050</v>
      </c>
      <c r="L178" s="38"/>
      <c r="M178" s="38"/>
      <c r="N178" s="38"/>
      <c r="P178" s="30">
        <v>5.9400000000000001E-2</v>
      </c>
      <c r="Q178" s="60"/>
      <c r="R178" s="63">
        <v>100000</v>
      </c>
      <c r="S178" s="60">
        <v>69.099999999999994</v>
      </c>
      <c r="X178" s="29">
        <f t="shared" si="53"/>
        <v>69.099999999999994</v>
      </c>
      <c r="Y178" s="63">
        <v>2.41E-4</v>
      </c>
      <c r="Z178" s="80">
        <v>100000000</v>
      </c>
      <c r="AA178" s="64">
        <f>Z178/AB178</f>
        <v>500</v>
      </c>
      <c r="AB178" s="63">
        <v>200000</v>
      </c>
      <c r="AC178" s="5" t="s">
        <v>2096</v>
      </c>
      <c r="AD178" s="111">
        <f t="shared" si="46"/>
        <v>1205</v>
      </c>
      <c r="AE178" s="29" t="str">
        <f t="shared" si="47"/>
        <v/>
      </c>
      <c r="AF178" s="29">
        <f t="shared" si="48"/>
        <v>517.191661180197</v>
      </c>
      <c r="AG178" s="29" t="str">
        <f t="shared" si="49"/>
        <v/>
      </c>
      <c r="AH178" s="29">
        <f t="shared" si="50"/>
        <v>155.27982957425129</v>
      </c>
      <c r="AI178" s="33">
        <f t="shared" si="51"/>
        <v>2.5859583059009848E-3</v>
      </c>
      <c r="AJ178" s="48">
        <f t="shared" si="52"/>
        <v>208.29012953089111</v>
      </c>
    </row>
    <row r="179" spans="1:36" x14ac:dyDescent="0.3">
      <c r="A179" s="30">
        <v>2016</v>
      </c>
      <c r="B179" s="28">
        <v>15.1</v>
      </c>
      <c r="C179" s="30" t="s">
        <v>23</v>
      </c>
      <c r="D179" s="30" t="s">
        <v>592</v>
      </c>
      <c r="E179" s="30">
        <v>6.5000000000000002E-2</v>
      </c>
      <c r="F179" s="28" t="s">
        <v>1384</v>
      </c>
      <c r="G179" s="28" t="s">
        <v>1385</v>
      </c>
      <c r="H179" s="28" t="s">
        <v>1386</v>
      </c>
      <c r="I179" s="28" t="s">
        <v>2547</v>
      </c>
      <c r="J179" s="149" t="str">
        <f t="shared" si="41"/>
        <v>https://doi.org/10.1109/VLSIC.2016.7573516</v>
      </c>
      <c r="K179" s="28" t="s">
        <v>1050</v>
      </c>
      <c r="L179" s="38">
        <v>1.2</v>
      </c>
      <c r="M179" s="38">
        <v>1.1000000000000001</v>
      </c>
      <c r="N179" s="38"/>
      <c r="P179" s="30">
        <v>0.9</v>
      </c>
      <c r="Q179" s="60">
        <v>72.099999999999994</v>
      </c>
      <c r="R179" s="63">
        <v>1000000000</v>
      </c>
      <c r="S179" s="60">
        <v>65</v>
      </c>
      <c r="W179" s="30">
        <v>72.099999999999994</v>
      </c>
      <c r="X179" s="29">
        <f t="shared" si="53"/>
        <v>65</v>
      </c>
      <c r="Y179" s="63">
        <v>3.7699999999999997E-2</v>
      </c>
      <c r="Z179" s="80">
        <v>1600000000</v>
      </c>
      <c r="AA179" s="64">
        <v>1</v>
      </c>
      <c r="AB179" s="63">
        <f t="shared" ref="AB179:AB210" si="54">Z179/AA179</f>
        <v>1600000000</v>
      </c>
      <c r="AC179" s="5" t="s">
        <v>2096</v>
      </c>
      <c r="AD179" s="111">
        <f t="shared" si="46"/>
        <v>23.5625</v>
      </c>
      <c r="AE179" s="29">
        <f t="shared" si="47"/>
        <v>7.1593053638189836</v>
      </c>
      <c r="AF179" s="29">
        <f t="shared" si="48"/>
        <v>16.214600900602765</v>
      </c>
      <c r="AG179" s="29">
        <f t="shared" si="49"/>
        <v>175.36748636786149</v>
      </c>
      <c r="AH179" s="29">
        <f t="shared" si="50"/>
        <v>168.26748636786152</v>
      </c>
      <c r="AI179" s="33">
        <f t="shared" si="51"/>
        <v>1.0134125562876728E-8</v>
      </c>
      <c r="AJ179" s="48">
        <f t="shared" si="52"/>
        <v>260.30868619442077</v>
      </c>
    </row>
    <row r="180" spans="1:36" x14ac:dyDescent="0.3">
      <c r="A180" s="30">
        <v>2016</v>
      </c>
      <c r="B180" s="28">
        <v>15.2</v>
      </c>
      <c r="C180" s="30" t="s">
        <v>23</v>
      </c>
      <c r="D180" s="30" t="s">
        <v>1148</v>
      </c>
      <c r="E180" s="30">
        <v>2.8000000000000001E-2</v>
      </c>
      <c r="F180" s="28" t="s">
        <v>1387</v>
      </c>
      <c r="G180" s="28" t="s">
        <v>1388</v>
      </c>
      <c r="H180" s="28" t="s">
        <v>1389</v>
      </c>
      <c r="I180" s="28" t="s">
        <v>2548</v>
      </c>
      <c r="J180" s="149" t="str">
        <f t="shared" si="41"/>
        <v>https://doi.org/10.1109/VLSIC.2016.7573517</v>
      </c>
      <c r="K180" s="28" t="s">
        <v>1050</v>
      </c>
      <c r="L180" s="38">
        <v>1</v>
      </c>
      <c r="M180" s="38"/>
      <c r="N180" s="38"/>
      <c r="P180" s="30">
        <f>0.29*0.32</f>
        <v>9.2799999999999994E-2</v>
      </c>
      <c r="Q180" s="60">
        <v>62.2</v>
      </c>
      <c r="R180" s="63">
        <v>400000000</v>
      </c>
      <c r="S180" s="60">
        <v>60.8</v>
      </c>
      <c r="W180" s="30">
        <v>76</v>
      </c>
      <c r="X180" s="29">
        <f t="shared" si="53"/>
        <v>60.8</v>
      </c>
      <c r="Y180" s="63">
        <v>1.46E-2</v>
      </c>
      <c r="Z180" s="80">
        <v>800000000</v>
      </c>
      <c r="AA180" s="64">
        <v>1</v>
      </c>
      <c r="AB180" s="63">
        <f t="shared" si="54"/>
        <v>800000000</v>
      </c>
      <c r="AC180" s="5" t="s">
        <v>2096</v>
      </c>
      <c r="AD180" s="111">
        <f t="shared" si="46"/>
        <v>18.25</v>
      </c>
      <c r="AE180" s="29">
        <f t="shared" si="47"/>
        <v>17.336511671561876</v>
      </c>
      <c r="AF180" s="29">
        <f t="shared" si="48"/>
        <v>20.36895234217253</v>
      </c>
      <c r="AG180" s="29">
        <f t="shared" si="49"/>
        <v>166.57707135543524</v>
      </c>
      <c r="AH180" s="29">
        <f t="shared" si="50"/>
        <v>165.17707135543526</v>
      </c>
      <c r="AI180" s="33">
        <f t="shared" si="51"/>
        <v>2.5461190427715662E-8</v>
      </c>
      <c r="AJ180" s="48">
        <f t="shared" si="52"/>
        <v>254.2079712253547</v>
      </c>
    </row>
    <row r="181" spans="1:36" x14ac:dyDescent="0.3">
      <c r="A181" s="30">
        <v>2016</v>
      </c>
      <c r="B181" s="28">
        <v>15.3</v>
      </c>
      <c r="C181" s="30" t="s">
        <v>23</v>
      </c>
      <c r="D181" s="30" t="s">
        <v>31</v>
      </c>
      <c r="E181" s="30">
        <v>0.04</v>
      </c>
      <c r="F181" s="28" t="s">
        <v>1390</v>
      </c>
      <c r="G181" s="28" t="s">
        <v>1391</v>
      </c>
      <c r="H181" s="28" t="s">
        <v>1392</v>
      </c>
      <c r="I181" s="28" t="s">
        <v>2549</v>
      </c>
      <c r="J181" s="149" t="str">
        <f t="shared" si="41"/>
        <v>https://doi.org/10.1109/VLSIC.2016.7573518</v>
      </c>
      <c r="K181" s="28" t="s">
        <v>1050</v>
      </c>
      <c r="L181" s="38"/>
      <c r="M181" s="38"/>
      <c r="N181" s="38"/>
      <c r="P181" s="30">
        <v>0.315</v>
      </c>
      <c r="Q181" s="60"/>
      <c r="R181" s="63">
        <v>10000</v>
      </c>
      <c r="S181" s="60">
        <v>74.12</v>
      </c>
      <c r="W181" s="30">
        <v>95.1</v>
      </c>
      <c r="X181" s="29">
        <f t="shared" si="53"/>
        <v>74.12</v>
      </c>
      <c r="Y181" s="63">
        <v>1.17E-6</v>
      </c>
      <c r="Z181" s="80">
        <v>20000</v>
      </c>
      <c r="AA181" s="64">
        <v>1</v>
      </c>
      <c r="AB181" s="63">
        <f t="shared" si="54"/>
        <v>20000</v>
      </c>
      <c r="AC181" s="5" t="s">
        <v>2096</v>
      </c>
      <c r="AD181" s="111">
        <f t="shared" si="46"/>
        <v>58.500000000000007</v>
      </c>
      <c r="AE181" s="29" t="str">
        <f t="shared" si="47"/>
        <v/>
      </c>
      <c r="AF181" s="29">
        <f t="shared" si="48"/>
        <v>14.086247674304687</v>
      </c>
      <c r="AG181" s="29" t="str">
        <f t="shared" si="49"/>
        <v/>
      </c>
      <c r="AH181" s="29">
        <f t="shared" si="50"/>
        <v>173.43814138253839</v>
      </c>
      <c r="AI181" s="33">
        <f t="shared" si="51"/>
        <v>7.043123837152343E-4</v>
      </c>
      <c r="AJ181" s="48">
        <f t="shared" si="52"/>
        <v>216.4484413391782</v>
      </c>
    </row>
    <row r="182" spans="1:36" x14ac:dyDescent="0.3">
      <c r="A182" s="30">
        <v>2016</v>
      </c>
      <c r="B182" s="28">
        <v>15.4</v>
      </c>
      <c r="C182" s="30" t="s">
        <v>23</v>
      </c>
      <c r="D182" s="30" t="s">
        <v>31</v>
      </c>
      <c r="E182" s="30">
        <v>0.09</v>
      </c>
      <c r="F182" s="28" t="s">
        <v>1393</v>
      </c>
      <c r="G182" s="28" t="s">
        <v>1394</v>
      </c>
      <c r="H182" s="28" t="s">
        <v>1395</v>
      </c>
      <c r="I182" s="28" t="s">
        <v>2550</v>
      </c>
      <c r="J182" s="149" t="str">
        <f t="shared" si="41"/>
        <v>https://doi.org/10.1109/VLSIC.2016.7573519</v>
      </c>
      <c r="K182" s="28" t="s">
        <v>1050</v>
      </c>
      <c r="L182" s="38">
        <v>0.3</v>
      </c>
      <c r="M182" s="38"/>
      <c r="N182" s="38"/>
      <c r="P182" s="30">
        <v>3.5000000000000003E-2</v>
      </c>
      <c r="Q182" s="60"/>
      <c r="R182" s="63">
        <v>300000</v>
      </c>
      <c r="S182" s="60">
        <f>9.46*6.02+1.76</f>
        <v>58.709199999999996</v>
      </c>
      <c r="W182" s="30">
        <v>70</v>
      </c>
      <c r="X182" s="29">
        <f t="shared" si="53"/>
        <v>58.709199999999996</v>
      </c>
      <c r="Y182" s="63">
        <v>1.8699999999999999E-7</v>
      </c>
      <c r="Z182" s="80">
        <v>600000</v>
      </c>
      <c r="AA182" s="64">
        <v>1</v>
      </c>
      <c r="AB182" s="63">
        <f t="shared" si="54"/>
        <v>600000</v>
      </c>
      <c r="AC182" s="5" t="s">
        <v>2096</v>
      </c>
      <c r="AD182" s="111">
        <f t="shared" si="46"/>
        <v>0.31166666666666665</v>
      </c>
      <c r="AE182" s="29" t="str">
        <f t="shared" si="47"/>
        <v/>
      </c>
      <c r="AF182" s="29">
        <f t="shared" si="48"/>
        <v>0.44253395302554993</v>
      </c>
      <c r="AG182" s="29" t="str">
        <f t="shared" si="49"/>
        <v/>
      </c>
      <c r="AH182" s="29">
        <f t="shared" si="50"/>
        <v>180.76199648183163</v>
      </c>
      <c r="AI182" s="33">
        <f t="shared" si="51"/>
        <v>7.3755658837591651E-7</v>
      </c>
      <c r="AJ182" s="48">
        <f t="shared" si="52"/>
        <v>238.54350898566807</v>
      </c>
    </row>
    <row r="183" spans="1:36" x14ac:dyDescent="0.3">
      <c r="A183" s="30">
        <v>2016</v>
      </c>
      <c r="B183" s="28">
        <v>16.2</v>
      </c>
      <c r="C183" s="30" t="s">
        <v>23</v>
      </c>
      <c r="D183" s="30" t="s">
        <v>27</v>
      </c>
      <c r="E183" s="30">
        <v>2.8000000000000001E-2</v>
      </c>
      <c r="F183" s="28" t="s">
        <v>1396</v>
      </c>
      <c r="G183" s="28" t="s">
        <v>2187</v>
      </c>
      <c r="H183" s="28" t="s">
        <v>1397</v>
      </c>
      <c r="I183" s="28" t="s">
        <v>2551</v>
      </c>
      <c r="J183" s="149" t="str">
        <f t="shared" si="41"/>
        <v>https://doi.org/10.1109/VLSIC.2016.7573521</v>
      </c>
      <c r="K183" s="28" t="s">
        <v>1050</v>
      </c>
      <c r="L183" s="38">
        <v>0.9</v>
      </c>
      <c r="M183" s="38"/>
      <c r="N183" s="38"/>
      <c r="Q183" s="60">
        <f>4.8*6.02+1.76</f>
        <v>30.655999999999999</v>
      </c>
      <c r="R183" s="63">
        <v>5000000000</v>
      </c>
      <c r="S183" s="60">
        <f>4.59*6.02+1.76</f>
        <v>29.3918</v>
      </c>
      <c r="X183" s="29">
        <f t="shared" si="53"/>
        <v>29.3918</v>
      </c>
      <c r="Y183" s="63">
        <v>9.5000000000000001E-2</v>
      </c>
      <c r="Z183" s="80">
        <v>10312500000</v>
      </c>
      <c r="AA183" s="64">
        <v>1</v>
      </c>
      <c r="AB183" s="63">
        <f t="shared" si="54"/>
        <v>10312500000</v>
      </c>
      <c r="AC183" s="5" t="s">
        <v>2096</v>
      </c>
      <c r="AD183" s="111">
        <f t="shared" si="46"/>
        <v>9.212121212121211</v>
      </c>
      <c r="AE183" s="29">
        <f t="shared" si="47"/>
        <v>330.68589007490397</v>
      </c>
      <c r="AF183" s="29">
        <f t="shared" si="48"/>
        <v>382.50046163384428</v>
      </c>
      <c r="AG183" s="29">
        <f t="shared" si="49"/>
        <v>138.00210360605152</v>
      </c>
      <c r="AH183" s="29">
        <f t="shared" si="50"/>
        <v>136.73790360605153</v>
      </c>
      <c r="AI183" s="33">
        <f t="shared" si="51"/>
        <v>3.7090953855403081E-8</v>
      </c>
      <c r="AJ183" s="48">
        <f t="shared" si="52"/>
        <v>236.87154322163136</v>
      </c>
    </row>
    <row r="184" spans="1:36" x14ac:dyDescent="0.3">
      <c r="A184" s="30">
        <v>2016</v>
      </c>
      <c r="B184" s="28">
        <v>19.100000000000001</v>
      </c>
      <c r="C184" s="30" t="s">
        <v>23</v>
      </c>
      <c r="D184" s="30" t="s">
        <v>592</v>
      </c>
      <c r="E184" s="30">
        <v>2.8000000000000001E-2</v>
      </c>
      <c r="F184" s="28" t="s">
        <v>1398</v>
      </c>
      <c r="G184" s="28" t="s">
        <v>2188</v>
      </c>
      <c r="H184" s="28" t="s">
        <v>1399</v>
      </c>
      <c r="I184" s="28" t="s">
        <v>2552</v>
      </c>
      <c r="J184" s="149" t="str">
        <f t="shared" si="41"/>
        <v>https://doi.org/10.1109/VLSIC.2016.7573535</v>
      </c>
      <c r="K184" s="28" t="s">
        <v>1050</v>
      </c>
      <c r="L184" s="38">
        <v>0.95</v>
      </c>
      <c r="M184" s="38">
        <v>0.85</v>
      </c>
      <c r="N184" s="38"/>
      <c r="O184" s="30">
        <f>16*0.016</f>
        <v>0.25600000000000001</v>
      </c>
      <c r="P184" s="30">
        <v>0.03</v>
      </c>
      <c r="Q184" s="60">
        <v>35</v>
      </c>
      <c r="R184" s="63">
        <v>12000000000</v>
      </c>
      <c r="S184" s="60">
        <v>29</v>
      </c>
      <c r="W184" s="30">
        <v>41</v>
      </c>
      <c r="X184" s="29">
        <f t="shared" si="53"/>
        <v>29</v>
      </c>
      <c r="Y184" s="63">
        <v>2.3E-2</v>
      </c>
      <c r="Z184" s="80">
        <v>24000000000</v>
      </c>
      <c r="AA184" s="64">
        <v>1</v>
      </c>
      <c r="AB184" s="63">
        <f t="shared" si="54"/>
        <v>24000000000</v>
      </c>
      <c r="AC184" s="5" t="s">
        <v>2096</v>
      </c>
      <c r="AD184" s="111">
        <f t="shared" si="46"/>
        <v>0.95833333333333326</v>
      </c>
      <c r="AE184" s="29">
        <f t="shared" si="47"/>
        <v>20.861761228121164</v>
      </c>
      <c r="AF184" s="29">
        <f t="shared" si="48"/>
        <v>41.627551465620641</v>
      </c>
      <c r="AG184" s="29">
        <f t="shared" si="49"/>
        <v>152.17453410030032</v>
      </c>
      <c r="AH184" s="29">
        <f t="shared" si="50"/>
        <v>146.17453410030032</v>
      </c>
      <c r="AI184" s="33">
        <f t="shared" si="51"/>
        <v>1.7344813110675267E-9</v>
      </c>
      <c r="AJ184" s="48">
        <f t="shared" si="52"/>
        <v>249.97664651741638</v>
      </c>
    </row>
    <row r="185" spans="1:36" x14ac:dyDescent="0.3">
      <c r="A185" s="30">
        <v>2016</v>
      </c>
      <c r="B185" s="28">
        <v>19.2</v>
      </c>
      <c r="C185" s="30" t="s">
        <v>23</v>
      </c>
      <c r="D185" s="30" t="s">
        <v>592</v>
      </c>
      <c r="E185" s="30">
        <v>1.6E-2</v>
      </c>
      <c r="F185" s="28" t="s">
        <v>1400</v>
      </c>
      <c r="G185" s="28" t="s">
        <v>2189</v>
      </c>
      <c r="H185" s="28" t="s">
        <v>1401</v>
      </c>
      <c r="I185" s="28" t="s">
        <v>2553</v>
      </c>
      <c r="J185" s="149" t="str">
        <f t="shared" si="41"/>
        <v>https://doi.org/10.1109/VLSIC.2016.7573536</v>
      </c>
      <c r="K185" s="28" t="s">
        <v>1050</v>
      </c>
      <c r="L185" s="38">
        <v>0.95</v>
      </c>
      <c r="M185" s="38"/>
      <c r="N185" s="38"/>
      <c r="P185" s="30">
        <v>2.3E-2</v>
      </c>
      <c r="Q185" s="60">
        <v>55</v>
      </c>
      <c r="R185" s="63">
        <v>700000000</v>
      </c>
      <c r="S185" s="60">
        <v>50.3</v>
      </c>
      <c r="W185" s="30">
        <v>61</v>
      </c>
      <c r="X185" s="29">
        <f t="shared" si="53"/>
        <v>50.3</v>
      </c>
      <c r="Y185" s="63">
        <v>8.2000000000000007E-3</v>
      </c>
      <c r="Z185" s="80">
        <v>1600000000</v>
      </c>
      <c r="AA185" s="64">
        <v>1</v>
      </c>
      <c r="AB185" s="63">
        <f t="shared" si="54"/>
        <v>1600000000</v>
      </c>
      <c r="AC185" s="5" t="s">
        <v>2096</v>
      </c>
      <c r="AD185" s="111">
        <f t="shared" si="46"/>
        <v>5.125</v>
      </c>
      <c r="AE185" s="29">
        <f t="shared" si="47"/>
        <v>11.153947409096943</v>
      </c>
      <c r="AF185" s="29">
        <f t="shared" si="48"/>
        <v>19.162493078800647</v>
      </c>
      <c r="AG185" s="29">
        <f t="shared" si="49"/>
        <v>164.89276134608227</v>
      </c>
      <c r="AH185" s="29">
        <f t="shared" si="50"/>
        <v>160.19276134608225</v>
      </c>
      <c r="AI185" s="33">
        <f t="shared" si="51"/>
        <v>1.1976558174250405E-8</v>
      </c>
      <c r="AJ185" s="48">
        <f t="shared" si="52"/>
        <v>252.2339611726415</v>
      </c>
    </row>
    <row r="186" spans="1:36" x14ac:dyDescent="0.3">
      <c r="A186" s="30">
        <v>2016</v>
      </c>
      <c r="B186" s="28">
        <v>19.3</v>
      </c>
      <c r="C186" s="30" t="s">
        <v>23</v>
      </c>
      <c r="D186" s="30" t="s">
        <v>260</v>
      </c>
      <c r="E186" s="30">
        <v>2.8000000000000001E-2</v>
      </c>
      <c r="F186" s="28" t="s">
        <v>1402</v>
      </c>
      <c r="G186" s="28" t="s">
        <v>1403</v>
      </c>
      <c r="H186" s="28" t="s">
        <v>1404</v>
      </c>
      <c r="I186" s="28" t="s">
        <v>2695</v>
      </c>
      <c r="J186" s="149" t="str">
        <f t="shared" si="41"/>
        <v>https://doi.org/10.1109/VLSIC.2016.7573537</v>
      </c>
      <c r="K186" s="28" t="s">
        <v>1050</v>
      </c>
      <c r="L186" s="38"/>
      <c r="M186" s="38"/>
      <c r="N186" s="38"/>
      <c r="Q186" s="60">
        <v>63</v>
      </c>
      <c r="R186" s="63">
        <v>2000000000</v>
      </c>
      <c r="S186" s="60">
        <v>58</v>
      </c>
      <c r="W186" s="30">
        <v>70</v>
      </c>
      <c r="X186" s="29">
        <f t="shared" si="53"/>
        <v>58</v>
      </c>
      <c r="Y186" s="63">
        <v>2.2999999999999998</v>
      </c>
      <c r="Z186" s="80">
        <v>5000000000</v>
      </c>
      <c r="AA186" s="64">
        <v>1</v>
      </c>
      <c r="AB186" s="63">
        <f t="shared" si="54"/>
        <v>5000000000</v>
      </c>
      <c r="AC186" s="5" t="s">
        <v>2096</v>
      </c>
      <c r="AD186" s="111">
        <f t="shared" si="46"/>
        <v>459.99999999999994</v>
      </c>
      <c r="AE186" s="29">
        <f t="shared" si="47"/>
        <v>398.52235960990873</v>
      </c>
      <c r="AF186" s="29">
        <f t="shared" si="48"/>
        <v>708.72476142827838</v>
      </c>
      <c r="AG186" s="29">
        <f t="shared" si="49"/>
        <v>153.36212172654444</v>
      </c>
      <c r="AH186" s="29">
        <f t="shared" si="50"/>
        <v>148.36212172654444</v>
      </c>
      <c r="AI186" s="33">
        <f t="shared" si="51"/>
        <v>1.4174495228565568E-7</v>
      </c>
      <c r="AJ186" s="48">
        <f t="shared" si="52"/>
        <v>245.35182176990463</v>
      </c>
    </row>
    <row r="187" spans="1:36" x14ac:dyDescent="0.3">
      <c r="A187" s="31">
        <v>2017</v>
      </c>
      <c r="B187" s="28">
        <v>3.1</v>
      </c>
      <c r="C187" s="30" t="s">
        <v>22</v>
      </c>
      <c r="D187" s="30" t="s">
        <v>30</v>
      </c>
      <c r="E187" s="30">
        <v>2.8000000000000001E-2</v>
      </c>
      <c r="F187" s="28" t="s">
        <v>1461</v>
      </c>
      <c r="G187" s="28" t="s">
        <v>1468</v>
      </c>
      <c r="H187" s="28" t="s">
        <v>1462</v>
      </c>
      <c r="I187" s="28" t="s">
        <v>2554</v>
      </c>
      <c r="J187" s="149" t="str">
        <f t="shared" si="41"/>
        <v>https://doi.org/10.23919/VLSIC.2017.8008537</v>
      </c>
      <c r="K187" s="28" t="s">
        <v>1050</v>
      </c>
      <c r="L187" s="38">
        <v>1.2</v>
      </c>
      <c r="M187" s="38">
        <v>1.1000000000000001</v>
      </c>
      <c r="N187" s="38"/>
      <c r="P187" s="30">
        <v>0.1</v>
      </c>
      <c r="Q187" s="60"/>
      <c r="R187" s="63">
        <v>10000000</v>
      </c>
      <c r="S187" s="30">
        <v>74.400000000000006</v>
      </c>
      <c r="U187" s="30">
        <v>80.8</v>
      </c>
      <c r="W187" s="30">
        <v>94.2</v>
      </c>
      <c r="X187" s="29">
        <f t="shared" si="53"/>
        <v>74.400000000000006</v>
      </c>
      <c r="Y187" s="63">
        <v>4.1999999999999997E-3</v>
      </c>
      <c r="Z187" s="80">
        <v>320000000</v>
      </c>
      <c r="AA187" s="30">
        <v>16</v>
      </c>
      <c r="AB187" s="63">
        <f t="shared" si="54"/>
        <v>20000000</v>
      </c>
      <c r="AC187" s="5" t="s">
        <v>2096</v>
      </c>
      <c r="AD187" s="111">
        <f t="shared" si="46"/>
        <v>210</v>
      </c>
      <c r="AE187" s="29" t="str">
        <f t="shared" si="47"/>
        <v/>
      </c>
      <c r="AF187" s="29">
        <f t="shared" si="48"/>
        <v>48.961797536193735</v>
      </c>
      <c r="AG187" s="29" t="str">
        <f t="shared" si="49"/>
        <v/>
      </c>
      <c r="AH187" s="29">
        <f t="shared" si="50"/>
        <v>168.16750709602098</v>
      </c>
      <c r="AI187" s="63">
        <f t="shared" si="51"/>
        <v>2.4480898768096869E-6</v>
      </c>
      <c r="AJ187" s="60">
        <f t="shared" si="52"/>
        <v>241.1778070526608</v>
      </c>
    </row>
    <row r="188" spans="1:36" x14ac:dyDescent="0.3">
      <c r="A188" s="30">
        <v>2017</v>
      </c>
      <c r="B188" s="28">
        <v>3.2</v>
      </c>
      <c r="C188" s="30" t="s">
        <v>22</v>
      </c>
      <c r="D188" s="30" t="s">
        <v>1302</v>
      </c>
      <c r="E188" s="30">
        <v>0.04</v>
      </c>
      <c r="F188" s="28" t="s">
        <v>2190</v>
      </c>
      <c r="G188" s="28" t="s">
        <v>2191</v>
      </c>
      <c r="H188" s="28" t="s">
        <v>1463</v>
      </c>
      <c r="I188" s="28" t="s">
        <v>2555</v>
      </c>
      <c r="J188" s="149" t="str">
        <f t="shared" si="41"/>
        <v>https://doi.org/10.23919/VLSIC.2017.8008538</v>
      </c>
      <c r="K188" s="28" t="s">
        <v>1050</v>
      </c>
      <c r="L188" s="38"/>
      <c r="M188" s="38"/>
      <c r="N188" s="38"/>
      <c r="P188" s="30">
        <v>2.8000000000000001E-2</v>
      </c>
      <c r="Q188" s="60"/>
      <c r="R188" s="63">
        <v>6000000</v>
      </c>
      <c r="S188" s="60">
        <v>68.599999999999994</v>
      </c>
      <c r="U188" s="30">
        <v>70.8</v>
      </c>
      <c r="W188" s="30">
        <v>84.7</v>
      </c>
      <c r="X188" s="29">
        <f t="shared" si="53"/>
        <v>68.599999999999994</v>
      </c>
      <c r="Y188" s="63">
        <v>5.2400000000000005E-4</v>
      </c>
      <c r="Z188" s="80">
        <v>330000000</v>
      </c>
      <c r="AA188" s="64">
        <v>27.5</v>
      </c>
      <c r="AB188" s="63">
        <f t="shared" si="54"/>
        <v>12000000</v>
      </c>
      <c r="AC188" s="5" t="s">
        <v>2096</v>
      </c>
      <c r="AD188" s="111">
        <f t="shared" si="46"/>
        <v>43.666666666666671</v>
      </c>
      <c r="AE188" s="29" t="str">
        <f t="shared" si="47"/>
        <v/>
      </c>
      <c r="AF188" s="29">
        <f t="shared" si="48"/>
        <v>19.852582038929121</v>
      </c>
      <c r="AG188" s="29" t="str">
        <f t="shared" si="49"/>
        <v/>
      </c>
      <c r="AH188" s="29">
        <f t="shared" si="50"/>
        <v>169.18819963399918</v>
      </c>
      <c r="AI188" s="63">
        <f t="shared" ref="AI188:AI203" si="55">AF188/AB188</f>
        <v>1.6543818365774268E-6</v>
      </c>
      <c r="AJ188" s="60">
        <f t="shared" ref="AJ188:AJ203" si="56">AH188+10*LOG10(AB188)</f>
        <v>239.98001209447543</v>
      </c>
    </row>
    <row r="189" spans="1:36" x14ac:dyDescent="0.3">
      <c r="A189" s="30">
        <v>2017</v>
      </c>
      <c r="B189" s="28">
        <v>3.3</v>
      </c>
      <c r="C189" s="30" t="s">
        <v>22</v>
      </c>
      <c r="D189" s="30" t="s">
        <v>30</v>
      </c>
      <c r="E189" s="30">
        <v>0.04</v>
      </c>
      <c r="F189" s="28" t="s">
        <v>1464</v>
      </c>
      <c r="G189" s="28" t="s">
        <v>1469</v>
      </c>
      <c r="H189" s="28" t="s">
        <v>1465</v>
      </c>
      <c r="I189" s="28" t="s">
        <v>2556</v>
      </c>
      <c r="J189" s="149" t="str">
        <f t="shared" si="41"/>
        <v>https://doi.org/10.23919/VLSIC.2017.8008539</v>
      </c>
      <c r="K189" s="28" t="s">
        <v>1050</v>
      </c>
      <c r="L189" s="38">
        <v>1.95</v>
      </c>
      <c r="M189" s="38">
        <v>1.1000000000000001</v>
      </c>
      <c r="N189" s="38">
        <v>-0.55000000000000004</v>
      </c>
      <c r="P189" s="30">
        <v>0.45</v>
      </c>
      <c r="Q189" s="60">
        <v>66.5</v>
      </c>
      <c r="R189" s="63">
        <v>100000000</v>
      </c>
      <c r="S189" s="60">
        <v>64</v>
      </c>
      <c r="T189" s="30">
        <v>66.599999999999994</v>
      </c>
      <c r="U189" s="30">
        <v>70</v>
      </c>
      <c r="W189" s="30">
        <v>83.3</v>
      </c>
      <c r="X189" s="29">
        <f t="shared" si="53"/>
        <v>64</v>
      </c>
      <c r="Y189" s="63">
        <v>0.23300000000000001</v>
      </c>
      <c r="Z189" s="80">
        <v>5000000000</v>
      </c>
      <c r="AA189" s="64">
        <f>5000/312</f>
        <v>16.025641025641026</v>
      </c>
      <c r="AB189" s="63">
        <f t="shared" si="54"/>
        <v>312000000</v>
      </c>
      <c r="AC189" s="5" t="s">
        <v>2096</v>
      </c>
      <c r="AD189" s="111">
        <f t="shared" si="46"/>
        <v>746.79487179487182</v>
      </c>
      <c r="AE189" s="29">
        <f t="shared" si="47"/>
        <v>432.39309408419808</v>
      </c>
      <c r="AF189" s="29">
        <f t="shared" si="48"/>
        <v>576.6219968299647</v>
      </c>
      <c r="AG189" s="29">
        <f t="shared" si="49"/>
        <v>154.75768677328443</v>
      </c>
      <c r="AH189" s="29">
        <f t="shared" si="50"/>
        <v>152.25768677328443</v>
      </c>
      <c r="AI189" s="63">
        <f t="shared" si="55"/>
        <v>1.8481474257370664E-6</v>
      </c>
      <c r="AJ189" s="60">
        <f t="shared" si="56"/>
        <v>237.19923271346886</v>
      </c>
    </row>
    <row r="190" spans="1:36" x14ac:dyDescent="0.3">
      <c r="A190" s="30">
        <v>2017</v>
      </c>
      <c r="B190" s="28">
        <v>3.4</v>
      </c>
      <c r="C190" s="30" t="s">
        <v>22</v>
      </c>
      <c r="D190" s="30" t="s">
        <v>30</v>
      </c>
      <c r="E190" s="30">
        <v>6.5000000000000002E-2</v>
      </c>
      <c r="F190" s="28" t="s">
        <v>1466</v>
      </c>
      <c r="G190" s="28" t="s">
        <v>2192</v>
      </c>
      <c r="H190" s="28" t="s">
        <v>1467</v>
      </c>
      <c r="I190" s="28" t="s">
        <v>2557</v>
      </c>
      <c r="J190" s="149" t="str">
        <f t="shared" si="41"/>
        <v>https://doi.org/10.23919/VLSIC.2017.8008540</v>
      </c>
      <c r="K190" s="28" t="s">
        <v>1050</v>
      </c>
      <c r="L190" s="38">
        <v>1.2</v>
      </c>
      <c r="M190" s="38"/>
      <c r="N190" s="38"/>
      <c r="P190" s="30">
        <v>0.27</v>
      </c>
      <c r="Q190" s="60"/>
      <c r="R190" s="63">
        <v>5000</v>
      </c>
      <c r="S190" s="60">
        <v>88.5</v>
      </c>
      <c r="T190" s="30">
        <v>90.1</v>
      </c>
      <c r="U190" s="30">
        <v>93.1</v>
      </c>
      <c r="W190" s="30">
        <v>100.5</v>
      </c>
      <c r="X190" s="29">
        <f t="shared" si="53"/>
        <v>88.5</v>
      </c>
      <c r="Y190" s="63">
        <v>5.5000000000000002E-5</v>
      </c>
      <c r="Z190" s="80">
        <v>8000000</v>
      </c>
      <c r="AA190" s="64">
        <v>200</v>
      </c>
      <c r="AB190" s="63">
        <f t="shared" si="54"/>
        <v>40000</v>
      </c>
      <c r="AC190" s="5" t="s">
        <v>2096</v>
      </c>
      <c r="AD190" s="111">
        <f t="shared" si="46"/>
        <v>1375</v>
      </c>
      <c r="AE190" s="29" t="str">
        <f t="shared" si="47"/>
        <v/>
      </c>
      <c r="AF190" s="29">
        <f t="shared" si="48"/>
        <v>63.222330609908852</v>
      </c>
      <c r="AG190" s="29" t="str">
        <f t="shared" si="49"/>
        <v/>
      </c>
      <c r="AH190" s="29">
        <f t="shared" si="50"/>
        <v>174.10667306169736</v>
      </c>
      <c r="AI190" s="63">
        <f t="shared" si="55"/>
        <v>1.5805582652477213E-3</v>
      </c>
      <c r="AJ190" s="60">
        <f t="shared" si="56"/>
        <v>220.12727297497699</v>
      </c>
    </row>
    <row r="191" spans="1:36" x14ac:dyDescent="0.3">
      <c r="A191" s="30">
        <v>2017</v>
      </c>
      <c r="B191" s="28">
        <v>8.1</v>
      </c>
      <c r="C191" s="30" t="s">
        <v>23</v>
      </c>
      <c r="D191" s="30" t="s">
        <v>1148</v>
      </c>
      <c r="E191" s="30">
        <v>1.6E-2</v>
      </c>
      <c r="F191" s="28" t="s">
        <v>1471</v>
      </c>
      <c r="G191" s="28" t="s">
        <v>1479</v>
      </c>
      <c r="H191" s="28" t="s">
        <v>1475</v>
      </c>
      <c r="I191" s="28" t="s">
        <v>2558</v>
      </c>
      <c r="J191" s="149" t="str">
        <f t="shared" si="41"/>
        <v>https://doi.org/10.23919/VLSIC.2017.8008559</v>
      </c>
      <c r="K191" s="28" t="s">
        <v>1050</v>
      </c>
      <c r="L191" s="38">
        <v>0.8</v>
      </c>
      <c r="M191" s="38"/>
      <c r="N191" s="38"/>
      <c r="O191" s="30">
        <v>4</v>
      </c>
      <c r="P191" s="30">
        <f>0.35*0.325</f>
        <v>0.11374999999999999</v>
      </c>
      <c r="Q191" s="60">
        <v>69.3</v>
      </c>
      <c r="R191" s="63">
        <v>150000000</v>
      </c>
      <c r="S191" s="60">
        <v>64</v>
      </c>
      <c r="W191" s="30">
        <v>73.599999999999994</v>
      </c>
      <c r="X191" s="29">
        <f t="shared" si="53"/>
        <v>64</v>
      </c>
      <c r="Y191" s="63">
        <v>3.5999999999999999E-3</v>
      </c>
      <c r="Z191" s="80">
        <v>303000000</v>
      </c>
      <c r="AA191" s="64">
        <v>1</v>
      </c>
      <c r="AB191" s="63">
        <f t="shared" si="54"/>
        <v>303000000</v>
      </c>
      <c r="AC191" s="5" t="s">
        <v>2096</v>
      </c>
      <c r="AD191" s="111">
        <f t="shared" si="46"/>
        <v>11.881188118811881</v>
      </c>
      <c r="AE191" s="29">
        <f t="shared" si="47"/>
        <v>4.9833724031563751</v>
      </c>
      <c r="AF191" s="29">
        <f t="shared" si="48"/>
        <v>9.1738102075017522</v>
      </c>
      <c r="AG191" s="29">
        <f t="shared" si="49"/>
        <v>175.54110132071037</v>
      </c>
      <c r="AH191" s="29">
        <f t="shared" si="50"/>
        <v>170.24110132071036</v>
      </c>
      <c r="AI191" s="63">
        <f t="shared" si="55"/>
        <v>3.0276601344890272E-8</v>
      </c>
      <c r="AJ191" s="60">
        <f t="shared" si="56"/>
        <v>255.0555276057334</v>
      </c>
    </row>
    <row r="192" spans="1:36" x14ac:dyDescent="0.3">
      <c r="A192" s="30">
        <v>2017</v>
      </c>
      <c r="B192" s="28">
        <v>8.1999999999999993</v>
      </c>
      <c r="C192" s="30" t="s">
        <v>23</v>
      </c>
      <c r="D192" s="30" t="s">
        <v>26</v>
      </c>
      <c r="E192" s="30">
        <v>2.8000000000000001E-2</v>
      </c>
      <c r="F192" s="28" t="s">
        <v>1472</v>
      </c>
      <c r="G192" s="28" t="s">
        <v>1480</v>
      </c>
      <c r="H192" s="28" t="s">
        <v>1476</v>
      </c>
      <c r="I192" s="28" t="s">
        <v>2559</v>
      </c>
      <c r="J192" s="149" t="str">
        <f t="shared" si="41"/>
        <v>https://doi.org/10.23919/VLSIC.2017.8008560</v>
      </c>
      <c r="K192" s="28" t="s">
        <v>1050</v>
      </c>
      <c r="L192" s="38">
        <v>1</v>
      </c>
      <c r="M192" s="38"/>
      <c r="N192" s="38"/>
      <c r="O192" s="30">
        <v>0.25600000000000001</v>
      </c>
      <c r="P192" s="30">
        <v>1.4999999999999999E-2</v>
      </c>
      <c r="Q192" s="60">
        <v>56.7</v>
      </c>
      <c r="R192" s="63">
        <v>251000000</v>
      </c>
      <c r="S192" s="60">
        <v>56.6</v>
      </c>
      <c r="W192" s="30">
        <v>69.2</v>
      </c>
      <c r="X192" s="29">
        <f t="shared" si="53"/>
        <v>56.6</v>
      </c>
      <c r="Y192" s="63">
        <v>6.0000000000000001E-3</v>
      </c>
      <c r="Z192" s="80">
        <v>500000000</v>
      </c>
      <c r="AA192" s="64">
        <v>1</v>
      </c>
      <c r="AB192" s="63">
        <f t="shared" si="54"/>
        <v>500000000</v>
      </c>
      <c r="AC192" s="5" t="s">
        <v>2096</v>
      </c>
      <c r="AD192" s="111">
        <f t="shared" si="46"/>
        <v>12</v>
      </c>
      <c r="AE192" s="29">
        <f t="shared" si="47"/>
        <v>21.473730496359654</v>
      </c>
      <c r="AF192" s="29">
        <f t="shared" si="48"/>
        <v>21.722409498576997</v>
      </c>
      <c r="AG192" s="29">
        <f t="shared" si="49"/>
        <v>162.89788758288393</v>
      </c>
      <c r="AH192" s="29">
        <f t="shared" si="50"/>
        <v>162.79788758288393</v>
      </c>
      <c r="AI192" s="63">
        <f t="shared" si="55"/>
        <v>4.3444818997153997E-8</v>
      </c>
      <c r="AJ192" s="60">
        <f t="shared" si="56"/>
        <v>249.78758762624412</v>
      </c>
    </row>
    <row r="193" spans="1:36" ht="12" customHeight="1" x14ac:dyDescent="0.3">
      <c r="A193" s="30">
        <v>2017</v>
      </c>
      <c r="B193" s="28">
        <v>8.3000000000000007</v>
      </c>
      <c r="C193" s="30" t="s">
        <v>23</v>
      </c>
      <c r="D193" s="30" t="s">
        <v>26</v>
      </c>
      <c r="E193" s="30">
        <v>2.8000000000000001E-2</v>
      </c>
      <c r="F193" s="28" t="s">
        <v>1473</v>
      </c>
      <c r="G193" s="28" t="s">
        <v>1481</v>
      </c>
      <c r="H193" s="28" t="s">
        <v>1477</v>
      </c>
      <c r="I193" s="28" t="s">
        <v>2560</v>
      </c>
      <c r="J193" s="149" t="str">
        <f t="shared" si="41"/>
        <v>https://doi.org/10.23919/VLSIC.2017.8008561</v>
      </c>
      <c r="K193" s="28" t="s">
        <v>1050</v>
      </c>
      <c r="L193" s="38">
        <v>0.9</v>
      </c>
      <c r="M193" s="38"/>
      <c r="N193" s="38"/>
      <c r="O193" s="30">
        <v>0.2</v>
      </c>
      <c r="P193" s="30">
        <v>0.62</v>
      </c>
      <c r="Q193" s="60">
        <v>58.1</v>
      </c>
      <c r="R193" s="63">
        <v>293000000</v>
      </c>
      <c r="S193" s="60">
        <v>56.3</v>
      </c>
      <c r="W193" s="30">
        <v>69.2</v>
      </c>
      <c r="X193" s="29">
        <f t="shared" si="53"/>
        <v>56.3</v>
      </c>
      <c r="Y193" s="63">
        <v>1.4200000000000001E-2</v>
      </c>
      <c r="Z193" s="80">
        <v>600000000</v>
      </c>
      <c r="AA193" s="64">
        <v>1</v>
      </c>
      <c r="AB193" s="63">
        <f t="shared" si="54"/>
        <v>600000000</v>
      </c>
      <c r="AC193" s="5" t="s">
        <v>2096</v>
      </c>
      <c r="AD193" s="111">
        <f t="shared" si="46"/>
        <v>23.666666666666668</v>
      </c>
      <c r="AE193" s="29">
        <f t="shared" si="47"/>
        <v>36.045941244449629</v>
      </c>
      <c r="AF193" s="29">
        <f t="shared" si="48"/>
        <v>44.34711164951122</v>
      </c>
      <c r="AG193" s="29">
        <f t="shared" si="49"/>
        <v>161.34832910336607</v>
      </c>
      <c r="AH193" s="29">
        <f t="shared" si="50"/>
        <v>159.54832910336609</v>
      </c>
      <c r="AI193" s="63">
        <f t="shared" si="55"/>
        <v>7.3911852749185368E-8</v>
      </c>
      <c r="AJ193" s="60">
        <f t="shared" si="56"/>
        <v>247.32984160720252</v>
      </c>
    </row>
    <row r="194" spans="1:36" x14ac:dyDescent="0.3">
      <c r="A194" s="30">
        <v>2017</v>
      </c>
      <c r="B194" s="28">
        <v>8.4</v>
      </c>
      <c r="C194" s="30" t="s">
        <v>23</v>
      </c>
      <c r="D194" s="30" t="s">
        <v>745</v>
      </c>
      <c r="E194" s="30">
        <v>0.04</v>
      </c>
      <c r="F194" s="28" t="s">
        <v>1474</v>
      </c>
      <c r="G194" s="28" t="s">
        <v>1482</v>
      </c>
      <c r="H194" s="28" t="s">
        <v>1478</v>
      </c>
      <c r="I194" s="28" t="s">
        <v>2561</v>
      </c>
      <c r="J194" s="149" t="str">
        <f t="shared" si="41"/>
        <v>https://doi.org/10.23919/VLSIC.2017.8008562</v>
      </c>
      <c r="K194" s="28" t="s">
        <v>1050</v>
      </c>
      <c r="L194" s="38">
        <v>1.1000000000000001</v>
      </c>
      <c r="M194" s="38"/>
      <c r="N194" s="38"/>
      <c r="O194" s="30">
        <f>128*0.032</f>
        <v>4.0960000000000001</v>
      </c>
      <c r="P194" s="30">
        <v>6.8000000000000005E-2</v>
      </c>
      <c r="Q194" s="60"/>
      <c r="R194" s="63">
        <v>5900000</v>
      </c>
      <c r="S194" s="60">
        <v>73.2</v>
      </c>
      <c r="T194" s="30">
        <v>73.3</v>
      </c>
      <c r="W194" s="30">
        <v>90.4</v>
      </c>
      <c r="X194" s="29">
        <f t="shared" si="53"/>
        <v>73.2</v>
      </c>
      <c r="Y194" s="63">
        <v>2.3E-3</v>
      </c>
      <c r="Z194" s="80">
        <v>100000000</v>
      </c>
      <c r="AA194" s="64">
        <v>1</v>
      </c>
      <c r="AB194" s="63">
        <f t="shared" si="54"/>
        <v>100000000</v>
      </c>
      <c r="AC194" s="5" t="s">
        <v>2096</v>
      </c>
      <c r="AD194" s="111">
        <f t="shared" si="46"/>
        <v>22.999999999999996</v>
      </c>
      <c r="AE194" s="29" t="str">
        <f t="shared" si="47"/>
        <v/>
      </c>
      <c r="AF194" s="29">
        <f t="shared" si="48"/>
        <v>6.1570385700136407</v>
      </c>
      <c r="AG194" s="29" t="str">
        <f t="shared" si="49"/>
        <v/>
      </c>
      <c r="AH194" s="29">
        <f t="shared" si="50"/>
        <v>176.57242168318425</v>
      </c>
      <c r="AI194" s="63">
        <f t="shared" si="55"/>
        <v>6.1570385700136412E-8</v>
      </c>
      <c r="AJ194" s="60">
        <f t="shared" si="56"/>
        <v>256.57242168318425</v>
      </c>
    </row>
    <row r="195" spans="1:36" x14ac:dyDescent="0.3">
      <c r="A195" s="30">
        <v>2017</v>
      </c>
      <c r="B195" s="28">
        <v>18.100000000000001</v>
      </c>
      <c r="C195" s="30" t="s">
        <v>22</v>
      </c>
      <c r="D195" s="30" t="s">
        <v>31</v>
      </c>
      <c r="E195" s="30">
        <v>1.4E-2</v>
      </c>
      <c r="F195" s="28" t="s">
        <v>1483</v>
      </c>
      <c r="G195" s="28" t="s">
        <v>1491</v>
      </c>
      <c r="H195" s="28" t="s">
        <v>1490</v>
      </c>
      <c r="I195" s="28" t="s">
        <v>2562</v>
      </c>
      <c r="J195" s="149" t="str">
        <f t="shared" ref="J195:J258" si="57">IF(I195&lt;&gt;"?", HYPERLINK(CONCATENATE("https://doi.org/",I195)), "")</f>
        <v>https://doi.org/10.23919/VLSIC.2017.8008491</v>
      </c>
      <c r="K195" s="28" t="s">
        <v>1050</v>
      </c>
      <c r="L195" s="38">
        <v>1</v>
      </c>
      <c r="M195" s="38"/>
      <c r="N195" s="38"/>
      <c r="P195" s="30">
        <v>4.3E-3</v>
      </c>
      <c r="Q195" s="60"/>
      <c r="R195" s="63">
        <v>20000000</v>
      </c>
      <c r="S195" s="60">
        <v>69.099999999999994</v>
      </c>
      <c r="U195" s="30">
        <v>72</v>
      </c>
      <c r="W195" s="30">
        <v>78</v>
      </c>
      <c r="X195" s="29">
        <f t="shared" si="53"/>
        <v>69.099999999999994</v>
      </c>
      <c r="Y195" s="63">
        <v>2.3999999999999998E-3</v>
      </c>
      <c r="Z195" s="80">
        <v>300000000</v>
      </c>
      <c r="AA195" s="64">
        <v>6</v>
      </c>
      <c r="AB195" s="63">
        <f t="shared" si="54"/>
        <v>50000000</v>
      </c>
      <c r="AC195" s="5" t="s">
        <v>2096</v>
      </c>
      <c r="AD195" s="111">
        <f t="shared" si="46"/>
        <v>47.999999999999993</v>
      </c>
      <c r="AE195" s="29" t="str">
        <f t="shared" si="47"/>
        <v/>
      </c>
      <c r="AF195" s="29">
        <f t="shared" si="48"/>
        <v>20.601825507592906</v>
      </c>
      <c r="AG195" s="29" t="str">
        <f t="shared" si="49"/>
        <v/>
      </c>
      <c r="AH195" s="29">
        <f t="shared" si="50"/>
        <v>169.27728766960431</v>
      </c>
      <c r="AI195" s="63">
        <f t="shared" si="55"/>
        <v>4.120365101518581E-7</v>
      </c>
      <c r="AJ195" s="60">
        <f t="shared" si="56"/>
        <v>246.26698771296449</v>
      </c>
    </row>
    <row r="196" spans="1:36" x14ac:dyDescent="0.3">
      <c r="A196" s="30">
        <v>2017</v>
      </c>
      <c r="B196" s="28">
        <v>18.2</v>
      </c>
      <c r="C196" s="30" t="s">
        <v>22</v>
      </c>
      <c r="D196" s="30" t="s">
        <v>31</v>
      </c>
      <c r="E196" s="30">
        <v>0.04</v>
      </c>
      <c r="F196" s="28" t="s">
        <v>1484</v>
      </c>
      <c r="G196" s="28" t="s">
        <v>1492</v>
      </c>
      <c r="H196" s="28" t="s">
        <v>1489</v>
      </c>
      <c r="I196" s="28" t="s">
        <v>2563</v>
      </c>
      <c r="J196" s="149" t="str">
        <f t="shared" si="57"/>
        <v>https://doi.org/10.23919/VLSIC.2017.8008492</v>
      </c>
      <c r="K196" s="28" t="s">
        <v>1050</v>
      </c>
      <c r="L196" s="38">
        <v>1.1000000000000001</v>
      </c>
      <c r="M196" s="38"/>
      <c r="N196" s="38"/>
      <c r="P196" s="30">
        <v>0.04</v>
      </c>
      <c r="Q196" s="60"/>
      <c r="R196" s="63">
        <v>262000</v>
      </c>
      <c r="S196" s="60">
        <v>80</v>
      </c>
      <c r="T196" s="30">
        <v>83</v>
      </c>
      <c r="X196" s="29">
        <f t="shared" si="53"/>
        <v>80</v>
      </c>
      <c r="Y196" s="63">
        <v>1.4300000000000001E-4</v>
      </c>
      <c r="Z196" s="80">
        <v>8400000</v>
      </c>
      <c r="AA196" s="64">
        <v>16</v>
      </c>
      <c r="AB196" s="63">
        <f t="shared" si="54"/>
        <v>525000</v>
      </c>
      <c r="AC196" s="5" t="s">
        <v>2096</v>
      </c>
      <c r="AD196" s="111">
        <f t="shared" si="46"/>
        <v>272.38095238095235</v>
      </c>
      <c r="AE196" s="29" t="str">
        <f t="shared" si="47"/>
        <v/>
      </c>
      <c r="AF196" s="29">
        <f t="shared" si="48"/>
        <v>33.326283931737464</v>
      </c>
      <c r="AG196" s="29" t="str">
        <f t="shared" si="49"/>
        <v/>
      </c>
      <c r="AH196" s="29">
        <f t="shared" si="50"/>
        <v>172.63793270276915</v>
      </c>
      <c r="AI196" s="63">
        <f t="shared" si="55"/>
        <v>6.3478636060452319E-5</v>
      </c>
      <c r="AJ196" s="60">
        <f t="shared" si="56"/>
        <v>229.8395257368287</v>
      </c>
    </row>
    <row r="197" spans="1:36" x14ac:dyDescent="0.3">
      <c r="A197" s="30">
        <v>2017</v>
      </c>
      <c r="B197" s="28">
        <v>18.3</v>
      </c>
      <c r="C197" s="30" t="s">
        <v>23</v>
      </c>
      <c r="D197" s="30" t="s">
        <v>31</v>
      </c>
      <c r="E197" s="30">
        <v>0.04</v>
      </c>
      <c r="F197" s="28" t="s">
        <v>1485</v>
      </c>
      <c r="G197" s="28" t="s">
        <v>1493</v>
      </c>
      <c r="H197" s="28" t="s">
        <v>1488</v>
      </c>
      <c r="I197" s="28" t="s">
        <v>2696</v>
      </c>
      <c r="J197" s="149" t="str">
        <f t="shared" si="57"/>
        <v>https://doi.org/10.23919/VLSIC.2017.8008493</v>
      </c>
      <c r="K197" s="28" t="s">
        <v>1050</v>
      </c>
      <c r="L197" s="38">
        <v>0.7</v>
      </c>
      <c r="M197" s="38"/>
      <c r="N197" s="38"/>
      <c r="P197" s="30">
        <v>1.4E-2</v>
      </c>
      <c r="Q197" s="60"/>
      <c r="R197" s="63">
        <v>100000</v>
      </c>
      <c r="S197" s="60">
        <v>69.099999999999994</v>
      </c>
      <c r="T197" s="30">
        <v>70.56</v>
      </c>
      <c r="V197" s="30">
        <v>74.430000000000007</v>
      </c>
      <c r="W197" s="30">
        <v>69.099999999999994</v>
      </c>
      <c r="X197" s="29">
        <f t="shared" si="53"/>
        <v>69.099999999999994</v>
      </c>
      <c r="Y197" s="63">
        <v>5.0999999999999999E-7</v>
      </c>
      <c r="Z197" s="80">
        <v>200000</v>
      </c>
      <c r="AA197" s="64">
        <v>1</v>
      </c>
      <c r="AB197" s="63">
        <f t="shared" si="54"/>
        <v>200000</v>
      </c>
      <c r="AC197" s="5" t="s">
        <v>2096</v>
      </c>
      <c r="AD197" s="111">
        <f t="shared" si="46"/>
        <v>2.5499999999999998</v>
      </c>
      <c r="AE197" s="29" t="str">
        <f t="shared" si="47"/>
        <v/>
      </c>
      <c r="AF197" s="29">
        <f t="shared" si="48"/>
        <v>1.0944719800908733</v>
      </c>
      <c r="AG197" s="29" t="str">
        <f t="shared" si="49"/>
        <v/>
      </c>
      <c r="AH197" s="29">
        <f t="shared" si="50"/>
        <v>182.02429823902062</v>
      </c>
      <c r="AI197" s="63">
        <f t="shared" si="55"/>
        <v>5.4723599004543664E-6</v>
      </c>
      <c r="AJ197" s="60">
        <f t="shared" si="56"/>
        <v>235.03459819566044</v>
      </c>
    </row>
    <row r="198" spans="1:36" x14ac:dyDescent="0.3">
      <c r="A198" s="30">
        <v>2017</v>
      </c>
      <c r="B198" s="28">
        <v>18.399999999999999</v>
      </c>
      <c r="C198" s="30" t="s">
        <v>23</v>
      </c>
      <c r="D198" s="30" t="s">
        <v>31</v>
      </c>
      <c r="E198" s="30">
        <v>0.04</v>
      </c>
      <c r="F198" s="28" t="s">
        <v>1486</v>
      </c>
      <c r="G198" s="28" t="s">
        <v>2193</v>
      </c>
      <c r="H198" s="28" t="s">
        <v>1487</v>
      </c>
      <c r="I198" s="28" t="s">
        <v>2564</v>
      </c>
      <c r="J198" s="149" t="str">
        <f t="shared" si="57"/>
        <v>https://doi.org/10.23919/VLSIC.2017.8008494</v>
      </c>
      <c r="K198" s="28" t="s">
        <v>1050</v>
      </c>
      <c r="L198" s="38">
        <v>2.5</v>
      </c>
      <c r="M198" s="38">
        <v>1.1000000000000001</v>
      </c>
      <c r="N198" s="38"/>
      <c r="P198" s="30">
        <v>7.3999999999999996E-2</v>
      </c>
      <c r="Q198" s="60"/>
      <c r="R198" s="63">
        <v>20000</v>
      </c>
      <c r="S198" s="60">
        <v>84.8</v>
      </c>
      <c r="W198" s="30">
        <v>107</v>
      </c>
      <c r="X198" s="29">
        <f t="shared" si="53"/>
        <v>84.8</v>
      </c>
      <c r="Y198" s="63">
        <v>1.01E-4</v>
      </c>
      <c r="Z198" s="80">
        <v>80000</v>
      </c>
      <c r="AA198" s="64">
        <v>1</v>
      </c>
      <c r="AB198" s="63">
        <f t="shared" si="54"/>
        <v>80000</v>
      </c>
      <c r="AC198" s="5" t="s">
        <v>2096</v>
      </c>
      <c r="AD198" s="111">
        <f t="shared" si="46"/>
        <v>1262.5</v>
      </c>
      <c r="AE198" s="29" t="str">
        <f t="shared" si="47"/>
        <v/>
      </c>
      <c r="AF198" s="29">
        <f t="shared" si="48"/>
        <v>88.882779256087602</v>
      </c>
      <c r="AG198" s="29" t="str">
        <f t="shared" si="49"/>
        <v/>
      </c>
      <c r="AH198" s="29">
        <f t="shared" si="50"/>
        <v>170.77738617545319</v>
      </c>
      <c r="AI198" s="63">
        <f t="shared" si="55"/>
        <v>1.111034740701095E-3</v>
      </c>
      <c r="AJ198" s="60">
        <f t="shared" si="56"/>
        <v>219.80828604537263</v>
      </c>
    </row>
    <row r="199" spans="1:36" x14ac:dyDescent="0.3">
      <c r="A199" s="30">
        <v>2017</v>
      </c>
      <c r="B199" s="28">
        <v>21.1</v>
      </c>
      <c r="C199" s="30" t="s">
        <v>23</v>
      </c>
      <c r="D199" s="30" t="s">
        <v>31</v>
      </c>
      <c r="E199" s="30">
        <v>1.4E-2</v>
      </c>
      <c r="F199" s="28" t="s">
        <v>1495</v>
      </c>
      <c r="G199" s="28" t="s">
        <v>1504</v>
      </c>
      <c r="H199" s="28" t="s">
        <v>1499</v>
      </c>
      <c r="I199" s="28" t="s">
        <v>2565</v>
      </c>
      <c r="J199" s="149" t="str">
        <f t="shared" si="57"/>
        <v>https://doi.org/10.23919/VLSIC.2017.8008506</v>
      </c>
      <c r="K199" s="28" t="s">
        <v>1050</v>
      </c>
      <c r="L199" s="38">
        <v>0.85</v>
      </c>
      <c r="M199" s="38"/>
      <c r="N199" s="38"/>
      <c r="P199" s="30">
        <v>6.0000000000000001E-3</v>
      </c>
      <c r="Q199" s="60">
        <v>61.6</v>
      </c>
      <c r="R199" s="63">
        <v>146190000</v>
      </c>
      <c r="S199" s="60">
        <v>60.45</v>
      </c>
      <c r="V199" s="30">
        <v>75.16</v>
      </c>
      <c r="W199" s="30">
        <v>78.72</v>
      </c>
      <c r="X199" s="29">
        <f t="shared" si="53"/>
        <v>60.45</v>
      </c>
      <c r="Y199" s="63">
        <v>3.3E-3</v>
      </c>
      <c r="Z199" s="80">
        <v>300000000</v>
      </c>
      <c r="AA199" s="64">
        <v>1</v>
      </c>
      <c r="AB199" s="63">
        <f t="shared" si="54"/>
        <v>300000000</v>
      </c>
      <c r="AC199" s="5" t="s">
        <v>2096</v>
      </c>
      <c r="AD199" s="111">
        <f t="shared" si="46"/>
        <v>11</v>
      </c>
      <c r="AE199" s="29">
        <f t="shared" si="47"/>
        <v>11.196815507021336</v>
      </c>
      <c r="AF199" s="29">
        <f t="shared" si="48"/>
        <v>12.78204235618351</v>
      </c>
      <c r="AG199" s="29">
        <f t="shared" si="49"/>
        <v>168.17577319177792</v>
      </c>
      <c r="AH199" s="29">
        <f t="shared" si="50"/>
        <v>167.02577319177794</v>
      </c>
      <c r="AI199" s="63">
        <f t="shared" si="55"/>
        <v>4.2606807853945034E-8</v>
      </c>
      <c r="AJ199" s="60">
        <f t="shared" si="56"/>
        <v>251.79698573897457</v>
      </c>
    </row>
    <row r="200" spans="1:36" x14ac:dyDescent="0.3">
      <c r="A200" s="30">
        <v>2017</v>
      </c>
      <c r="B200" s="28">
        <v>21.2</v>
      </c>
      <c r="C200" s="30" t="s">
        <v>23</v>
      </c>
      <c r="D200" s="30" t="s">
        <v>592</v>
      </c>
      <c r="E200" s="30">
        <v>1.6E-2</v>
      </c>
      <c r="F200" s="28" t="s">
        <v>2194</v>
      </c>
      <c r="G200" s="28" t="s">
        <v>2195</v>
      </c>
      <c r="H200" s="28" t="s">
        <v>1500</v>
      </c>
      <c r="I200" s="28" t="s">
        <v>2566</v>
      </c>
      <c r="J200" s="149" t="str">
        <f t="shared" si="57"/>
        <v>https://doi.org/10.23919/VLSIC.2017.8008507</v>
      </c>
      <c r="K200" s="28" t="s">
        <v>1050</v>
      </c>
      <c r="L200" s="38">
        <v>1.5</v>
      </c>
      <c r="M200" s="38">
        <v>0.85</v>
      </c>
      <c r="N200" s="38"/>
      <c r="P200" s="30">
        <v>1.4E-2</v>
      </c>
      <c r="Q200" s="60">
        <v>54.5</v>
      </c>
      <c r="R200" s="63">
        <v>1000000000</v>
      </c>
      <c r="S200" s="60">
        <v>50.1</v>
      </c>
      <c r="W200" s="30">
        <v>56</v>
      </c>
      <c r="X200" s="29">
        <f t="shared" si="53"/>
        <v>50.1</v>
      </c>
      <c r="Y200" s="63">
        <v>1.04E-2</v>
      </c>
      <c r="Z200" s="80">
        <v>2000000000</v>
      </c>
      <c r="AA200" s="64">
        <v>1</v>
      </c>
      <c r="AB200" s="63">
        <f t="shared" si="54"/>
        <v>2000000000</v>
      </c>
      <c r="AC200" s="5" t="s">
        <v>2096</v>
      </c>
      <c r="AD200" s="111">
        <f t="shared" si="46"/>
        <v>5.1999999999999993</v>
      </c>
      <c r="AE200" s="29">
        <f t="shared" si="47"/>
        <v>11.987829506883477</v>
      </c>
      <c r="AF200" s="29">
        <f t="shared" si="48"/>
        <v>19.895849240792984</v>
      </c>
      <c r="AG200" s="29">
        <f t="shared" si="49"/>
        <v>164.3296666070122</v>
      </c>
      <c r="AH200" s="29">
        <f t="shared" si="50"/>
        <v>159.92966660701219</v>
      </c>
      <c r="AI200" s="63">
        <f t="shared" si="55"/>
        <v>9.9479246203964921E-9</v>
      </c>
      <c r="AJ200" s="60">
        <f t="shared" si="56"/>
        <v>252.93996656365201</v>
      </c>
    </row>
    <row r="201" spans="1:36" x14ac:dyDescent="0.3">
      <c r="A201" s="30">
        <v>2017</v>
      </c>
      <c r="B201" s="28">
        <v>21.3</v>
      </c>
      <c r="C201" s="30" t="s">
        <v>23</v>
      </c>
      <c r="D201" s="30" t="s">
        <v>1494</v>
      </c>
      <c r="E201" s="30">
        <v>0.18</v>
      </c>
      <c r="F201" s="28" t="s">
        <v>1496</v>
      </c>
      <c r="G201" s="28" t="s">
        <v>1505</v>
      </c>
      <c r="H201" s="28" t="s">
        <v>1501</v>
      </c>
      <c r="I201" s="28" t="s">
        <v>2567</v>
      </c>
      <c r="J201" s="149" t="str">
        <f t="shared" si="57"/>
        <v>https://doi.org/10.23919/VLSIC.2017.8008508</v>
      </c>
      <c r="K201" s="28" t="s">
        <v>2703</v>
      </c>
      <c r="L201" s="38">
        <v>5</v>
      </c>
      <c r="M201" s="38">
        <v>1.8</v>
      </c>
      <c r="N201" s="38"/>
      <c r="O201" s="30" t="s">
        <v>1050</v>
      </c>
      <c r="P201" s="38">
        <f>1.695*2.285</f>
        <v>3.8730750000000005</v>
      </c>
      <c r="Q201" s="60"/>
      <c r="R201" s="63">
        <v>100000</v>
      </c>
      <c r="S201" s="60"/>
      <c r="T201" s="30">
        <v>100</v>
      </c>
      <c r="U201" s="30">
        <v>100.5</v>
      </c>
      <c r="X201" s="29">
        <f t="shared" si="53"/>
        <v>100</v>
      </c>
      <c r="Y201" s="63">
        <v>1.1350000000000001E-2</v>
      </c>
      <c r="Z201" s="80">
        <v>2000000</v>
      </c>
      <c r="AA201" s="64">
        <v>1</v>
      </c>
      <c r="AB201" s="63">
        <f t="shared" si="54"/>
        <v>2000000</v>
      </c>
      <c r="AC201" s="5" t="s">
        <v>2096</v>
      </c>
      <c r="AD201" s="111">
        <f t="shared" si="46"/>
        <v>5675</v>
      </c>
      <c r="AE201" s="29" t="str">
        <f t="shared" si="47"/>
        <v/>
      </c>
      <c r="AF201" s="29">
        <f t="shared" si="48"/>
        <v>69.418682755284465</v>
      </c>
      <c r="AG201" s="29" t="str">
        <f t="shared" si="49"/>
        <v/>
      </c>
      <c r="AH201" s="29">
        <f t="shared" si="50"/>
        <v>179.45004138470858</v>
      </c>
      <c r="AI201" s="63">
        <f t="shared" si="55"/>
        <v>3.4709341377642235E-5</v>
      </c>
      <c r="AJ201" s="60">
        <f t="shared" si="56"/>
        <v>242.4603413413484</v>
      </c>
    </row>
    <row r="202" spans="1:36" x14ac:dyDescent="0.3">
      <c r="A202" s="30">
        <v>2017</v>
      </c>
      <c r="B202" s="28">
        <v>21.4</v>
      </c>
      <c r="C202" s="30" t="s">
        <v>23</v>
      </c>
      <c r="D202" s="30" t="s">
        <v>31</v>
      </c>
      <c r="E202" s="30">
        <v>5.5E-2</v>
      </c>
      <c r="F202" s="28" t="s">
        <v>1497</v>
      </c>
      <c r="G202" s="28" t="s">
        <v>2196</v>
      </c>
      <c r="H202" s="28" t="s">
        <v>1502</v>
      </c>
      <c r="I202" s="28" t="s">
        <v>2568</v>
      </c>
      <c r="J202" s="149" t="str">
        <f t="shared" si="57"/>
        <v>https://doi.org/10.23919/VLSIC.2017.8008509</v>
      </c>
      <c r="K202" s="28" t="s">
        <v>1050</v>
      </c>
      <c r="L202" s="38">
        <v>3.3</v>
      </c>
      <c r="M202" s="38">
        <v>1.2</v>
      </c>
      <c r="N202" s="38"/>
      <c r="O202" s="30">
        <v>1</v>
      </c>
      <c r="P202" s="30">
        <v>0.55000000000000004</v>
      </c>
      <c r="Q202" s="60"/>
      <c r="R202" s="63">
        <v>100000</v>
      </c>
      <c r="S202" s="60">
        <v>78</v>
      </c>
      <c r="W202" s="30">
        <v>98</v>
      </c>
      <c r="X202" s="29">
        <f t="shared" si="53"/>
        <v>78</v>
      </c>
      <c r="Y202" s="63">
        <v>1.6299999999999999E-2</v>
      </c>
      <c r="Z202" s="80">
        <v>16000000</v>
      </c>
      <c r="AA202" s="64">
        <v>1</v>
      </c>
      <c r="AB202" s="63">
        <f t="shared" si="54"/>
        <v>16000000</v>
      </c>
      <c r="AC202" s="5" t="s">
        <v>2096</v>
      </c>
      <c r="AD202" s="111">
        <f t="shared" si="46"/>
        <v>1018.7499999999998</v>
      </c>
      <c r="AE202" s="29" t="str">
        <f t="shared" si="47"/>
        <v/>
      </c>
      <c r="AF202" s="29">
        <f t="shared" si="48"/>
        <v>156.92341223197096</v>
      </c>
      <c r="AG202" s="29" t="str">
        <f t="shared" si="49"/>
        <v/>
      </c>
      <c r="AH202" s="29">
        <f t="shared" si="50"/>
        <v>164.90902382587984</v>
      </c>
      <c r="AI202" s="63">
        <f t="shared" si="55"/>
        <v>9.8077132644981841E-6</v>
      </c>
      <c r="AJ202" s="60">
        <f t="shared" si="56"/>
        <v>236.95022365243909</v>
      </c>
    </row>
    <row r="203" spans="1:36" x14ac:dyDescent="0.3">
      <c r="A203" s="30">
        <v>2017</v>
      </c>
      <c r="B203" s="28">
        <v>21.5</v>
      </c>
      <c r="C203" s="30" t="s">
        <v>23</v>
      </c>
      <c r="D203" s="30" t="s">
        <v>27</v>
      </c>
      <c r="E203" s="30">
        <v>6.5000000000000002E-2</v>
      </c>
      <c r="F203" s="28" t="s">
        <v>1498</v>
      </c>
      <c r="G203" s="28" t="s">
        <v>2197</v>
      </c>
      <c r="H203" s="28" t="s">
        <v>1503</v>
      </c>
      <c r="I203" s="28" t="s">
        <v>2569</v>
      </c>
      <c r="J203" s="149" t="str">
        <f t="shared" si="57"/>
        <v>https://doi.org/10.23919/VLSIC.2017.8008510</v>
      </c>
      <c r="K203" s="28" t="s">
        <v>1050</v>
      </c>
      <c r="L203" s="38">
        <v>1.3</v>
      </c>
      <c r="M203" s="38">
        <v>1.2</v>
      </c>
      <c r="N203" s="38"/>
      <c r="O203" s="30">
        <v>6.4000000000000001E-2</v>
      </c>
      <c r="P203" s="30">
        <v>0.08</v>
      </c>
      <c r="Q203" s="60">
        <v>41.4</v>
      </c>
      <c r="R203" s="63">
        <v>1000000000</v>
      </c>
      <c r="S203" s="30">
        <v>40.700000000000003</v>
      </c>
      <c r="V203" s="30">
        <v>47</v>
      </c>
      <c r="W203" s="30">
        <v>49</v>
      </c>
      <c r="X203" s="29">
        <f t="shared" si="53"/>
        <v>40.700000000000003</v>
      </c>
      <c r="Y203" s="63">
        <v>2.1000000000000001E-2</v>
      </c>
      <c r="Z203" s="80">
        <v>2000000000</v>
      </c>
      <c r="AA203" s="30">
        <v>1</v>
      </c>
      <c r="AB203" s="63">
        <f t="shared" si="54"/>
        <v>2000000000</v>
      </c>
      <c r="AC203" s="5" t="s">
        <v>2096</v>
      </c>
      <c r="AD203" s="111">
        <f t="shared" si="46"/>
        <v>10.500000000000002</v>
      </c>
      <c r="AE203" s="29">
        <f t="shared" si="47"/>
        <v>109.39356762309292</v>
      </c>
      <c r="AF203" s="29">
        <f t="shared" si="48"/>
        <v>118.57558445752046</v>
      </c>
      <c r="AG203" s="29">
        <f t="shared" si="49"/>
        <v>148.1778070526608</v>
      </c>
      <c r="AH203" s="29">
        <f t="shared" si="50"/>
        <v>147.47780705266081</v>
      </c>
      <c r="AI203" s="63">
        <f t="shared" si="55"/>
        <v>5.9287792228760234E-8</v>
      </c>
      <c r="AJ203" s="60">
        <f t="shared" si="56"/>
        <v>240.48810700930062</v>
      </c>
    </row>
    <row r="204" spans="1:36" x14ac:dyDescent="0.3">
      <c r="A204" s="31">
        <v>2018</v>
      </c>
      <c r="B204" s="28">
        <v>9.1</v>
      </c>
      <c r="C204" s="30" t="s">
        <v>23</v>
      </c>
      <c r="D204" s="30" t="s">
        <v>31</v>
      </c>
      <c r="E204" s="30">
        <v>0.04</v>
      </c>
      <c r="F204" s="28" t="s">
        <v>1551</v>
      </c>
      <c r="G204" s="28" t="s">
        <v>1549</v>
      </c>
      <c r="H204" s="28" t="s">
        <v>1550</v>
      </c>
      <c r="I204" s="28" t="s">
        <v>2570</v>
      </c>
      <c r="J204" s="149" t="str">
        <f t="shared" si="57"/>
        <v>https://doi.org/10.1109/VLSIC.2018.8502325</v>
      </c>
      <c r="K204" s="28" t="s">
        <v>2702</v>
      </c>
      <c r="L204" s="38">
        <v>1.1000000000000001</v>
      </c>
      <c r="M204" s="38">
        <v>0.9</v>
      </c>
      <c r="N204" s="38"/>
      <c r="O204" s="30">
        <v>0.25600000000000001</v>
      </c>
      <c r="P204" s="30">
        <v>7.2999999999999995E-2</v>
      </c>
      <c r="Q204" s="60">
        <v>68.099999999999994</v>
      </c>
      <c r="R204" s="63">
        <v>500000</v>
      </c>
      <c r="S204" s="30">
        <v>66.599999999999994</v>
      </c>
      <c r="T204" s="30">
        <v>68.2</v>
      </c>
      <c r="W204" s="30">
        <v>100.4</v>
      </c>
      <c r="X204" s="29">
        <f t="shared" si="53"/>
        <v>66.599999999999994</v>
      </c>
      <c r="Y204" s="63">
        <v>3.1000000000000001E-5</v>
      </c>
      <c r="Z204" s="80">
        <v>1000000</v>
      </c>
      <c r="AA204" s="30">
        <v>1</v>
      </c>
      <c r="AB204" s="63">
        <f t="shared" si="54"/>
        <v>1000000</v>
      </c>
      <c r="AC204" s="5" t="s">
        <v>2096</v>
      </c>
      <c r="AD204" s="111">
        <f t="shared" si="46"/>
        <v>31.000000000000004</v>
      </c>
      <c r="AE204" s="29">
        <f t="shared" si="47"/>
        <v>14.92901462917763</v>
      </c>
      <c r="AF204" s="29">
        <f t="shared" si="48"/>
        <v>17.743472494360574</v>
      </c>
      <c r="AG204" s="29">
        <f t="shared" si="49"/>
        <v>170.17608310501745</v>
      </c>
      <c r="AH204" s="29">
        <f t="shared" si="50"/>
        <v>168.67608310501745</v>
      </c>
      <c r="AI204" s="63">
        <f t="shared" ref="AI204:AI213" si="58">AF204/AB204</f>
        <v>1.7743472494360575E-5</v>
      </c>
      <c r="AJ204" s="60">
        <f t="shared" ref="AJ204:AJ213" si="59">AH204+10*LOG10(AB204)</f>
        <v>228.67608310501745</v>
      </c>
    </row>
    <row r="205" spans="1:36" x14ac:dyDescent="0.3">
      <c r="A205" s="30">
        <v>2018</v>
      </c>
      <c r="B205" s="28">
        <v>9.1999999999999993</v>
      </c>
      <c r="C205" s="30" t="s">
        <v>23</v>
      </c>
      <c r="D205" s="30" t="s">
        <v>1279</v>
      </c>
      <c r="E205" s="30">
        <v>0.04</v>
      </c>
      <c r="F205" s="28" t="s">
        <v>1552</v>
      </c>
      <c r="G205" s="28" t="s">
        <v>1553</v>
      </c>
      <c r="H205" s="28" t="s">
        <v>1554</v>
      </c>
      <c r="I205" s="28" t="s">
        <v>2571</v>
      </c>
      <c r="J205" s="149" t="str">
        <f t="shared" si="57"/>
        <v>https://doi.org/10.1109/VLSIC.2018.8502440</v>
      </c>
      <c r="K205" s="28" t="s">
        <v>1050</v>
      </c>
      <c r="L205" s="38">
        <v>0.5</v>
      </c>
      <c r="M205" s="38"/>
      <c r="N205" s="38"/>
      <c r="P205" s="30">
        <v>9.75E-3</v>
      </c>
      <c r="Q205" s="60"/>
      <c r="R205" s="63">
        <v>10000</v>
      </c>
      <c r="S205" s="30">
        <v>54.56</v>
      </c>
      <c r="W205" s="30">
        <v>71.3</v>
      </c>
      <c r="X205" s="29">
        <f t="shared" si="53"/>
        <v>54.56</v>
      </c>
      <c r="Y205" s="63">
        <v>2.0999999999999999E-8</v>
      </c>
      <c r="Z205" s="80">
        <v>20000</v>
      </c>
      <c r="AA205" s="30">
        <v>1</v>
      </c>
      <c r="AB205" s="63">
        <f t="shared" si="54"/>
        <v>20000</v>
      </c>
      <c r="AC205" s="5" t="s">
        <v>2096</v>
      </c>
      <c r="AD205" s="111">
        <f t="shared" si="46"/>
        <v>1.05</v>
      </c>
      <c r="AE205" s="29" t="str">
        <f t="shared" si="47"/>
        <v/>
      </c>
      <c r="AF205" s="29">
        <f t="shared" si="48"/>
        <v>2.4039543379456223</v>
      </c>
      <c r="AG205" s="29" t="str">
        <f t="shared" si="49"/>
        <v/>
      </c>
      <c r="AH205" s="29">
        <f t="shared" si="50"/>
        <v>171.33780705266082</v>
      </c>
      <c r="AI205" s="63">
        <f t="shared" si="58"/>
        <v>1.2019771689728111E-4</v>
      </c>
      <c r="AJ205" s="60">
        <f t="shared" si="59"/>
        <v>214.34810700930063</v>
      </c>
    </row>
    <row r="206" spans="1:36" x14ac:dyDescent="0.3">
      <c r="A206" s="30">
        <v>2018</v>
      </c>
      <c r="B206" s="28">
        <v>9.3000000000000007</v>
      </c>
      <c r="C206" s="30" t="s">
        <v>23</v>
      </c>
      <c r="D206" s="30" t="s">
        <v>2217</v>
      </c>
      <c r="E206" s="30">
        <v>6.5000000000000002E-2</v>
      </c>
      <c r="F206" s="28" t="s">
        <v>1555</v>
      </c>
      <c r="G206" s="28" t="s">
        <v>1557</v>
      </c>
      <c r="H206" s="28" t="s">
        <v>1556</v>
      </c>
      <c r="I206" s="28" t="s">
        <v>2572</v>
      </c>
      <c r="J206" s="149" t="str">
        <f t="shared" si="57"/>
        <v>https://doi.org/10.1109/VLSIC.2018.8502316</v>
      </c>
      <c r="K206" s="28" t="s">
        <v>1050</v>
      </c>
      <c r="L206" s="38">
        <v>1</v>
      </c>
      <c r="M206" s="38"/>
      <c r="N206" s="38"/>
      <c r="P206" s="30">
        <v>7.0000000000000001E-3</v>
      </c>
      <c r="Q206" s="60">
        <v>45.4</v>
      </c>
      <c r="R206" s="63">
        <v>475000000</v>
      </c>
      <c r="S206" s="60">
        <v>45</v>
      </c>
      <c r="W206" s="30">
        <v>62.1</v>
      </c>
      <c r="X206" s="29">
        <f t="shared" si="53"/>
        <v>45</v>
      </c>
      <c r="Y206" s="63">
        <v>2.3E-3</v>
      </c>
      <c r="Z206" s="80">
        <v>950000000</v>
      </c>
      <c r="AA206" s="30">
        <v>1</v>
      </c>
      <c r="AB206" s="63">
        <f t="shared" si="54"/>
        <v>950000000</v>
      </c>
      <c r="AC206" s="5" t="s">
        <v>2096</v>
      </c>
      <c r="AD206" s="111">
        <f t="shared" si="46"/>
        <v>2.4210526315789473</v>
      </c>
      <c r="AE206" s="29">
        <f t="shared" si="47"/>
        <v>15.914272385212177</v>
      </c>
      <c r="AF206" s="29">
        <f t="shared" si="48"/>
        <v>16.664365412064416</v>
      </c>
      <c r="AG206" s="29">
        <f t="shared" si="49"/>
        <v>158.54965773607273</v>
      </c>
      <c r="AH206" s="29">
        <f t="shared" si="50"/>
        <v>158.14965773607273</v>
      </c>
      <c r="AI206" s="63">
        <f t="shared" si="58"/>
        <v>1.7541437275857281E-8</v>
      </c>
      <c r="AJ206" s="60">
        <f t="shared" si="59"/>
        <v>247.92689378896119</v>
      </c>
    </row>
    <row r="207" spans="1:36" x14ac:dyDescent="0.3">
      <c r="A207" s="30">
        <v>2018</v>
      </c>
      <c r="B207" s="28">
        <v>9.4</v>
      </c>
      <c r="C207" s="30" t="s">
        <v>23</v>
      </c>
      <c r="D207" s="30" t="s">
        <v>1559</v>
      </c>
      <c r="E207" s="30">
        <v>0.04</v>
      </c>
      <c r="F207" s="28" t="s">
        <v>1558</v>
      </c>
      <c r="G207" s="28" t="s">
        <v>2219</v>
      </c>
      <c r="H207" s="28" t="s">
        <v>2220</v>
      </c>
      <c r="I207" s="28" t="s">
        <v>2573</v>
      </c>
      <c r="J207" s="149" t="str">
        <f t="shared" si="57"/>
        <v>https://doi.org/10.1109/VLSIC.2018.8502370</v>
      </c>
      <c r="K207" s="28" t="s">
        <v>1050</v>
      </c>
      <c r="L207" s="38">
        <v>1.2</v>
      </c>
      <c r="M207" s="38"/>
      <c r="N207" s="38"/>
      <c r="P207" s="30">
        <v>1.65E-3</v>
      </c>
      <c r="Q207" s="60"/>
      <c r="R207" s="63">
        <f>550000000</f>
        <v>550000000</v>
      </c>
      <c r="S207" s="60">
        <v>45</v>
      </c>
      <c r="W207" s="30">
        <v>66</v>
      </c>
      <c r="X207" s="29">
        <f t="shared" si="53"/>
        <v>45</v>
      </c>
      <c r="Y207" s="63">
        <v>4.0000000000000001E-3</v>
      </c>
      <c r="Z207" s="80">
        <v>1100000000</v>
      </c>
      <c r="AA207" s="30">
        <v>1</v>
      </c>
      <c r="AB207" s="63">
        <f t="shared" si="54"/>
        <v>1100000000</v>
      </c>
      <c r="AC207" s="5" t="s">
        <v>2096</v>
      </c>
      <c r="AD207" s="111">
        <f t="shared" si="46"/>
        <v>3.6363636363636367</v>
      </c>
      <c r="AE207" s="29" t="str">
        <f t="shared" si="47"/>
        <v/>
      </c>
      <c r="AF207" s="29">
        <f t="shared" si="48"/>
        <v>25.029481646578962</v>
      </c>
      <c r="AG207" s="29" t="str">
        <f t="shared" si="49"/>
        <v/>
      </c>
      <c r="AH207" s="29">
        <f t="shared" si="50"/>
        <v>156.38302698166282</v>
      </c>
      <c r="AI207" s="63">
        <f t="shared" si="58"/>
        <v>2.2754074224162694E-8</v>
      </c>
      <c r="AJ207" s="60">
        <f t="shared" si="59"/>
        <v>246.79695383324508</v>
      </c>
    </row>
    <row r="208" spans="1:36" x14ac:dyDescent="0.3">
      <c r="A208" s="30">
        <v>2018</v>
      </c>
      <c r="B208" s="28">
        <v>9.5</v>
      </c>
      <c r="C208" s="30" t="s">
        <v>23</v>
      </c>
      <c r="D208" s="30" t="s">
        <v>592</v>
      </c>
      <c r="E208" s="30">
        <v>1.6E-2</v>
      </c>
      <c r="F208" s="28" t="s">
        <v>1561</v>
      </c>
      <c r="G208" s="28" t="s">
        <v>1562</v>
      </c>
      <c r="H208" s="28" t="s">
        <v>1563</v>
      </c>
      <c r="I208" s="28" t="s">
        <v>2574</v>
      </c>
      <c r="J208" s="149" t="str">
        <f t="shared" si="57"/>
        <v>https://doi.org/10.1109/VLSIC.2018.8502306</v>
      </c>
      <c r="K208" s="28" t="s">
        <v>1564</v>
      </c>
      <c r="L208" s="38"/>
      <c r="M208" s="38"/>
      <c r="N208" s="38"/>
      <c r="P208" s="30">
        <v>1.1000000000000001</v>
      </c>
      <c r="Q208" s="60">
        <v>60</v>
      </c>
      <c r="R208" s="63">
        <v>2500000000</v>
      </c>
      <c r="S208" s="60">
        <v>57</v>
      </c>
      <c r="W208" s="30">
        <v>61.9</v>
      </c>
      <c r="X208" s="29">
        <f t="shared" si="53"/>
        <v>57</v>
      </c>
      <c r="Y208" s="63">
        <v>0.64100000000000001</v>
      </c>
      <c r="Z208" s="80">
        <v>5000000000</v>
      </c>
      <c r="AA208" s="30">
        <v>1</v>
      </c>
      <c r="AB208" s="63">
        <f t="shared" si="54"/>
        <v>5000000000</v>
      </c>
      <c r="AC208" s="5" t="s">
        <v>2096</v>
      </c>
      <c r="AD208" s="111">
        <f t="shared" si="46"/>
        <v>128.20000000000002</v>
      </c>
      <c r="AE208" s="29">
        <f t="shared" si="47"/>
        <v>156.89092898816619</v>
      </c>
      <c r="AF208" s="29">
        <f t="shared" si="48"/>
        <v>221.62195549334962</v>
      </c>
      <c r="AG208" s="29">
        <f t="shared" si="49"/>
        <v>155.91081979153219</v>
      </c>
      <c r="AH208" s="29">
        <f t="shared" si="50"/>
        <v>152.91081979153219</v>
      </c>
      <c r="AI208" s="63">
        <f t="shared" si="58"/>
        <v>4.4324391098669924E-8</v>
      </c>
      <c r="AJ208" s="60">
        <f t="shared" si="59"/>
        <v>249.90051983489238</v>
      </c>
    </row>
    <row r="209" spans="1:36" x14ac:dyDescent="0.3">
      <c r="A209" s="30">
        <v>2018</v>
      </c>
      <c r="B209" s="28">
        <v>19.100000000000001</v>
      </c>
      <c r="C209" s="30" t="s">
        <v>22</v>
      </c>
      <c r="D209" s="30" t="s">
        <v>30</v>
      </c>
      <c r="E209" s="30">
        <v>6.5000000000000002E-2</v>
      </c>
      <c r="F209" s="28" t="s">
        <v>1565</v>
      </c>
      <c r="G209" s="28" t="s">
        <v>2198</v>
      </c>
      <c r="H209" s="28" t="s">
        <v>1566</v>
      </c>
      <c r="I209" s="28" t="s">
        <v>2697</v>
      </c>
      <c r="J209" s="149" t="str">
        <f t="shared" si="57"/>
        <v>https://doi.org/10.1109/VLSIC.2018.8502318</v>
      </c>
      <c r="K209" s="28" t="s">
        <v>1050</v>
      </c>
      <c r="L209" s="38">
        <v>1.2</v>
      </c>
      <c r="M209" s="38"/>
      <c r="N209" s="38"/>
      <c r="P209" s="30">
        <v>0.14000000000000001</v>
      </c>
      <c r="Q209" s="60"/>
      <c r="R209" s="63">
        <v>24000</v>
      </c>
      <c r="S209" s="60">
        <v>94.1</v>
      </c>
      <c r="T209" s="30">
        <v>94.8</v>
      </c>
      <c r="U209" s="30">
        <v>98.2</v>
      </c>
      <c r="W209" s="30">
        <v>107</v>
      </c>
      <c r="X209" s="29">
        <f t="shared" si="53"/>
        <v>94.1</v>
      </c>
      <c r="Y209" s="63">
        <v>6.7999999999999999E-5</v>
      </c>
      <c r="Z209" s="80">
        <v>6144000</v>
      </c>
      <c r="AA209" s="30">
        <v>128</v>
      </c>
      <c r="AB209" s="63">
        <f t="shared" si="54"/>
        <v>48000</v>
      </c>
      <c r="AC209" s="5" t="s">
        <v>2096</v>
      </c>
      <c r="AD209" s="111">
        <f t="shared" si="46"/>
        <v>1416.6666666666667</v>
      </c>
      <c r="AE209" s="29" t="str">
        <f t="shared" si="47"/>
        <v/>
      </c>
      <c r="AF209" s="29">
        <f t="shared" si="48"/>
        <v>34.182795412935178</v>
      </c>
      <c r="AG209" s="29" t="str">
        <f t="shared" si="49"/>
        <v/>
      </c>
      <c r="AH209" s="29">
        <f t="shared" si="50"/>
        <v>179.57702329005369</v>
      </c>
      <c r="AI209" s="63">
        <f t="shared" si="58"/>
        <v>7.121415711028162E-4</v>
      </c>
      <c r="AJ209" s="60">
        <f t="shared" si="59"/>
        <v>226.38943566380956</v>
      </c>
    </row>
    <row r="210" spans="1:36" x14ac:dyDescent="0.3">
      <c r="A210" s="30">
        <v>2018</v>
      </c>
      <c r="B210" s="28">
        <v>19.2</v>
      </c>
      <c r="C210" s="30" t="s">
        <v>22</v>
      </c>
      <c r="D210" s="30" t="s">
        <v>30</v>
      </c>
      <c r="E210" s="30">
        <v>0.04</v>
      </c>
      <c r="F210" s="28" t="s">
        <v>2199</v>
      </c>
      <c r="G210" s="28" t="s">
        <v>2200</v>
      </c>
      <c r="H210" s="28" t="s">
        <v>1567</v>
      </c>
      <c r="I210" s="28" t="s">
        <v>2698</v>
      </c>
      <c r="J210" s="149" t="str">
        <f t="shared" si="57"/>
        <v>https://doi.org/10.1109/VLSIC.2018.8502424</v>
      </c>
      <c r="K210" s="28" t="s">
        <v>1050</v>
      </c>
      <c r="L210" s="38"/>
      <c r="M210" s="38"/>
      <c r="N210" s="38"/>
      <c r="P210" s="30">
        <v>2.9000000000000001E-2</v>
      </c>
      <c r="Q210" s="60"/>
      <c r="R210" s="63">
        <v>12500000</v>
      </c>
      <c r="S210" s="60">
        <v>70.400000000000006</v>
      </c>
      <c r="U210" s="30">
        <v>73</v>
      </c>
      <c r="W210" s="30">
        <v>85.6</v>
      </c>
      <c r="X210" s="29">
        <f t="shared" si="53"/>
        <v>70.400000000000006</v>
      </c>
      <c r="Y210" s="63">
        <v>1.16E-3</v>
      </c>
      <c r="Z210" s="80">
        <v>500000000</v>
      </c>
      <c r="AA210" s="30">
        <v>20</v>
      </c>
      <c r="AB210" s="63">
        <f t="shared" si="54"/>
        <v>25000000</v>
      </c>
      <c r="AC210" s="5" t="s">
        <v>2096</v>
      </c>
      <c r="AD210" s="111">
        <f t="shared" si="46"/>
        <v>46.400000000000006</v>
      </c>
      <c r="AE210" s="29" t="str">
        <f t="shared" si="47"/>
        <v/>
      </c>
      <c r="AF210" s="29">
        <f t="shared" si="48"/>
        <v>17.146519203184585</v>
      </c>
      <c r="AG210" s="29" t="str">
        <f t="shared" si="49"/>
        <v/>
      </c>
      <c r="AH210" s="29">
        <f t="shared" si="50"/>
        <v>170.72452023781139</v>
      </c>
      <c r="AI210" s="63">
        <f t="shared" si="58"/>
        <v>6.8586076812738344E-7</v>
      </c>
      <c r="AJ210" s="60">
        <f t="shared" si="59"/>
        <v>244.70392032453177</v>
      </c>
    </row>
    <row r="211" spans="1:36" x14ac:dyDescent="0.3">
      <c r="A211" s="30">
        <v>2018</v>
      </c>
      <c r="B211" s="28">
        <v>19.3</v>
      </c>
      <c r="C211" s="30" t="s">
        <v>22</v>
      </c>
      <c r="D211" s="30" t="s">
        <v>1571</v>
      </c>
      <c r="E211" s="30">
        <v>6.5000000000000002E-2</v>
      </c>
      <c r="F211" s="28" t="s">
        <v>1568</v>
      </c>
      <c r="G211" s="28" t="s">
        <v>1569</v>
      </c>
      <c r="H211" s="28" t="s">
        <v>1570</v>
      </c>
      <c r="I211" s="28" t="s">
        <v>2575</v>
      </c>
      <c r="J211" s="149" t="str">
        <f t="shared" si="57"/>
        <v>https://doi.org/10.1109/VLSIC.2018.8502382</v>
      </c>
      <c r="K211" s="28" t="s">
        <v>1050</v>
      </c>
      <c r="L211" s="38">
        <v>1.2</v>
      </c>
      <c r="M211" s="38"/>
      <c r="N211" s="38"/>
      <c r="P211" s="30">
        <v>1.4E-2</v>
      </c>
      <c r="Q211" s="60"/>
      <c r="R211" s="63">
        <v>12500000</v>
      </c>
      <c r="S211" s="60">
        <v>77.099999999999994</v>
      </c>
      <c r="U211" s="30">
        <v>78.5</v>
      </c>
      <c r="W211" s="30">
        <v>90.7</v>
      </c>
      <c r="X211" s="29">
        <f t="shared" si="53"/>
        <v>77.099999999999994</v>
      </c>
      <c r="Y211" s="63">
        <v>4.4999999999999997E-3</v>
      </c>
      <c r="Z211" s="80">
        <v>200000000</v>
      </c>
      <c r="AA211" s="30">
        <v>8</v>
      </c>
      <c r="AB211" s="63">
        <f t="shared" ref="AB211:AB235" si="60">Z211/AA211</f>
        <v>25000000</v>
      </c>
      <c r="AC211" s="5" t="s">
        <v>2096</v>
      </c>
      <c r="AD211" s="111">
        <f t="shared" si="46"/>
        <v>180</v>
      </c>
      <c r="AE211" s="29" t="str">
        <f t="shared" si="47"/>
        <v/>
      </c>
      <c r="AF211" s="29">
        <f t="shared" si="48"/>
        <v>30.75368139911151</v>
      </c>
      <c r="AG211" s="29" t="str">
        <f t="shared" si="49"/>
        <v/>
      </c>
      <c r="AH211" s="29">
        <f t="shared" si="50"/>
        <v>171.53697499232712</v>
      </c>
      <c r="AI211" s="63">
        <f t="shared" si="58"/>
        <v>1.2301472559644604E-6</v>
      </c>
      <c r="AJ211" s="60">
        <f t="shared" si="59"/>
        <v>245.51637507904749</v>
      </c>
    </row>
    <row r="212" spans="1:36" x14ac:dyDescent="0.3">
      <c r="A212" s="30">
        <v>2018</v>
      </c>
      <c r="B212" s="28">
        <v>19.399999999999999</v>
      </c>
      <c r="C212" s="30" t="s">
        <v>22</v>
      </c>
      <c r="D212" s="30" t="s">
        <v>2232</v>
      </c>
      <c r="E212" s="30">
        <v>0.18</v>
      </c>
      <c r="F212" s="28" t="s">
        <v>1572</v>
      </c>
      <c r="G212" s="28" t="s">
        <v>2201</v>
      </c>
      <c r="H212" s="28" t="s">
        <v>1573</v>
      </c>
      <c r="I212" s="28" t="s">
        <v>2576</v>
      </c>
      <c r="J212" s="149" t="str">
        <f t="shared" si="57"/>
        <v>https://doi.org/10.1109/VLSIC.2018.8502298</v>
      </c>
      <c r="K212" s="28" t="s">
        <v>1050</v>
      </c>
      <c r="L212" s="38">
        <v>3</v>
      </c>
      <c r="M212" s="38"/>
      <c r="N212" s="38"/>
      <c r="P212" s="30">
        <v>0.72</v>
      </c>
      <c r="Q212" s="60"/>
      <c r="R212" s="63">
        <v>625000</v>
      </c>
      <c r="S212" s="60">
        <v>96.6</v>
      </c>
      <c r="U212" s="30">
        <v>100.1</v>
      </c>
      <c r="W212" s="30">
        <v>110.4</v>
      </c>
      <c r="X212" s="29">
        <f t="shared" si="53"/>
        <v>96.6</v>
      </c>
      <c r="Y212" s="63">
        <v>2.7699999999999999E-2</v>
      </c>
      <c r="Z212" s="80">
        <v>55000000</v>
      </c>
      <c r="AA212" s="64">
        <f>55/2/0.625</f>
        <v>44</v>
      </c>
      <c r="AB212" s="63">
        <f t="shared" si="60"/>
        <v>1250000</v>
      </c>
      <c r="AC212" s="5" t="s">
        <v>2096</v>
      </c>
      <c r="AD212" s="111">
        <f t="shared" si="46"/>
        <v>22159.999999999996</v>
      </c>
      <c r="AE212" s="29" t="str">
        <f t="shared" si="47"/>
        <v/>
      </c>
      <c r="AF212" s="29">
        <f t="shared" si="48"/>
        <v>400.95644595635952</v>
      </c>
      <c r="AG212" s="29" t="str">
        <f t="shared" si="49"/>
        <v/>
      </c>
      <c r="AH212" s="29">
        <f t="shared" si="50"/>
        <v>170.13400248279626</v>
      </c>
      <c r="AI212" s="63">
        <f t="shared" si="58"/>
        <v>3.207651567650876E-4</v>
      </c>
      <c r="AJ212" s="60">
        <f t="shared" si="59"/>
        <v>231.10310261287682</v>
      </c>
    </row>
    <row r="213" spans="1:36" ht="13" customHeight="1" x14ac:dyDescent="0.3">
      <c r="A213" s="30">
        <v>2018</v>
      </c>
      <c r="B213" s="28">
        <v>19.5</v>
      </c>
      <c r="C213" s="30" t="s">
        <v>22</v>
      </c>
      <c r="D213" s="30" t="s">
        <v>1966</v>
      </c>
      <c r="E213" s="30">
        <v>6.5000000000000002E-2</v>
      </c>
      <c r="F213" s="28" t="s">
        <v>1574</v>
      </c>
      <c r="G213" s="28" t="s">
        <v>2202</v>
      </c>
      <c r="H213" s="28" t="s">
        <v>1576</v>
      </c>
      <c r="I213" s="28" t="s">
        <v>2577</v>
      </c>
      <c r="J213" s="149" t="str">
        <f t="shared" si="57"/>
        <v>https://doi.org/10.1109/VLSIC.2018.8502384</v>
      </c>
      <c r="K213" s="28" t="s">
        <v>1050</v>
      </c>
      <c r="L213" s="38">
        <v>1.2</v>
      </c>
      <c r="M213" s="38"/>
      <c r="N213" s="38"/>
      <c r="P213" s="30">
        <v>0.13400000000000001</v>
      </c>
      <c r="Q213" s="60"/>
      <c r="R213" s="63">
        <v>20000</v>
      </c>
      <c r="S213" s="60">
        <v>100.8</v>
      </c>
      <c r="U213" s="30">
        <v>101.8</v>
      </c>
      <c r="X213" s="29">
        <f t="shared" si="53"/>
        <v>100.8</v>
      </c>
      <c r="Y213" s="63">
        <v>5.5000000000000003E-4</v>
      </c>
      <c r="Z213" s="80">
        <v>10240000</v>
      </c>
      <c r="AA213" s="64">
        <f>Z213/2/20000</f>
        <v>256</v>
      </c>
      <c r="AB213" s="63">
        <f t="shared" si="60"/>
        <v>40000</v>
      </c>
      <c r="AC213" s="5" t="s">
        <v>2096</v>
      </c>
      <c r="AD213" s="111">
        <f t="shared" si="46"/>
        <v>13750</v>
      </c>
      <c r="AE213" s="29" t="str">
        <f t="shared" si="47"/>
        <v/>
      </c>
      <c r="AF213" s="29">
        <f t="shared" si="48"/>
        <v>153.394297449991</v>
      </c>
      <c r="AG213" s="29" t="str">
        <f t="shared" si="49"/>
        <v/>
      </c>
      <c r="AH213" s="29">
        <f t="shared" si="50"/>
        <v>176.40667306169735</v>
      </c>
      <c r="AI213" s="63">
        <f t="shared" si="58"/>
        <v>3.8348574362497751E-3</v>
      </c>
      <c r="AJ213" s="60">
        <f t="shared" si="59"/>
        <v>222.42727297497697</v>
      </c>
    </row>
    <row r="214" spans="1:36" x14ac:dyDescent="0.3">
      <c r="A214" s="30">
        <v>2018</v>
      </c>
      <c r="B214" s="28">
        <v>22.3</v>
      </c>
      <c r="C214" s="30" t="s">
        <v>22</v>
      </c>
      <c r="D214" s="30" t="s">
        <v>30</v>
      </c>
      <c r="E214" s="30">
        <v>0.18</v>
      </c>
      <c r="F214" s="28" t="s">
        <v>1578</v>
      </c>
      <c r="G214" s="28" t="s">
        <v>1579</v>
      </c>
      <c r="H214" s="28" t="s">
        <v>1580</v>
      </c>
      <c r="I214" s="28" t="s">
        <v>2578</v>
      </c>
      <c r="J214" s="149" t="str">
        <f t="shared" si="57"/>
        <v>https://doi.org/10.1109/VLSIC.2018.8502264</v>
      </c>
      <c r="K214" s="28" t="s">
        <v>1050</v>
      </c>
      <c r="L214" s="38">
        <v>1</v>
      </c>
      <c r="M214" s="38"/>
      <c r="N214" s="38"/>
      <c r="P214" s="30">
        <v>0.55000000000000004</v>
      </c>
      <c r="Q214" s="60"/>
      <c r="R214" s="63">
        <v>10000</v>
      </c>
      <c r="S214" s="60">
        <v>91.3</v>
      </c>
      <c r="W214" s="30">
        <v>104.7</v>
      </c>
      <c r="X214" s="29">
        <f>+IF(ISNUMBER($S214),$S214,MIN($V214,$T214,$U214,$W214))</f>
        <v>91.3</v>
      </c>
      <c r="Y214" s="63">
        <v>6.4999999999999996E-6</v>
      </c>
      <c r="Z214" s="80">
        <v>12800</v>
      </c>
      <c r="AA214" s="30">
        <v>64</v>
      </c>
      <c r="AB214" s="63">
        <f t="shared" si="60"/>
        <v>200</v>
      </c>
      <c r="AC214" s="5" t="s">
        <v>2096</v>
      </c>
      <c r="AD214" s="111">
        <f t="shared" si="46"/>
        <v>32500</v>
      </c>
      <c r="AE214" s="29" t="str">
        <f t="shared" si="47"/>
        <v/>
      </c>
      <c r="AF214" s="29">
        <f t="shared" si="48"/>
        <v>1082.5232004445197</v>
      </c>
      <c r="AG214" s="29" t="str">
        <f t="shared" si="49"/>
        <v/>
      </c>
      <c r="AH214" s="29">
        <f t="shared" si="50"/>
        <v>163.17086643357146</v>
      </c>
      <c r="AI214" s="63">
        <f>AF214/AB214</f>
        <v>5.4126160022225989</v>
      </c>
      <c r="AJ214" s="60">
        <f>AH214+10*LOG10(AB214)</f>
        <v>186.18116639021127</v>
      </c>
    </row>
    <row r="215" spans="1:36" x14ac:dyDescent="0.3">
      <c r="A215" s="30">
        <v>2018</v>
      </c>
      <c r="B215" s="28">
        <v>25.5</v>
      </c>
      <c r="C215" s="30" t="s">
        <v>23</v>
      </c>
      <c r="D215" s="30" t="s">
        <v>592</v>
      </c>
      <c r="E215" s="30">
        <v>1.4E-2</v>
      </c>
      <c r="F215" s="28" t="s">
        <v>1575</v>
      </c>
      <c r="G215" s="28" t="s">
        <v>2203</v>
      </c>
      <c r="H215" s="28" t="s">
        <v>1577</v>
      </c>
      <c r="I215" s="28" t="s">
        <v>2579</v>
      </c>
      <c r="J215" s="149" t="str">
        <f t="shared" si="57"/>
        <v>https://doi.org/10.1109/VLSIC.2018.8502268</v>
      </c>
      <c r="K215" s="28" t="s">
        <v>1050</v>
      </c>
      <c r="L215" s="38">
        <v>0.95</v>
      </c>
      <c r="M215" s="38">
        <v>0.8</v>
      </c>
      <c r="N215" s="38"/>
      <c r="P215" s="30">
        <v>0.16</v>
      </c>
      <c r="Q215" s="60">
        <v>47.3</v>
      </c>
      <c r="R215" s="63">
        <v>39800000000</v>
      </c>
      <c r="S215" s="60">
        <v>37.799999999999997</v>
      </c>
      <c r="X215" s="29">
        <f>+IF(ISNUMBER($S215),$S215,MIN($V215,$T215,$U215,$W215))</f>
        <v>37.799999999999997</v>
      </c>
      <c r="Y215" s="63">
        <v>0.19900000000000001</v>
      </c>
      <c r="Z215" s="80">
        <v>32000000000</v>
      </c>
      <c r="AA215" s="30">
        <v>1</v>
      </c>
      <c r="AB215" s="63">
        <f t="shared" si="60"/>
        <v>32000000000</v>
      </c>
      <c r="AC215" s="5" t="s">
        <v>2096</v>
      </c>
      <c r="AD215" s="111">
        <f t="shared" si="46"/>
        <v>6.21875</v>
      </c>
      <c r="AE215" s="29">
        <f t="shared" si="47"/>
        <v>32.845523440892997</v>
      </c>
      <c r="AF215" s="29">
        <f t="shared" si="48"/>
        <v>98.067142905193435</v>
      </c>
      <c r="AG215" s="29">
        <f t="shared" si="49"/>
        <v>156.35266906246218</v>
      </c>
      <c r="AH215" s="29">
        <f t="shared" si="50"/>
        <v>146.85266906246218</v>
      </c>
      <c r="AI215" s="63">
        <f>AF215/AB215</f>
        <v>3.0645982157872947E-9</v>
      </c>
      <c r="AJ215" s="60">
        <f>AH215+10*LOG10(AB215)</f>
        <v>251.90416884566125</v>
      </c>
    </row>
    <row r="216" spans="1:36" x14ac:dyDescent="0.3">
      <c r="A216" s="31">
        <v>2019</v>
      </c>
      <c r="B216" s="28">
        <v>7.1</v>
      </c>
      <c r="C216" s="30" t="s">
        <v>22</v>
      </c>
      <c r="D216" s="30" t="s">
        <v>1494</v>
      </c>
      <c r="E216" s="30">
        <v>0.04</v>
      </c>
      <c r="F216" s="28" t="s">
        <v>1632</v>
      </c>
      <c r="G216" s="28" t="s">
        <v>1634</v>
      </c>
      <c r="H216" s="28" t="s">
        <v>1633</v>
      </c>
      <c r="I216" s="28" t="s">
        <v>2580</v>
      </c>
      <c r="J216" s="149" t="str">
        <f t="shared" si="57"/>
        <v>https://doi.org/10.23919/VLSIC.2019.8778032</v>
      </c>
      <c r="K216" s="28" t="s">
        <v>1050</v>
      </c>
      <c r="L216" s="38">
        <v>1</v>
      </c>
      <c r="M216" s="38"/>
      <c r="N216" s="38"/>
      <c r="O216" s="30">
        <v>1</v>
      </c>
      <c r="P216" s="30">
        <v>6.0999999999999999E-2</v>
      </c>
      <c r="R216" s="63">
        <v>12500000</v>
      </c>
      <c r="S216" s="30">
        <v>75.8</v>
      </c>
      <c r="U216" s="30">
        <v>76.8</v>
      </c>
      <c r="W216" s="30">
        <v>92.9</v>
      </c>
      <c r="X216" s="29">
        <f t="shared" ref="X216:X234" si="61">+IF(ISNUMBER($S216),$S216,MIN($V216,$T216,$U216,$W216))</f>
        <v>75.8</v>
      </c>
      <c r="Y216" s="63">
        <v>1.5399999999999999E-3</v>
      </c>
      <c r="Z216" s="80">
        <v>100000000</v>
      </c>
      <c r="AA216" s="30">
        <v>4</v>
      </c>
      <c r="AB216" s="63">
        <f t="shared" si="60"/>
        <v>25000000</v>
      </c>
      <c r="AC216" s="5" t="s">
        <v>2096</v>
      </c>
      <c r="AD216" s="111">
        <f t="shared" si="46"/>
        <v>61.6</v>
      </c>
      <c r="AE216" s="29" t="str">
        <f t="shared" si="47"/>
        <v/>
      </c>
      <c r="AF216" s="29">
        <f t="shared" si="48"/>
        <v>12.223956489679999</v>
      </c>
      <c r="AG216" s="29" t="str">
        <f t="shared" si="49"/>
        <v/>
      </c>
      <c r="AH216" s="29">
        <f t="shared" si="50"/>
        <v>174.89389292171592</v>
      </c>
      <c r="AI216" s="63">
        <f t="shared" ref="AI216:AI226" si="62">AF216/AB216</f>
        <v>4.8895825958719997E-7</v>
      </c>
      <c r="AJ216" s="60">
        <f t="shared" ref="AJ216:AJ226" si="63">AH216+10*LOG10(AB216)</f>
        <v>248.87329300843629</v>
      </c>
    </row>
    <row r="217" spans="1:36" x14ac:dyDescent="0.3">
      <c r="A217" s="30">
        <v>2019</v>
      </c>
      <c r="B217" s="28">
        <v>7.2</v>
      </c>
      <c r="C217" s="30" t="s">
        <v>22</v>
      </c>
      <c r="D217" s="30" t="s">
        <v>31</v>
      </c>
      <c r="E217" s="30">
        <v>5.5E-2</v>
      </c>
      <c r="F217" s="28" t="s">
        <v>1635</v>
      </c>
      <c r="G217" s="28" t="s">
        <v>2204</v>
      </c>
      <c r="H217" s="28" t="s">
        <v>1636</v>
      </c>
      <c r="I217" s="28" t="s">
        <v>2581</v>
      </c>
      <c r="J217" s="149" t="str">
        <f t="shared" si="57"/>
        <v>https://doi.org/10.23919/VLSIC.2019.8777944</v>
      </c>
      <c r="K217" s="28" t="s">
        <v>1050</v>
      </c>
      <c r="L217" s="38">
        <v>2.5</v>
      </c>
      <c r="M217" s="38">
        <v>1.2</v>
      </c>
      <c r="N217" s="38"/>
      <c r="P217" s="30">
        <v>6.8000000000000005E-2</v>
      </c>
      <c r="Q217" s="60"/>
      <c r="R217" s="63">
        <v>250</v>
      </c>
      <c r="S217" s="60">
        <v>103</v>
      </c>
      <c r="U217" s="30">
        <v>109.4</v>
      </c>
      <c r="W217" s="30">
        <v>106.3</v>
      </c>
      <c r="X217" s="29">
        <f t="shared" si="61"/>
        <v>103</v>
      </c>
      <c r="Y217" s="63">
        <v>2.8E-5</v>
      </c>
      <c r="Z217" s="80">
        <v>512000</v>
      </c>
      <c r="AA217" s="30">
        <v>1024</v>
      </c>
      <c r="AB217" s="63">
        <f t="shared" si="60"/>
        <v>500</v>
      </c>
      <c r="AC217" s="5" t="s">
        <v>2096</v>
      </c>
      <c r="AD217" s="111">
        <f t="shared" si="46"/>
        <v>56000</v>
      </c>
      <c r="AE217" s="29" t="str">
        <f t="shared" si="47"/>
        <v/>
      </c>
      <c r="AF217" s="29">
        <f t="shared" si="48"/>
        <v>484.93505735691957</v>
      </c>
      <c r="AG217" s="29" t="str">
        <f t="shared" si="49"/>
        <v/>
      </c>
      <c r="AH217" s="29">
        <f t="shared" si="50"/>
        <v>172.50781977329819</v>
      </c>
      <c r="AI217" s="63">
        <f t="shared" si="62"/>
        <v>0.9698701147138391</v>
      </c>
      <c r="AJ217" s="60">
        <f t="shared" si="63"/>
        <v>199.49751981665838</v>
      </c>
    </row>
    <row r="218" spans="1:36" x14ac:dyDescent="0.3">
      <c r="A218" s="30">
        <v>2019</v>
      </c>
      <c r="B218" s="28">
        <v>7.3</v>
      </c>
      <c r="C218" s="30" t="s">
        <v>23</v>
      </c>
      <c r="D218" s="30" t="s">
        <v>1494</v>
      </c>
      <c r="E218" s="30">
        <v>0.04</v>
      </c>
      <c r="F218" s="28" t="s">
        <v>1637</v>
      </c>
      <c r="G218" s="28" t="s">
        <v>2205</v>
      </c>
      <c r="H218" s="28" t="s">
        <v>1638</v>
      </c>
      <c r="I218" s="28" t="s">
        <v>2582</v>
      </c>
      <c r="J218" s="149" t="str">
        <f t="shared" si="57"/>
        <v>https://doi.org/10.23919/VLSIC.2019.8778005</v>
      </c>
      <c r="K218" s="28" t="s">
        <v>1050</v>
      </c>
      <c r="L218" s="38">
        <v>0.9</v>
      </c>
      <c r="M218" s="38"/>
      <c r="N218" s="38"/>
      <c r="P218" s="30">
        <v>2.5999999999999999E-2</v>
      </c>
      <c r="Q218" s="60"/>
      <c r="R218" s="63">
        <v>100000000</v>
      </c>
      <c r="S218" s="60">
        <v>62.1</v>
      </c>
      <c r="W218" s="30">
        <v>67.099999999999994</v>
      </c>
      <c r="X218" s="29">
        <f t="shared" si="61"/>
        <v>62.1</v>
      </c>
      <c r="Y218" s="63">
        <v>3.8999999999999998E-3</v>
      </c>
      <c r="Z218" s="80">
        <v>200000000</v>
      </c>
      <c r="AA218" s="30">
        <v>1</v>
      </c>
      <c r="AB218" s="63">
        <f t="shared" si="60"/>
        <v>200000000</v>
      </c>
      <c r="AC218" s="5" t="s">
        <v>2096</v>
      </c>
      <c r="AD218" s="111">
        <f t="shared" si="46"/>
        <v>19.5</v>
      </c>
      <c r="AE218" s="29" t="str">
        <f t="shared" si="47"/>
        <v/>
      </c>
      <c r="AF218" s="29">
        <f t="shared" si="48"/>
        <v>18.738462638497179</v>
      </c>
      <c r="AG218" s="29" t="str">
        <f t="shared" si="49"/>
        <v/>
      </c>
      <c r="AH218" s="29">
        <f t="shared" si="50"/>
        <v>166.18935392973501</v>
      </c>
      <c r="AI218" s="63">
        <f t="shared" si="62"/>
        <v>9.3692313192485895E-8</v>
      </c>
      <c r="AJ218" s="60">
        <f t="shared" si="63"/>
        <v>249.19965388637482</v>
      </c>
    </row>
    <row r="219" spans="1:36" x14ac:dyDescent="0.3">
      <c r="A219" s="30">
        <v>2019</v>
      </c>
      <c r="B219" s="28">
        <v>7.4</v>
      </c>
      <c r="C219" s="30" t="s">
        <v>23</v>
      </c>
      <c r="D219" s="30" t="s">
        <v>31</v>
      </c>
      <c r="E219" s="30">
        <v>6.5000000000000002E-2</v>
      </c>
      <c r="F219" s="28" t="s">
        <v>1639</v>
      </c>
      <c r="G219" s="28" t="s">
        <v>2206</v>
      </c>
      <c r="H219" s="28" t="s">
        <v>1640</v>
      </c>
      <c r="I219" s="28" t="s">
        <v>2583</v>
      </c>
      <c r="J219" s="149" t="str">
        <f t="shared" si="57"/>
        <v>https://doi.org/10.23919/VLSIC.2019.8778093</v>
      </c>
      <c r="K219" s="28" t="s">
        <v>1050</v>
      </c>
      <c r="L219" s="38">
        <v>0.7</v>
      </c>
      <c r="M219" s="38"/>
      <c r="N219" s="38"/>
      <c r="P219" s="30">
        <v>0.04</v>
      </c>
      <c r="Q219" s="60"/>
      <c r="R219" s="63">
        <v>100000</v>
      </c>
      <c r="S219" s="60">
        <f>9.07*6.02+1.76</f>
        <v>56.361399999999996</v>
      </c>
      <c r="W219" s="60">
        <v>66</v>
      </c>
      <c r="X219" s="29">
        <f t="shared" si="61"/>
        <v>56.361399999999996</v>
      </c>
      <c r="Y219" s="63">
        <f>0.00000000000019*200000</f>
        <v>3.8000000000000003E-8</v>
      </c>
      <c r="Z219" s="80">
        <v>200000</v>
      </c>
      <c r="AA219" s="30">
        <v>1</v>
      </c>
      <c r="AB219" s="63">
        <f t="shared" si="60"/>
        <v>200000</v>
      </c>
      <c r="AC219" s="5" t="s">
        <v>2096</v>
      </c>
      <c r="AD219" s="111">
        <f t="shared" si="46"/>
        <v>0.19000000000000003</v>
      </c>
      <c r="AE219" s="29" t="str">
        <f t="shared" si="47"/>
        <v/>
      </c>
      <c r="AF219" s="120">
        <f t="shared" si="48"/>
        <v>0.3535180070866174</v>
      </c>
      <c r="AG219" s="29" t="str">
        <f t="shared" si="49"/>
        <v/>
      </c>
      <c r="AH219" s="29">
        <f t="shared" si="50"/>
        <v>180.56356403383191</v>
      </c>
      <c r="AI219" s="63">
        <f t="shared" si="62"/>
        <v>1.7675900354330871E-6</v>
      </c>
      <c r="AJ219" s="60">
        <f t="shared" si="63"/>
        <v>233.57386399047172</v>
      </c>
    </row>
    <row r="220" spans="1:36" x14ac:dyDescent="0.3">
      <c r="A220" s="30">
        <v>2019</v>
      </c>
      <c r="B220" s="28">
        <v>7.5</v>
      </c>
      <c r="C220" s="30" t="s">
        <v>23</v>
      </c>
      <c r="D220" s="30" t="s">
        <v>592</v>
      </c>
      <c r="E220" s="30">
        <v>2.8000000000000001E-2</v>
      </c>
      <c r="F220" s="28" t="s">
        <v>1641</v>
      </c>
      <c r="G220" s="28" t="s">
        <v>1642</v>
      </c>
      <c r="H220" s="28" t="s">
        <v>1643</v>
      </c>
      <c r="I220" s="28" t="s">
        <v>2584</v>
      </c>
      <c r="J220" s="149" t="str">
        <f t="shared" si="57"/>
        <v>https://doi.org/10.23919/VLSIC.2019.8778077</v>
      </c>
      <c r="K220" s="28" t="s">
        <v>1050</v>
      </c>
      <c r="L220" s="38">
        <v>1</v>
      </c>
      <c r="M220" s="38">
        <v>0.85</v>
      </c>
      <c r="N220" s="38"/>
      <c r="P220" s="30">
        <v>0.10299999999999999</v>
      </c>
      <c r="Q220" s="60">
        <v>50</v>
      </c>
      <c r="R220" s="63">
        <v>2500000000</v>
      </c>
      <c r="S220" s="60">
        <v>48.5</v>
      </c>
      <c r="W220" s="30">
        <v>59.6</v>
      </c>
      <c r="X220" s="29">
        <f t="shared" si="61"/>
        <v>48.5</v>
      </c>
      <c r="Y220" s="63">
        <v>2.9000000000000001E-2</v>
      </c>
      <c r="Z220" s="80">
        <v>5000000000</v>
      </c>
      <c r="AA220" s="30">
        <v>1</v>
      </c>
      <c r="AB220" s="63">
        <f t="shared" si="60"/>
        <v>5000000000</v>
      </c>
      <c r="AC220" s="5" t="s">
        <v>2096</v>
      </c>
      <c r="AD220" s="111">
        <f t="shared" si="46"/>
        <v>5.8000000000000007</v>
      </c>
      <c r="AE220" s="29">
        <f t="shared" si="47"/>
        <v>22.448515647289263</v>
      </c>
      <c r="AF220" s="29">
        <f t="shared" si="48"/>
        <v>26.680570005499508</v>
      </c>
      <c r="AG220" s="29">
        <f t="shared" si="49"/>
        <v>159.35542010773082</v>
      </c>
      <c r="AH220" s="29">
        <f t="shared" si="50"/>
        <v>157.85542010773082</v>
      </c>
      <c r="AI220" s="63">
        <f t="shared" si="62"/>
        <v>5.3361140010999018E-9</v>
      </c>
      <c r="AJ220" s="60">
        <f t="shared" si="63"/>
        <v>254.84512015109101</v>
      </c>
    </row>
    <row r="221" spans="1:36" x14ac:dyDescent="0.3">
      <c r="A221" s="30">
        <v>2019</v>
      </c>
      <c r="B221" s="28">
        <v>18.399999999999999</v>
      </c>
      <c r="C221" s="30" t="s">
        <v>23</v>
      </c>
      <c r="D221" s="30" t="s">
        <v>2216</v>
      </c>
      <c r="E221" s="30">
        <v>0.18</v>
      </c>
      <c r="F221" s="28" t="s">
        <v>1644</v>
      </c>
      <c r="G221" s="28" t="s">
        <v>1645</v>
      </c>
      <c r="H221" s="28" t="s">
        <v>1646</v>
      </c>
      <c r="I221" s="28" t="s">
        <v>2585</v>
      </c>
      <c r="J221" s="149" t="str">
        <f t="shared" si="57"/>
        <v>https://doi.org/10.23919/VLSIC.2019.8778200</v>
      </c>
      <c r="K221" s="28" t="s">
        <v>1660</v>
      </c>
      <c r="L221" s="38"/>
      <c r="M221" s="38"/>
      <c r="N221" s="38"/>
      <c r="P221" s="30">
        <v>2.3E-2</v>
      </c>
      <c r="Q221" s="60"/>
      <c r="R221" s="63">
        <v>5000000</v>
      </c>
      <c r="S221" s="60">
        <v>49.8</v>
      </c>
      <c r="X221" s="29">
        <f t="shared" si="61"/>
        <v>49.8</v>
      </c>
      <c r="Y221" s="63">
        <v>1.14E-3</v>
      </c>
      <c r="Z221" s="80">
        <v>30000000</v>
      </c>
      <c r="AA221" s="30">
        <v>1</v>
      </c>
      <c r="AB221" s="63">
        <f t="shared" si="60"/>
        <v>30000000</v>
      </c>
      <c r="AC221" s="5" t="s">
        <v>2096</v>
      </c>
      <c r="AD221" s="111">
        <f t="shared" si="46"/>
        <v>38</v>
      </c>
      <c r="AE221" s="29" t="str">
        <f t="shared" si="47"/>
        <v/>
      </c>
      <c r="AF221" s="29">
        <f t="shared" si="48"/>
        <v>150.5026785265396</v>
      </c>
      <c r="AG221" s="29" t="str">
        <f t="shared" si="49"/>
        <v/>
      </c>
      <c r="AH221" s="29">
        <f t="shared" si="50"/>
        <v>150.99186407719208</v>
      </c>
      <c r="AI221" s="63">
        <f t="shared" si="62"/>
        <v>5.0167559508846536E-6</v>
      </c>
      <c r="AJ221" s="60">
        <f t="shared" si="63"/>
        <v>225.7630766243887</v>
      </c>
    </row>
    <row r="222" spans="1:36" x14ac:dyDescent="0.3">
      <c r="A222" s="30">
        <v>2019</v>
      </c>
      <c r="B222" s="28">
        <v>19.100000000000001</v>
      </c>
      <c r="C222" s="30" t="s">
        <v>22</v>
      </c>
      <c r="D222" s="30" t="s">
        <v>30</v>
      </c>
      <c r="E222" s="30">
        <v>0.16</v>
      </c>
      <c r="F222" s="28" t="s">
        <v>1647</v>
      </c>
      <c r="G222" s="28" t="s">
        <v>2207</v>
      </c>
      <c r="H222" s="28" t="s">
        <v>1648</v>
      </c>
      <c r="I222" s="28" t="s">
        <v>2586</v>
      </c>
      <c r="J222" s="149" t="str">
        <f t="shared" si="57"/>
        <v>https://doi.org/10.23919/VLSIC.2019.8778021</v>
      </c>
      <c r="K222" s="28" t="s">
        <v>1050</v>
      </c>
      <c r="L222" s="38">
        <v>1.8</v>
      </c>
      <c r="M222" s="38"/>
      <c r="N222" s="38"/>
      <c r="P222" s="30">
        <v>0.27</v>
      </c>
      <c r="Q222" s="60"/>
      <c r="R222" s="63">
        <v>20000</v>
      </c>
      <c r="S222" s="60">
        <v>106.4</v>
      </c>
      <c r="T222" s="30">
        <v>108.1</v>
      </c>
      <c r="U222" s="30">
        <v>108.5</v>
      </c>
      <c r="X222" s="29">
        <f t="shared" si="61"/>
        <v>106.4</v>
      </c>
      <c r="Y222" s="63">
        <v>6.1799999999999995E-4</v>
      </c>
      <c r="Z222" s="80">
        <v>5120000</v>
      </c>
      <c r="AA222" s="30">
        <v>128</v>
      </c>
      <c r="AB222" s="63">
        <f t="shared" si="60"/>
        <v>40000</v>
      </c>
      <c r="AC222" s="5" t="s">
        <v>2096</v>
      </c>
      <c r="AD222" s="111">
        <f t="shared" si="46"/>
        <v>15450</v>
      </c>
      <c r="AE222" s="29" t="str">
        <f t="shared" si="47"/>
        <v/>
      </c>
      <c r="AF222" s="29">
        <f t="shared" si="48"/>
        <v>90.449693041422535</v>
      </c>
      <c r="AG222" s="29" t="str">
        <f t="shared" si="49"/>
        <v/>
      </c>
      <c r="AH222" s="29">
        <f t="shared" si="50"/>
        <v>181.50041520575166</v>
      </c>
      <c r="AI222" s="63">
        <f t="shared" si="62"/>
        <v>2.2612423260355632E-3</v>
      </c>
      <c r="AJ222" s="60">
        <f t="shared" si="63"/>
        <v>227.52101511903129</v>
      </c>
    </row>
    <row r="223" spans="1:36" x14ac:dyDescent="0.3">
      <c r="A223" s="30">
        <v>2019</v>
      </c>
      <c r="B223" s="28">
        <v>19.2</v>
      </c>
      <c r="C223" s="30" t="s">
        <v>22</v>
      </c>
      <c r="D223" s="30" t="s">
        <v>30</v>
      </c>
      <c r="E223" s="30">
        <v>0.18</v>
      </c>
      <c r="F223" s="28" t="s">
        <v>1651</v>
      </c>
      <c r="G223" s="28" t="s">
        <v>1649</v>
      </c>
      <c r="H223" s="28" t="s">
        <v>1650</v>
      </c>
      <c r="I223" s="28" t="s">
        <v>2587</v>
      </c>
      <c r="J223" s="149" t="str">
        <f t="shared" si="57"/>
        <v>https://doi.org/10.23919/VLSIC.2019.8778026</v>
      </c>
      <c r="K223" s="28" t="s">
        <v>1050</v>
      </c>
      <c r="L223" s="38"/>
      <c r="M223" s="38"/>
      <c r="N223" s="38"/>
      <c r="P223" s="30">
        <v>2.85</v>
      </c>
      <c r="Q223" s="60"/>
      <c r="R223" s="63">
        <v>250000</v>
      </c>
      <c r="S223" s="60">
        <v>103.5</v>
      </c>
      <c r="T223" s="30">
        <v>108.2</v>
      </c>
      <c r="U223" s="30">
        <v>107.5</v>
      </c>
      <c r="X223" s="29">
        <f t="shared" si="61"/>
        <v>103.5</v>
      </c>
      <c r="Y223" s="63">
        <v>2.4E-2</v>
      </c>
      <c r="Z223" s="80">
        <v>32000000</v>
      </c>
      <c r="AA223" s="30">
        <v>64</v>
      </c>
      <c r="AB223" s="63">
        <f t="shared" si="60"/>
        <v>500000</v>
      </c>
      <c r="AC223" s="5" t="s">
        <v>2096</v>
      </c>
      <c r="AD223" s="111">
        <f t="shared" si="46"/>
        <v>48000</v>
      </c>
      <c r="AE223" s="29" t="str">
        <f t="shared" si="47"/>
        <v/>
      </c>
      <c r="AF223" s="29">
        <f t="shared" si="48"/>
        <v>392.40479055146477</v>
      </c>
      <c r="AG223" s="29" t="str">
        <f t="shared" si="49"/>
        <v/>
      </c>
      <c r="AH223" s="29">
        <f t="shared" si="50"/>
        <v>173.67728766960431</v>
      </c>
      <c r="AI223" s="63">
        <f t="shared" si="62"/>
        <v>7.8480958110292958E-4</v>
      </c>
      <c r="AJ223" s="60">
        <f t="shared" si="63"/>
        <v>230.6669877129645</v>
      </c>
    </row>
    <row r="224" spans="1:36" x14ac:dyDescent="0.3">
      <c r="A224" s="30">
        <v>2019</v>
      </c>
      <c r="B224" s="28">
        <v>19.3</v>
      </c>
      <c r="C224" s="30" t="s">
        <v>22</v>
      </c>
      <c r="D224" s="30" t="s">
        <v>30</v>
      </c>
      <c r="E224" s="30">
        <v>1.2E-2</v>
      </c>
      <c r="F224" s="28" t="s">
        <v>1652</v>
      </c>
      <c r="G224" s="28" t="s">
        <v>1654</v>
      </c>
      <c r="H224" s="28" t="s">
        <v>1653</v>
      </c>
      <c r="I224" s="28" t="s">
        <v>2588</v>
      </c>
      <c r="J224" s="149" t="str">
        <f t="shared" si="57"/>
        <v>https://doi.org/10.23919/VLSIC.2019.8777949</v>
      </c>
      <c r="K224" s="28" t="s">
        <v>1050</v>
      </c>
      <c r="L224" s="38">
        <v>1.5</v>
      </c>
      <c r="M224" s="38">
        <v>0.8</v>
      </c>
      <c r="N224" s="38"/>
      <c r="P224" s="30">
        <f>0.45*0.13</f>
        <v>5.8500000000000003E-2</v>
      </c>
      <c r="Q224" s="60"/>
      <c r="R224" s="63">
        <v>30000000</v>
      </c>
      <c r="S224" s="60">
        <v>71.400000000000006</v>
      </c>
      <c r="U224" s="30">
        <v>74.5</v>
      </c>
      <c r="X224" s="29">
        <f t="shared" si="61"/>
        <v>71.400000000000006</v>
      </c>
      <c r="Y224" s="63">
        <v>3.2000000000000002E-3</v>
      </c>
      <c r="Z224" s="80">
        <v>832000000</v>
      </c>
      <c r="AA224" s="38">
        <f>832/60</f>
        <v>13.866666666666667</v>
      </c>
      <c r="AB224" s="63">
        <f t="shared" si="60"/>
        <v>60000000</v>
      </c>
      <c r="AC224" s="5" t="s">
        <v>2096</v>
      </c>
      <c r="AD224" s="111">
        <f t="shared" si="46"/>
        <v>53.333333333333336</v>
      </c>
      <c r="AE224" s="29" t="str">
        <f t="shared" si="47"/>
        <v/>
      </c>
      <c r="AF224" s="29">
        <f t="shared" si="48"/>
        <v>17.565144824846012</v>
      </c>
      <c r="AG224" s="29" t="str">
        <f t="shared" si="49"/>
        <v/>
      </c>
      <c r="AH224" s="29">
        <f t="shared" si="50"/>
        <v>171.11971276399757</v>
      </c>
      <c r="AI224" s="63">
        <f t="shared" si="62"/>
        <v>2.9275241374743351E-7</v>
      </c>
      <c r="AJ224" s="60">
        <f t="shared" si="63"/>
        <v>248.90122526783401</v>
      </c>
    </row>
    <row r="225" spans="1:36" x14ac:dyDescent="0.3">
      <c r="A225" s="30">
        <v>2019</v>
      </c>
      <c r="B225" s="28">
        <v>19.399999999999999</v>
      </c>
      <c r="C225" s="30" t="s">
        <v>22</v>
      </c>
      <c r="D225" s="30" t="s">
        <v>30</v>
      </c>
      <c r="E225" s="30">
        <v>2.8000000000000001E-2</v>
      </c>
      <c r="F225" s="28" t="s">
        <v>1656</v>
      </c>
      <c r="G225" s="28" t="s">
        <v>1655</v>
      </c>
      <c r="H225" s="28" t="s">
        <v>1657</v>
      </c>
      <c r="I225" s="28" t="s">
        <v>2589</v>
      </c>
      <c r="J225" s="149" t="str">
        <f t="shared" si="57"/>
        <v>https://doi.org/10.23919/VLSIC.2019.8778176</v>
      </c>
      <c r="K225" s="28" t="s">
        <v>1050</v>
      </c>
      <c r="L225" s="38">
        <v>0.9</v>
      </c>
      <c r="M225" s="38"/>
      <c r="N225" s="38"/>
      <c r="P225" s="30">
        <v>2.5000000000000001E-2</v>
      </c>
      <c r="Q225" s="60"/>
      <c r="R225" s="63">
        <v>40000000</v>
      </c>
      <c r="S225" s="60">
        <v>77.5</v>
      </c>
      <c r="U225" s="30">
        <v>78.2</v>
      </c>
      <c r="X225" s="29">
        <f t="shared" si="61"/>
        <v>77.5</v>
      </c>
      <c r="Y225" s="63">
        <v>3.2000000000000002E-3</v>
      </c>
      <c r="Z225" s="80">
        <v>2400000000</v>
      </c>
      <c r="AA225" s="30">
        <v>30</v>
      </c>
      <c r="AB225" s="63">
        <f t="shared" si="60"/>
        <v>80000000</v>
      </c>
      <c r="AC225" s="5" t="s">
        <v>2096</v>
      </c>
      <c r="AD225" s="111">
        <f t="shared" si="46"/>
        <v>40.000000000000007</v>
      </c>
      <c r="AE225" s="29" t="str">
        <f t="shared" si="47"/>
        <v/>
      </c>
      <c r="AF225" s="29">
        <f t="shared" si="48"/>
        <v>6.5265339880958564</v>
      </c>
      <c r="AG225" s="29" t="str">
        <f t="shared" si="49"/>
        <v/>
      </c>
      <c r="AH225" s="29">
        <f t="shared" si="50"/>
        <v>178.46910013008056</v>
      </c>
      <c r="AI225" s="63">
        <f t="shared" si="62"/>
        <v>8.1581674851198209E-8</v>
      </c>
      <c r="AJ225" s="60">
        <f t="shared" si="63"/>
        <v>257.5</v>
      </c>
    </row>
    <row r="226" spans="1:36" x14ac:dyDescent="0.3">
      <c r="A226" s="30">
        <v>2019</v>
      </c>
      <c r="B226" s="28">
        <v>22.3</v>
      </c>
      <c r="C226" s="30" t="s">
        <v>23</v>
      </c>
      <c r="D226" s="30" t="s">
        <v>592</v>
      </c>
      <c r="E226" s="30">
        <v>7.0000000000000001E-3</v>
      </c>
      <c r="F226" s="28" t="s">
        <v>1658</v>
      </c>
      <c r="G226" s="28" t="s">
        <v>2208</v>
      </c>
      <c r="H226" s="28" t="s">
        <v>1659</v>
      </c>
      <c r="I226" s="28" t="s">
        <v>2590</v>
      </c>
      <c r="J226" s="149" t="str">
        <f t="shared" si="57"/>
        <v>https://doi.org/10.23919/VLSIC.2019.8778051</v>
      </c>
      <c r="K226" s="28" t="s">
        <v>1050</v>
      </c>
      <c r="L226" s="38"/>
      <c r="M226" s="38"/>
      <c r="N226" s="38"/>
      <c r="O226" s="30">
        <v>3.6999999999999998E-2</v>
      </c>
      <c r="P226" s="30">
        <v>0.09</v>
      </c>
      <c r="Q226" s="60">
        <v>34.9</v>
      </c>
      <c r="R226" s="63">
        <v>13477000000</v>
      </c>
      <c r="S226" s="30">
        <v>29.4</v>
      </c>
      <c r="W226" s="30">
        <v>39.1</v>
      </c>
      <c r="X226" s="29">
        <f t="shared" si="61"/>
        <v>29.4</v>
      </c>
      <c r="Y226" s="63">
        <v>0.15</v>
      </c>
      <c r="Z226" s="80">
        <v>28000000000</v>
      </c>
      <c r="AA226" s="30">
        <v>1</v>
      </c>
      <c r="AB226" s="63">
        <f t="shared" si="60"/>
        <v>28000000000</v>
      </c>
      <c r="AC226" s="5" t="s">
        <v>2096</v>
      </c>
      <c r="AD226" s="111">
        <f t="shared" si="46"/>
        <v>5.3571428571428577</v>
      </c>
      <c r="AE226" s="29">
        <f t="shared" si="47"/>
        <v>117.96905543447258</v>
      </c>
      <c r="AF226" s="29">
        <f t="shared" si="48"/>
        <v>222.22632625129677</v>
      </c>
      <c r="AG226" s="29">
        <f t="shared" si="49"/>
        <v>144.60036776622556</v>
      </c>
      <c r="AH226" s="29">
        <f t="shared" si="50"/>
        <v>139.10036776622556</v>
      </c>
      <c r="AI226" s="63">
        <f t="shared" si="62"/>
        <v>7.9366545089748841E-9</v>
      </c>
      <c r="AJ226" s="60">
        <f t="shared" si="63"/>
        <v>243.57194807964777</v>
      </c>
    </row>
    <row r="227" spans="1:36" x14ac:dyDescent="0.3">
      <c r="A227" s="31">
        <v>2020</v>
      </c>
      <c r="B227" s="70" t="s">
        <v>1721</v>
      </c>
      <c r="C227" s="30" t="s">
        <v>23</v>
      </c>
      <c r="D227" s="30" t="s">
        <v>26</v>
      </c>
      <c r="E227" s="30">
        <v>1.6E-2</v>
      </c>
      <c r="F227" s="28" t="s">
        <v>1722</v>
      </c>
      <c r="G227" s="28" t="s">
        <v>1723</v>
      </c>
      <c r="H227" s="28" t="s">
        <v>1746</v>
      </c>
      <c r="I227" s="28" t="s">
        <v>2591</v>
      </c>
      <c r="J227" s="149" t="str">
        <f t="shared" si="57"/>
        <v>https://doi.org/10.1109/VLSICircuits18222.2020.9162788</v>
      </c>
      <c r="K227" s="28" t="s">
        <v>1050</v>
      </c>
      <c r="L227" s="38">
        <v>0.9</v>
      </c>
      <c r="M227" s="38"/>
      <c r="N227" s="38"/>
      <c r="P227" s="30">
        <v>9.5000000000000001E-2</v>
      </c>
      <c r="Q227" s="60">
        <v>59.8</v>
      </c>
      <c r="R227" s="63">
        <v>500000000</v>
      </c>
      <c r="S227" s="30">
        <v>59.5</v>
      </c>
      <c r="V227" s="30">
        <v>69.900000000000006</v>
      </c>
      <c r="W227" s="30">
        <v>75.900000000000006</v>
      </c>
      <c r="X227" s="29">
        <f t="shared" si="61"/>
        <v>59.5</v>
      </c>
      <c r="Y227" s="63">
        <v>1.09E-2</v>
      </c>
      <c r="Z227" s="80">
        <v>1000000000</v>
      </c>
      <c r="AA227" s="30">
        <v>1</v>
      </c>
      <c r="AB227" s="63">
        <f t="shared" si="60"/>
        <v>1000000000</v>
      </c>
      <c r="AC227" s="5" t="s">
        <v>2096</v>
      </c>
      <c r="AD227" s="111">
        <f t="shared" ref="AD227:AD256" si="64">Y227/AB227*1000000000000</f>
        <v>10.899999999999999</v>
      </c>
      <c r="AE227" s="29">
        <f t="shared" ref="AE227:AE280" si="65">IF(ISNUMBER($Q227),$AD227*1000/2^(($Q227-1.76)/6.02), "")</f>
        <v>13.650146229809646</v>
      </c>
      <c r="AF227" s="29">
        <f t="shared" ref="AF227:AF280" si="66">$AD227*1000/2^(($X227-1.76)/6.02)</f>
        <v>14.129890577478276</v>
      </c>
      <c r="AG227" s="29">
        <f t="shared" ref="AG227:AG280" si="67">IF(ISNUMBER($Q227), $Q227+10*LOG10($AB227/2/$Y227), "")</f>
        <v>166.41543506395396</v>
      </c>
      <c r="AH227" s="29">
        <f t="shared" ref="AH227:AH280" si="68">$X227+10*LOG10($AB227/2/$Y227)</f>
        <v>166.11543506395395</v>
      </c>
      <c r="AI227" s="63">
        <f t="shared" ref="AI227:AI234" si="69">AF227/AB227</f>
        <v>1.4129890577478277E-8</v>
      </c>
      <c r="AJ227" s="60">
        <f t="shared" ref="AJ227:AJ234" si="70">AH227+10*LOG10(AB227)</f>
        <v>256.11543506395395</v>
      </c>
    </row>
    <row r="228" spans="1:36" x14ac:dyDescent="0.3">
      <c r="A228" s="30">
        <v>2020</v>
      </c>
      <c r="B228" s="70" t="s">
        <v>1724</v>
      </c>
      <c r="C228" s="30" t="s">
        <v>23</v>
      </c>
      <c r="D228" s="30" t="s">
        <v>31</v>
      </c>
      <c r="E228" s="30">
        <v>0.04</v>
      </c>
      <c r="F228" s="28" t="s">
        <v>1726</v>
      </c>
      <c r="G228" s="28" t="s">
        <v>1727</v>
      </c>
      <c r="H228" s="28" t="s">
        <v>1747</v>
      </c>
      <c r="I228" s="28" t="s">
        <v>2592</v>
      </c>
      <c r="J228" s="149" t="str">
        <f t="shared" si="57"/>
        <v>https://doi.org/10.1109/VLSICircuits18222.2020.9162786</v>
      </c>
      <c r="K228" s="28" t="s">
        <v>1050</v>
      </c>
      <c r="L228" s="38">
        <v>1.3</v>
      </c>
      <c r="M228" s="38">
        <v>1.1000000000000001</v>
      </c>
      <c r="N228" s="38"/>
      <c r="P228" s="30">
        <v>2.7E-2</v>
      </c>
      <c r="Q228" s="60">
        <v>57.9</v>
      </c>
      <c r="R228" s="63">
        <v>49000000</v>
      </c>
      <c r="S228" s="30">
        <v>56.3</v>
      </c>
      <c r="W228" s="30">
        <v>76.3</v>
      </c>
      <c r="X228" s="29">
        <f t="shared" si="61"/>
        <v>56.3</v>
      </c>
      <c r="Y228" s="63">
        <v>1.4E-3</v>
      </c>
      <c r="Z228" s="80">
        <v>100000000</v>
      </c>
      <c r="AA228" s="30">
        <v>1</v>
      </c>
      <c r="AB228" s="63">
        <f t="shared" si="60"/>
        <v>100000000</v>
      </c>
      <c r="AC228" s="5" t="s">
        <v>2096</v>
      </c>
      <c r="AD228" s="111">
        <f t="shared" si="64"/>
        <v>14</v>
      </c>
      <c r="AE228" s="29">
        <f t="shared" si="65"/>
        <v>21.819676562881991</v>
      </c>
      <c r="AF228" s="29">
        <f t="shared" si="66"/>
        <v>26.233502665908045</v>
      </c>
      <c r="AG228" s="29">
        <f t="shared" si="67"/>
        <v>163.4284196865778</v>
      </c>
      <c r="AH228" s="29">
        <f t="shared" si="68"/>
        <v>161.8284196865778</v>
      </c>
      <c r="AI228" s="63">
        <f t="shared" si="69"/>
        <v>2.6233502665908043E-7</v>
      </c>
      <c r="AJ228" s="60">
        <f t="shared" si="70"/>
        <v>241.8284196865778</v>
      </c>
    </row>
    <row r="229" spans="1:36" x14ac:dyDescent="0.3">
      <c r="A229" s="30">
        <v>2020</v>
      </c>
      <c r="B229" s="70" t="s">
        <v>1725</v>
      </c>
      <c r="C229" s="30" t="s">
        <v>23</v>
      </c>
      <c r="D229" s="30" t="s">
        <v>1730</v>
      </c>
      <c r="E229" s="30">
        <v>2.8000000000000001E-2</v>
      </c>
      <c r="F229" s="28" t="s">
        <v>1728</v>
      </c>
      <c r="G229" s="28" t="s">
        <v>1729</v>
      </c>
      <c r="H229" s="28" t="s">
        <v>1748</v>
      </c>
      <c r="I229" s="28" t="s">
        <v>2692</v>
      </c>
      <c r="J229" s="149" t="str">
        <f t="shared" si="57"/>
        <v>https://doi.org/10.1109/VLSICircuits18222.2020.9163064</v>
      </c>
      <c r="K229" s="28" t="s">
        <v>1050</v>
      </c>
      <c r="L229" s="38">
        <v>1.1000000000000001</v>
      </c>
      <c r="M229" s="38"/>
      <c r="N229" s="38"/>
      <c r="O229" s="30">
        <v>6.4000000000000001E-2</v>
      </c>
      <c r="P229" s="30">
        <v>2E-3</v>
      </c>
      <c r="Q229" s="60"/>
      <c r="R229" s="63">
        <v>500000000</v>
      </c>
      <c r="S229" s="60">
        <f>1.76+6.02*7.26</f>
        <v>45.465199999999996</v>
      </c>
      <c r="W229" s="60">
        <v>58</v>
      </c>
      <c r="X229" s="29">
        <f t="shared" si="61"/>
        <v>45.465199999999996</v>
      </c>
      <c r="Y229" s="63">
        <v>2.5500000000000002E-3</v>
      </c>
      <c r="Z229" s="80">
        <v>1000000000</v>
      </c>
      <c r="AA229" s="30">
        <v>1</v>
      </c>
      <c r="AB229" s="63">
        <f t="shared" si="60"/>
        <v>1000000000</v>
      </c>
      <c r="AC229" s="5" t="s">
        <v>2096</v>
      </c>
      <c r="AD229" s="111">
        <f t="shared" si="64"/>
        <v>2.5500000000000003</v>
      </c>
      <c r="AE229" s="29" t="str">
        <f t="shared" si="65"/>
        <v/>
      </c>
      <c r="AF229" s="29">
        <f t="shared" si="66"/>
        <v>16.636517144862054</v>
      </c>
      <c r="AG229" s="29" t="str">
        <f t="shared" si="67"/>
        <v/>
      </c>
      <c r="AH229" s="29">
        <f t="shared" si="68"/>
        <v>158.38949823902061</v>
      </c>
      <c r="AI229" s="63">
        <f t="shared" si="69"/>
        <v>1.6636517144862053E-8</v>
      </c>
      <c r="AJ229" s="60">
        <f t="shared" si="70"/>
        <v>248.38949823902061</v>
      </c>
    </row>
    <row r="230" spans="1:36" x14ac:dyDescent="0.3">
      <c r="A230" s="30">
        <v>2020</v>
      </c>
      <c r="B230" s="70" t="s">
        <v>1731</v>
      </c>
      <c r="C230" s="30" t="s">
        <v>22</v>
      </c>
      <c r="D230" s="30" t="s">
        <v>25</v>
      </c>
      <c r="E230" s="30">
        <v>0.16</v>
      </c>
      <c r="F230" s="28" t="s">
        <v>1736</v>
      </c>
      <c r="G230" s="28" t="s">
        <v>2209</v>
      </c>
      <c r="H230" s="28" t="s">
        <v>1749</v>
      </c>
      <c r="I230" s="28" t="s">
        <v>2593</v>
      </c>
      <c r="J230" s="149" t="str">
        <f t="shared" si="57"/>
        <v>https://doi.org/10.1109/VLSICircuits18222.2020.9162856</v>
      </c>
      <c r="K230" s="28" t="s">
        <v>1050</v>
      </c>
      <c r="L230" s="38">
        <v>1.8</v>
      </c>
      <c r="M230" s="38"/>
      <c r="N230" s="38"/>
      <c r="O230" s="30">
        <v>13.6</v>
      </c>
      <c r="P230" s="30">
        <v>0.27</v>
      </c>
      <c r="Q230" s="60"/>
      <c r="R230" s="63">
        <v>1000</v>
      </c>
      <c r="S230" s="30">
        <v>106.5</v>
      </c>
      <c r="T230" s="30">
        <v>107.5</v>
      </c>
      <c r="U230" s="30">
        <v>109.8</v>
      </c>
      <c r="X230" s="29">
        <f t="shared" si="61"/>
        <v>106.5</v>
      </c>
      <c r="Y230" s="63">
        <v>4.4000000000000002E-4</v>
      </c>
      <c r="Z230" s="80">
        <v>3500000</v>
      </c>
      <c r="AA230" s="30">
        <f>35*2.5</f>
        <v>87.5</v>
      </c>
      <c r="AB230" s="63">
        <f t="shared" si="60"/>
        <v>40000</v>
      </c>
      <c r="AC230" s="5" t="s">
        <v>2096</v>
      </c>
      <c r="AD230" s="111">
        <f t="shared" si="64"/>
        <v>11000</v>
      </c>
      <c r="AE230" s="29" t="str">
        <f t="shared" si="65"/>
        <v/>
      </c>
      <c r="AF230" s="29">
        <f t="shared" si="66"/>
        <v>63.660610692480994</v>
      </c>
      <c r="AG230" s="29" t="str">
        <f t="shared" si="67"/>
        <v/>
      </c>
      <c r="AH230" s="29">
        <f t="shared" si="68"/>
        <v>183.07577319177793</v>
      </c>
      <c r="AI230" s="63">
        <f t="shared" si="69"/>
        <v>1.5915152673120249E-3</v>
      </c>
      <c r="AJ230" s="60">
        <f t="shared" si="70"/>
        <v>229.09637310505755</v>
      </c>
    </row>
    <row r="231" spans="1:36" x14ac:dyDescent="0.3">
      <c r="A231" s="30">
        <v>2020</v>
      </c>
      <c r="B231" s="70" t="s">
        <v>1732</v>
      </c>
      <c r="C231" s="30" t="s">
        <v>22</v>
      </c>
      <c r="D231" s="30" t="s">
        <v>405</v>
      </c>
      <c r="E231" s="30">
        <v>2.8000000000000001E-2</v>
      </c>
      <c r="F231" s="28" t="s">
        <v>1737</v>
      </c>
      <c r="G231" s="28" t="s">
        <v>1738</v>
      </c>
      <c r="H231" s="28" t="s">
        <v>1750</v>
      </c>
      <c r="I231" s="28" t="s">
        <v>2594</v>
      </c>
      <c r="J231" s="149" t="str">
        <f t="shared" si="57"/>
        <v>https://doi.org/10.1109/VLSICircuits18222.2020.9162798</v>
      </c>
      <c r="K231" s="28" t="s">
        <v>1050</v>
      </c>
      <c r="L231" s="38">
        <v>1.5</v>
      </c>
      <c r="M231" s="38">
        <v>1.1499999999999999</v>
      </c>
      <c r="N231" s="38">
        <v>1</v>
      </c>
      <c r="O231" s="30">
        <v>4</v>
      </c>
      <c r="P231" s="30">
        <v>7.0000000000000007E-2</v>
      </c>
      <c r="Q231" s="60"/>
      <c r="R231" s="63">
        <v>1000000</v>
      </c>
      <c r="S231" s="30">
        <v>86.1</v>
      </c>
      <c r="U231" s="30">
        <v>90</v>
      </c>
      <c r="W231" s="30">
        <v>98</v>
      </c>
      <c r="X231" s="29">
        <f t="shared" si="61"/>
        <v>86.1</v>
      </c>
      <c r="Y231" s="63">
        <v>2.3099999999999999E-2</v>
      </c>
      <c r="Z231" s="80">
        <v>520000000</v>
      </c>
      <c r="AA231" s="30">
        <v>52</v>
      </c>
      <c r="AB231" s="63">
        <f t="shared" si="60"/>
        <v>10000000</v>
      </c>
      <c r="AC231" s="5" t="s">
        <v>2096</v>
      </c>
      <c r="AD231" s="111">
        <f t="shared" si="64"/>
        <v>2310</v>
      </c>
      <c r="AE231" s="29" t="str">
        <f t="shared" si="65"/>
        <v/>
      </c>
      <c r="AF231" s="29">
        <f t="shared" si="66"/>
        <v>140.0205378808096</v>
      </c>
      <c r="AG231" s="29" t="str">
        <f t="shared" si="67"/>
        <v/>
      </c>
      <c r="AH231" s="29">
        <f t="shared" si="68"/>
        <v>169.45358024443874</v>
      </c>
      <c r="AI231" s="63">
        <f t="shared" si="69"/>
        <v>1.4002053788080959E-5</v>
      </c>
      <c r="AJ231" s="60">
        <f t="shared" si="70"/>
        <v>239.45358024443874</v>
      </c>
    </row>
    <row r="232" spans="1:36" x14ac:dyDescent="0.3">
      <c r="A232" s="30">
        <v>2020</v>
      </c>
      <c r="B232" s="70" t="s">
        <v>1733</v>
      </c>
      <c r="C232" s="30" t="s">
        <v>22</v>
      </c>
      <c r="D232" s="30" t="s">
        <v>30</v>
      </c>
      <c r="E232" s="30">
        <v>2.8000000000000001E-2</v>
      </c>
      <c r="F232" s="28" t="s">
        <v>1739</v>
      </c>
      <c r="G232" s="28" t="s">
        <v>1740</v>
      </c>
      <c r="H232" s="28" t="s">
        <v>1751</v>
      </c>
      <c r="I232" s="28" t="s">
        <v>2595</v>
      </c>
      <c r="J232" s="149" t="str">
        <f t="shared" si="57"/>
        <v>https://doi.org/10.1109/VLSICircuits18222.2020.9162797</v>
      </c>
      <c r="K232" s="28" t="s">
        <v>1050</v>
      </c>
      <c r="L232" s="38">
        <v>1.5</v>
      </c>
      <c r="M232" s="38">
        <v>1</v>
      </c>
      <c r="N232" s="38"/>
      <c r="P232" s="30">
        <v>2.4E-2</v>
      </c>
      <c r="Q232" s="60"/>
      <c r="R232" s="63">
        <v>6000000</v>
      </c>
      <c r="S232" s="30">
        <v>74.400000000000006</v>
      </c>
      <c r="T232" s="30">
        <v>75.5</v>
      </c>
      <c r="U232" s="30">
        <v>80.599999999999994</v>
      </c>
      <c r="W232" s="30">
        <v>82.4</v>
      </c>
      <c r="X232" s="29">
        <f t="shared" si="61"/>
        <v>74.400000000000006</v>
      </c>
      <c r="Y232" s="63">
        <v>1.04E-2</v>
      </c>
      <c r="Z232" s="80">
        <v>1500000000</v>
      </c>
      <c r="AA232" s="30">
        <v>15</v>
      </c>
      <c r="AB232" s="63">
        <f t="shared" si="60"/>
        <v>100000000</v>
      </c>
      <c r="AC232" s="5" t="s">
        <v>2096</v>
      </c>
      <c r="AD232" s="111">
        <f t="shared" si="64"/>
        <v>103.99999999999999</v>
      </c>
      <c r="AE232" s="29" t="str">
        <f t="shared" si="65"/>
        <v/>
      </c>
      <c r="AF232" s="29">
        <f t="shared" si="66"/>
        <v>24.247747351257846</v>
      </c>
      <c r="AG232" s="29" t="str">
        <f t="shared" si="67"/>
        <v/>
      </c>
      <c r="AH232" s="29">
        <f t="shared" si="68"/>
        <v>171.21936665037239</v>
      </c>
      <c r="AI232" s="63">
        <f t="shared" si="69"/>
        <v>2.4247747351257847E-7</v>
      </c>
      <c r="AJ232" s="60">
        <f t="shared" si="70"/>
        <v>251.21936665037239</v>
      </c>
    </row>
    <row r="233" spans="1:36" x14ac:dyDescent="0.3">
      <c r="A233" s="30">
        <v>2020</v>
      </c>
      <c r="B233" s="70" t="s">
        <v>1734</v>
      </c>
      <c r="C233" s="30" t="s">
        <v>22</v>
      </c>
      <c r="D233" s="30" t="s">
        <v>1494</v>
      </c>
      <c r="E233" s="30">
        <v>2.8000000000000001E-2</v>
      </c>
      <c r="F233" s="28" t="s">
        <v>1741</v>
      </c>
      <c r="G233" s="28" t="s">
        <v>1742</v>
      </c>
      <c r="H233" s="28" t="s">
        <v>1752</v>
      </c>
      <c r="I233" s="28" t="s">
        <v>2596</v>
      </c>
      <c r="J233" s="149" t="str">
        <f t="shared" si="57"/>
        <v>https://doi.org/10.1109/VLSICircuits18222.2020.9162805</v>
      </c>
      <c r="K233" s="28" t="s">
        <v>1050</v>
      </c>
      <c r="L233" s="38">
        <v>1</v>
      </c>
      <c r="M233" s="38"/>
      <c r="N233" s="38"/>
      <c r="P233" s="30">
        <v>1.7999999999999999E-2</v>
      </c>
      <c r="Q233" s="60"/>
      <c r="R233" s="63">
        <v>60000000</v>
      </c>
      <c r="S233" s="30">
        <v>63.6</v>
      </c>
      <c r="X233" s="29">
        <f t="shared" si="61"/>
        <v>63.6</v>
      </c>
      <c r="Y233" s="63">
        <v>2.3E-3</v>
      </c>
      <c r="Z233" s="80">
        <v>1000000000</v>
      </c>
      <c r="AA233" s="30">
        <v>4</v>
      </c>
      <c r="AB233" s="63">
        <f t="shared" si="60"/>
        <v>250000000</v>
      </c>
      <c r="AC233" s="5" t="s">
        <v>2096</v>
      </c>
      <c r="AD233" s="111">
        <f t="shared" si="64"/>
        <v>9.1999999999999993</v>
      </c>
      <c r="AE233" s="29" t="str">
        <f t="shared" si="65"/>
        <v/>
      </c>
      <c r="AF233" s="29">
        <f t="shared" si="66"/>
        <v>7.4384029166593955</v>
      </c>
      <c r="AG233" s="29" t="str">
        <f t="shared" si="67"/>
        <v/>
      </c>
      <c r="AH233" s="29">
        <f t="shared" si="68"/>
        <v>170.95182176990463</v>
      </c>
      <c r="AI233" s="63">
        <f t="shared" si="69"/>
        <v>2.9753611666637582E-8</v>
      </c>
      <c r="AJ233" s="60">
        <f t="shared" si="70"/>
        <v>254.931221856625</v>
      </c>
    </row>
    <row r="234" spans="1:36" x14ac:dyDescent="0.3">
      <c r="A234" s="30">
        <v>2020</v>
      </c>
      <c r="B234" s="70" t="s">
        <v>1735</v>
      </c>
      <c r="C234" s="30" t="s">
        <v>23</v>
      </c>
      <c r="D234" s="30" t="s">
        <v>31</v>
      </c>
      <c r="E234" s="30">
        <v>0.04</v>
      </c>
      <c r="F234" s="28" t="s">
        <v>1743</v>
      </c>
      <c r="G234" s="28" t="s">
        <v>1744</v>
      </c>
      <c r="H234" s="28" t="s">
        <v>1753</v>
      </c>
      <c r="I234" s="28" t="s">
        <v>2691</v>
      </c>
      <c r="J234" s="149" t="str">
        <f t="shared" si="57"/>
        <v>https://doi.org/10.1109/VLSICircuits18222.2020.9162846</v>
      </c>
      <c r="K234" s="28" t="s">
        <v>1050</v>
      </c>
      <c r="L234" s="38"/>
      <c r="M234" s="38"/>
      <c r="N234" s="38"/>
      <c r="P234" s="30">
        <v>1.7999999999999999E-2</v>
      </c>
      <c r="Q234" s="60"/>
      <c r="R234" s="63">
        <v>4000000</v>
      </c>
      <c r="S234" s="30">
        <v>59.6</v>
      </c>
      <c r="W234" s="30">
        <v>75.099999999999994</v>
      </c>
      <c r="X234" s="29">
        <f t="shared" si="61"/>
        <v>59.6</v>
      </c>
      <c r="Y234" s="63">
        <v>4.7199999999999998E-4</v>
      </c>
      <c r="Z234" s="80">
        <v>12000000</v>
      </c>
      <c r="AA234" s="30">
        <v>1</v>
      </c>
      <c r="AB234" s="63">
        <f t="shared" si="60"/>
        <v>12000000</v>
      </c>
      <c r="AC234" s="5" t="s">
        <v>2096</v>
      </c>
      <c r="AD234" s="111">
        <f t="shared" si="64"/>
        <v>39.333333333333336</v>
      </c>
      <c r="AE234" s="29" t="str">
        <f t="shared" si="65"/>
        <v/>
      </c>
      <c r="AF234" s="29">
        <f t="shared" si="66"/>
        <v>50.404876506402161</v>
      </c>
      <c r="AG234" s="29" t="str">
        <f t="shared" si="67"/>
        <v/>
      </c>
      <c r="AH234" s="29">
        <f t="shared" si="68"/>
        <v>160.64209251749554</v>
      </c>
      <c r="AI234" s="63">
        <f t="shared" si="69"/>
        <v>4.2004063755335134E-6</v>
      </c>
      <c r="AJ234" s="60">
        <f t="shared" si="70"/>
        <v>231.43390497797179</v>
      </c>
    </row>
    <row r="235" spans="1:36" x14ac:dyDescent="0.3">
      <c r="A235" s="30">
        <v>2020</v>
      </c>
      <c r="B235" s="70" t="s">
        <v>1745</v>
      </c>
      <c r="C235" s="30" t="s">
        <v>23</v>
      </c>
      <c r="D235" s="30" t="s">
        <v>2218</v>
      </c>
      <c r="E235" s="30">
        <v>1.6E-2</v>
      </c>
      <c r="F235" s="28" t="s">
        <v>1755</v>
      </c>
      <c r="G235" s="28" t="s">
        <v>2210</v>
      </c>
      <c r="H235" s="28" t="s">
        <v>1754</v>
      </c>
      <c r="I235" s="28" t="s">
        <v>2690</v>
      </c>
      <c r="J235" s="149" t="str">
        <f t="shared" si="57"/>
        <v>https://doi.org/10.1109/VLSICircuits18222.2020.9162800</v>
      </c>
      <c r="K235" s="28" t="s">
        <v>1050</v>
      </c>
      <c r="L235" s="38">
        <v>0.9</v>
      </c>
      <c r="M235" s="38"/>
      <c r="N235" s="38"/>
      <c r="P235" s="30">
        <v>0.1</v>
      </c>
      <c r="Q235" s="60">
        <v>35</v>
      </c>
      <c r="R235" s="63">
        <v>1000000000</v>
      </c>
      <c r="S235" s="30">
        <v>32.5</v>
      </c>
      <c r="X235" s="29">
        <f t="shared" ref="X235:X280" si="71">+IF(ISNUMBER($S235),$S235,MIN($V235,$T235,$U235,$W235))</f>
        <v>32.5</v>
      </c>
      <c r="Y235" s="63">
        <v>0.17499999999999999</v>
      </c>
      <c r="Z235" s="80">
        <v>20000000000</v>
      </c>
      <c r="AA235" s="30">
        <v>1</v>
      </c>
      <c r="AB235" s="63">
        <f t="shared" si="60"/>
        <v>20000000000</v>
      </c>
      <c r="AC235" s="5" t="s">
        <v>2096</v>
      </c>
      <c r="AD235" s="111">
        <f t="shared" si="64"/>
        <v>8.7499999999999982</v>
      </c>
      <c r="AE235" s="29">
        <f t="shared" si="65"/>
        <v>190.47695034371498</v>
      </c>
      <c r="AF235" s="29">
        <f t="shared" si="66"/>
        <v>254.01238123356288</v>
      </c>
      <c r="AG235" s="29">
        <f t="shared" si="67"/>
        <v>142.56961951313707</v>
      </c>
      <c r="AH235" s="29">
        <f t="shared" si="68"/>
        <v>140.06961951313707</v>
      </c>
      <c r="AI235" s="63">
        <f>AF235/AB235</f>
        <v>1.2700619061678143E-8</v>
      </c>
      <c r="AJ235" s="60">
        <f>AH235+10*LOG10(AB235)</f>
        <v>243.07991946977688</v>
      </c>
    </row>
    <row r="236" spans="1:36" x14ac:dyDescent="0.3">
      <c r="A236" s="31">
        <v>2021</v>
      </c>
      <c r="B236" s="70" t="s">
        <v>1815</v>
      </c>
      <c r="C236" s="30" t="s">
        <v>22</v>
      </c>
      <c r="D236" s="30" t="s">
        <v>30</v>
      </c>
      <c r="E236" s="30">
        <v>2.8000000000000001E-2</v>
      </c>
      <c r="F236" s="28" t="s">
        <v>1822</v>
      </c>
      <c r="G236" s="28" t="s">
        <v>1823</v>
      </c>
      <c r="H236" s="28" t="s">
        <v>1824</v>
      </c>
      <c r="I236" s="28" t="s">
        <v>2597</v>
      </c>
      <c r="J236" s="149" t="str">
        <f t="shared" si="57"/>
        <v>https://doi.org/10.23919/VLSICircuits52068.2021.9492519</v>
      </c>
      <c r="K236" s="28" t="s">
        <v>1050</v>
      </c>
      <c r="L236" s="38">
        <v>0.6</v>
      </c>
      <c r="M236" s="38"/>
      <c r="N236" s="38"/>
      <c r="P236" s="30">
        <v>0.12</v>
      </c>
      <c r="R236" s="63">
        <v>40000</v>
      </c>
      <c r="S236" s="60">
        <v>83</v>
      </c>
      <c r="T236" s="60">
        <v>84</v>
      </c>
      <c r="U236" s="30">
        <v>86.5</v>
      </c>
      <c r="X236" s="29">
        <f t="shared" si="71"/>
        <v>83</v>
      </c>
      <c r="Y236" s="63">
        <v>3.3599999999999997E-5</v>
      </c>
      <c r="Z236" s="80">
        <v>12800000</v>
      </c>
      <c r="AA236" s="64">
        <f>Z236/AB236</f>
        <v>160</v>
      </c>
      <c r="AB236" s="63">
        <v>80000</v>
      </c>
      <c r="AC236" s="5" t="s">
        <v>2096</v>
      </c>
      <c r="AD236" s="111">
        <f t="shared" si="64"/>
        <v>419.99999999999994</v>
      </c>
      <c r="AE236" s="29" t="str">
        <f t="shared" si="65"/>
        <v/>
      </c>
      <c r="AF236" s="29">
        <f t="shared" si="66"/>
        <v>36.378475762331746</v>
      </c>
      <c r="AG236" s="29" t="str">
        <f t="shared" si="67"/>
        <v/>
      </c>
      <c r="AH236" s="29">
        <f t="shared" si="68"/>
        <v>173.75720713938119</v>
      </c>
      <c r="AI236" s="63">
        <f t="shared" ref="AI236:AI243" si="72">AF236/AB236</f>
        <v>4.5473094702914681E-4</v>
      </c>
      <c r="AJ236" s="60">
        <f t="shared" ref="AJ236:AJ243" si="73">AH236+10*LOG10(AB236)</f>
        <v>222.78810700930063</v>
      </c>
    </row>
    <row r="237" spans="1:36" x14ac:dyDescent="0.3">
      <c r="A237" s="30">
        <v>2021</v>
      </c>
      <c r="B237" s="70" t="s">
        <v>1816</v>
      </c>
      <c r="C237" s="30" t="s">
        <v>22</v>
      </c>
      <c r="D237" s="30" t="s">
        <v>1279</v>
      </c>
      <c r="E237" s="30">
        <v>6.5000000000000002E-2</v>
      </c>
      <c r="F237" s="28" t="s">
        <v>1825</v>
      </c>
      <c r="G237" s="28" t="s">
        <v>1826</v>
      </c>
      <c r="H237" s="28" t="s">
        <v>1827</v>
      </c>
      <c r="I237" s="28" t="s">
        <v>2598</v>
      </c>
      <c r="J237" s="149" t="str">
        <f t="shared" si="57"/>
        <v>https://doi.org/10.23919/VLSICircuits52068.2021.9492344</v>
      </c>
      <c r="K237" s="28" t="s">
        <v>1050</v>
      </c>
      <c r="L237" s="38">
        <v>1.1000000000000001</v>
      </c>
      <c r="M237" s="38"/>
      <c r="N237" s="38"/>
      <c r="P237" s="30">
        <v>0.04</v>
      </c>
      <c r="Q237" s="60"/>
      <c r="R237" s="63">
        <v>200000</v>
      </c>
      <c r="S237" s="30">
        <v>71.5</v>
      </c>
      <c r="U237" s="30">
        <v>75.8</v>
      </c>
      <c r="X237" s="29">
        <f t="shared" si="71"/>
        <v>71.5</v>
      </c>
      <c r="Y237" s="63">
        <v>1.6000000000000001E-4</v>
      </c>
      <c r="Z237" s="80">
        <v>24000000</v>
      </c>
      <c r="AA237" s="64">
        <f>Z237/AB237</f>
        <v>10.909090909090908</v>
      </c>
      <c r="AB237" s="63">
        <v>2200000</v>
      </c>
      <c r="AC237" s="5" t="s">
        <v>2096</v>
      </c>
      <c r="AD237" s="111">
        <f t="shared" si="64"/>
        <v>72.727272727272734</v>
      </c>
      <c r="AE237" s="29" t="str">
        <f t="shared" si="65"/>
        <v/>
      </c>
      <c r="AF237" s="29">
        <f t="shared" si="66"/>
        <v>23.67826139027984</v>
      </c>
      <c r="AG237" s="29" t="str">
        <f t="shared" si="67"/>
        <v/>
      </c>
      <c r="AH237" s="29">
        <f t="shared" si="68"/>
        <v>169.87272702502301</v>
      </c>
      <c r="AI237" s="63">
        <f t="shared" si="72"/>
        <v>1.0762846086490836E-5</v>
      </c>
      <c r="AJ237" s="60">
        <f t="shared" si="73"/>
        <v>233.29695383324508</v>
      </c>
    </row>
    <row r="238" spans="1:36" x14ac:dyDescent="0.3">
      <c r="A238" s="30">
        <v>2021</v>
      </c>
      <c r="B238" s="70" t="s">
        <v>1817</v>
      </c>
      <c r="C238" s="30" t="s">
        <v>22</v>
      </c>
      <c r="D238" s="30" t="s">
        <v>1955</v>
      </c>
      <c r="E238" s="30">
        <v>2.8000000000000001E-2</v>
      </c>
      <c r="F238" s="28" t="s">
        <v>1828</v>
      </c>
      <c r="G238" s="28" t="s">
        <v>1829</v>
      </c>
      <c r="H238" s="28" t="s">
        <v>1830</v>
      </c>
      <c r="I238" s="28" t="s">
        <v>2599</v>
      </c>
      <c r="J238" s="149" t="str">
        <f t="shared" si="57"/>
        <v>https://doi.org/10.23919/VLSICircuits52068.2021.9492383</v>
      </c>
      <c r="K238" s="28" t="s">
        <v>865</v>
      </c>
      <c r="L238" s="38"/>
      <c r="M238" s="38"/>
      <c r="N238" s="38"/>
      <c r="P238" s="30">
        <v>2.5499999999999998E-2</v>
      </c>
      <c r="Q238" s="60"/>
      <c r="R238" s="63">
        <v>1514000000</v>
      </c>
      <c r="S238" s="30">
        <v>37.04</v>
      </c>
      <c r="W238" s="30">
        <v>44.11</v>
      </c>
      <c r="X238" s="29">
        <f t="shared" si="71"/>
        <v>37.04</v>
      </c>
      <c r="Y238" s="63">
        <v>3.7999999999999999E-2</v>
      </c>
      <c r="Z238" s="80">
        <v>6000000000</v>
      </c>
      <c r="AA238" s="30">
        <v>20</v>
      </c>
      <c r="AB238" s="63">
        <v>600000000</v>
      </c>
      <c r="AC238" s="5">
        <v>1500000000</v>
      </c>
      <c r="AD238" s="111">
        <f t="shared" si="64"/>
        <v>63.333333333333336</v>
      </c>
      <c r="AE238" s="29" t="str">
        <f t="shared" si="65"/>
        <v/>
      </c>
      <c r="AF238" s="29">
        <f t="shared" si="66"/>
        <v>1090.0754471055168</v>
      </c>
      <c r="AG238" s="29" t="str">
        <f t="shared" si="67"/>
        <v/>
      </c>
      <c r="AH238" s="29">
        <f t="shared" si="68"/>
        <v>136.01337658102852</v>
      </c>
      <c r="AI238" s="63">
        <f t="shared" si="72"/>
        <v>1.816792411842528E-6</v>
      </c>
      <c r="AJ238" s="60">
        <f t="shared" si="73"/>
        <v>223.79488908486496</v>
      </c>
    </row>
    <row r="239" spans="1:36" x14ac:dyDescent="0.3">
      <c r="A239" s="30">
        <v>2021</v>
      </c>
      <c r="B239" s="70" t="s">
        <v>1818</v>
      </c>
      <c r="C239" s="30" t="s">
        <v>23</v>
      </c>
      <c r="D239" s="30" t="s">
        <v>1494</v>
      </c>
      <c r="E239" s="30">
        <v>1.6E-2</v>
      </c>
      <c r="F239" s="28" t="s">
        <v>1831</v>
      </c>
      <c r="G239" s="28" t="s">
        <v>1832</v>
      </c>
      <c r="H239" s="28" t="s">
        <v>1833</v>
      </c>
      <c r="I239" s="28" t="s">
        <v>2600</v>
      </c>
      <c r="J239" s="149" t="str">
        <f t="shared" si="57"/>
        <v>https://doi.org/10.23919/VLSICircuits52068.2021.9492354</v>
      </c>
      <c r="K239" s="28" t="s">
        <v>1050</v>
      </c>
      <c r="L239" s="38">
        <v>0.9</v>
      </c>
      <c r="M239" s="38"/>
      <c r="N239" s="38"/>
      <c r="P239" s="30">
        <v>8.3999999999999995E-3</v>
      </c>
      <c r="R239" s="63">
        <v>249000000</v>
      </c>
      <c r="S239" s="30">
        <v>62.3</v>
      </c>
      <c r="T239" s="30">
        <v>62.8</v>
      </c>
      <c r="V239" s="30">
        <v>71.8</v>
      </c>
      <c r="W239" s="30">
        <v>75.5</v>
      </c>
      <c r="X239" s="29">
        <f t="shared" si="71"/>
        <v>62.3</v>
      </c>
      <c r="Y239" s="63">
        <v>2.8E-3</v>
      </c>
      <c r="Z239" s="80">
        <v>500000000</v>
      </c>
      <c r="AA239" s="30">
        <v>1</v>
      </c>
      <c r="AB239" s="63">
        <v>500000000</v>
      </c>
      <c r="AC239" s="5" t="s">
        <v>2096</v>
      </c>
      <c r="AD239" s="111">
        <f t="shared" si="64"/>
        <v>5.6</v>
      </c>
      <c r="AE239" s="29" t="str">
        <f t="shared" si="65"/>
        <v/>
      </c>
      <c r="AF239" s="29">
        <f t="shared" si="66"/>
        <v>5.2587966337192693</v>
      </c>
      <c r="AG239" s="29" t="str">
        <f t="shared" si="67"/>
        <v/>
      </c>
      <c r="AH239" s="29">
        <f t="shared" si="68"/>
        <v>171.80781977329818</v>
      </c>
      <c r="AI239" s="63">
        <f t="shared" si="72"/>
        <v>1.0517593267438539E-8</v>
      </c>
      <c r="AJ239" s="60">
        <f t="shared" si="73"/>
        <v>258.79751981665834</v>
      </c>
    </row>
    <row r="240" spans="1:36" x14ac:dyDescent="0.3">
      <c r="A240" s="30">
        <v>2021</v>
      </c>
      <c r="B240" s="70" t="s">
        <v>1819</v>
      </c>
      <c r="C240" s="30" t="s">
        <v>23</v>
      </c>
      <c r="D240" s="30" t="s">
        <v>2218</v>
      </c>
      <c r="E240" s="30">
        <v>6.5000000000000002E-2</v>
      </c>
      <c r="F240" s="28" t="s">
        <v>1834</v>
      </c>
      <c r="G240" s="28" t="s">
        <v>1835</v>
      </c>
      <c r="H240" s="28" t="s">
        <v>1836</v>
      </c>
      <c r="I240" s="28" t="s">
        <v>2601</v>
      </c>
      <c r="J240" s="149" t="str">
        <f t="shared" si="57"/>
        <v>https://doi.org/10.23919/VLSICircuits52068.2021.9492436</v>
      </c>
      <c r="K240" s="28" t="s">
        <v>1050</v>
      </c>
      <c r="L240" s="38">
        <v>1.2</v>
      </c>
      <c r="M240" s="38">
        <v>1</v>
      </c>
      <c r="N240" s="38"/>
      <c r="O240" s="30">
        <v>4.4999999999999998E-2</v>
      </c>
      <c r="P240" s="30">
        <v>0.22</v>
      </c>
      <c r="Q240" s="60">
        <v>41</v>
      </c>
      <c r="R240" s="63">
        <v>10000000000</v>
      </c>
      <c r="S240" s="30">
        <v>38.799999999999997</v>
      </c>
      <c r="W240" s="30">
        <v>52.5</v>
      </c>
      <c r="X240" s="29">
        <f t="shared" si="71"/>
        <v>38.799999999999997</v>
      </c>
      <c r="Y240" s="63">
        <v>0.1293</v>
      </c>
      <c r="Z240" s="80">
        <v>20000000000</v>
      </c>
      <c r="AA240" s="30">
        <v>1</v>
      </c>
      <c r="AB240" s="63">
        <v>20000000000</v>
      </c>
      <c r="AC240" s="5" t="s">
        <v>2096</v>
      </c>
      <c r="AD240" s="111">
        <f t="shared" si="64"/>
        <v>6.4649999999999999</v>
      </c>
      <c r="AE240" s="29">
        <f t="shared" si="65"/>
        <v>70.52985797407743</v>
      </c>
      <c r="AF240" s="29">
        <f t="shared" si="66"/>
        <v>90.862351311017449</v>
      </c>
      <c r="AG240" s="29">
        <f t="shared" si="67"/>
        <v>149.88401475119605</v>
      </c>
      <c r="AH240" s="29">
        <f t="shared" si="68"/>
        <v>147.68401475119606</v>
      </c>
      <c r="AI240" s="63">
        <f t="shared" si="72"/>
        <v>4.5431175655508722E-9</v>
      </c>
      <c r="AJ240" s="60">
        <f t="shared" si="73"/>
        <v>250.69431470783587</v>
      </c>
    </row>
    <row r="241" spans="1:36" x14ac:dyDescent="0.3">
      <c r="A241" s="30">
        <v>2021</v>
      </c>
      <c r="B241" s="70" t="s">
        <v>1820</v>
      </c>
      <c r="C241" s="30" t="s">
        <v>23</v>
      </c>
      <c r="D241" s="30" t="s">
        <v>592</v>
      </c>
      <c r="E241" s="30">
        <v>1.6E-2</v>
      </c>
      <c r="F241" s="28" t="s">
        <v>1837</v>
      </c>
      <c r="G241" s="28" t="s">
        <v>1838</v>
      </c>
      <c r="H241" s="28" t="s">
        <v>1839</v>
      </c>
      <c r="I241" s="28" t="s">
        <v>2602</v>
      </c>
      <c r="J241" s="149" t="str">
        <f t="shared" si="57"/>
        <v>https://doi.org/10.23919/VLSICircuits52068.2021.9492512</v>
      </c>
      <c r="K241" s="28" t="s">
        <v>1050</v>
      </c>
      <c r="L241" s="38">
        <v>1.2</v>
      </c>
      <c r="M241" s="38">
        <v>0.85</v>
      </c>
      <c r="N241" s="38"/>
      <c r="O241" s="30">
        <v>6.2E-2</v>
      </c>
      <c r="P241" s="30">
        <v>2.3E-2</v>
      </c>
      <c r="Q241" s="60">
        <f>7.2*6.02+1.76</f>
        <v>45.103999999999999</v>
      </c>
      <c r="R241" s="63">
        <v>4000000000</v>
      </c>
      <c r="S241" s="30">
        <v>42.4</v>
      </c>
      <c r="V241" s="30">
        <v>46</v>
      </c>
      <c r="W241" s="30">
        <v>46</v>
      </c>
      <c r="X241" s="29">
        <f t="shared" si="71"/>
        <v>42.4</v>
      </c>
      <c r="Y241" s="63">
        <v>2.5999999999999999E-2</v>
      </c>
      <c r="Z241" s="80">
        <v>8000000000</v>
      </c>
      <c r="AA241" s="30">
        <v>1</v>
      </c>
      <c r="AB241" s="63">
        <f>8000000000</f>
        <v>8000000000</v>
      </c>
      <c r="AC241" s="5" t="s">
        <v>2096</v>
      </c>
      <c r="AD241" s="111">
        <f t="shared" si="64"/>
        <v>3.2499999999999996</v>
      </c>
      <c r="AE241" s="29">
        <f t="shared" si="65"/>
        <v>22.103822896190636</v>
      </c>
      <c r="AF241" s="29">
        <f t="shared" si="66"/>
        <v>30.177333701691243</v>
      </c>
      <c r="AG241" s="29">
        <f t="shared" si="67"/>
        <v>156.97486643357144</v>
      </c>
      <c r="AH241" s="29">
        <f t="shared" si="68"/>
        <v>154.27086643357146</v>
      </c>
      <c r="AI241" s="63">
        <f t="shared" si="72"/>
        <v>3.7721667127114052E-9</v>
      </c>
      <c r="AJ241" s="60">
        <f t="shared" si="73"/>
        <v>253.30176630349089</v>
      </c>
    </row>
    <row r="242" spans="1:36" x14ac:dyDescent="0.3">
      <c r="A242" s="30">
        <v>2021</v>
      </c>
      <c r="B242" s="70" t="s">
        <v>1821</v>
      </c>
      <c r="C242" s="30" t="s">
        <v>23</v>
      </c>
      <c r="D242" s="30" t="s">
        <v>1494</v>
      </c>
      <c r="E242" s="30">
        <v>2.8000000000000001E-2</v>
      </c>
      <c r="F242" s="28" t="s">
        <v>1840</v>
      </c>
      <c r="G242" s="28" t="s">
        <v>1841</v>
      </c>
      <c r="H242" s="28" t="s">
        <v>1842</v>
      </c>
      <c r="I242" s="28" t="s">
        <v>2603</v>
      </c>
      <c r="J242" s="149" t="str">
        <f t="shared" si="57"/>
        <v>https://doi.org/10.23919/VLSICircuits52068.2021.9492336</v>
      </c>
      <c r="K242" s="28" t="s">
        <v>1050</v>
      </c>
      <c r="L242" s="38">
        <v>1</v>
      </c>
      <c r="M242" s="38">
        <v>5</v>
      </c>
      <c r="N242" s="38"/>
      <c r="P242" s="30">
        <v>0.13400000000000001</v>
      </c>
      <c r="Q242" s="30">
        <v>59</v>
      </c>
      <c r="R242" s="63">
        <v>500000000</v>
      </c>
      <c r="S242" s="30">
        <v>59.28</v>
      </c>
      <c r="W242" s="30">
        <v>67.09</v>
      </c>
      <c r="X242" s="29">
        <f t="shared" si="71"/>
        <v>59.28</v>
      </c>
      <c r="Y242" s="63">
        <v>1.9199999999999998E-2</v>
      </c>
      <c r="Z242" s="80">
        <v>1000000000</v>
      </c>
      <c r="AA242" s="30">
        <v>1</v>
      </c>
      <c r="AB242" s="63">
        <v>1000000000</v>
      </c>
      <c r="AC242" s="5" t="s">
        <v>2096</v>
      </c>
      <c r="AD242" s="111">
        <f t="shared" si="64"/>
        <v>19.2</v>
      </c>
      <c r="AE242" s="29">
        <f t="shared" si="65"/>
        <v>26.364286396917944</v>
      </c>
      <c r="AF242" s="29">
        <f t="shared" si="66"/>
        <v>25.527872707245091</v>
      </c>
      <c r="AG242" s="29">
        <f t="shared" si="67"/>
        <v>163.15668775632469</v>
      </c>
      <c r="AH242" s="29">
        <f t="shared" si="68"/>
        <v>163.43668775632469</v>
      </c>
      <c r="AI242" s="63">
        <f t="shared" si="72"/>
        <v>2.5527872707245092E-8</v>
      </c>
      <c r="AJ242" s="60">
        <f t="shared" si="73"/>
        <v>253.43668775632469</v>
      </c>
    </row>
    <row r="243" spans="1:36" x14ac:dyDescent="0.3">
      <c r="A243" s="30">
        <v>2021</v>
      </c>
      <c r="B243" s="70" t="s">
        <v>1843</v>
      </c>
      <c r="C243" s="30" t="s">
        <v>23</v>
      </c>
      <c r="D243" s="30" t="s">
        <v>31</v>
      </c>
      <c r="E243" s="30">
        <v>0.18</v>
      </c>
      <c r="F243" s="28" t="s">
        <v>1844</v>
      </c>
      <c r="G243" s="28" t="s">
        <v>1845</v>
      </c>
      <c r="H243" s="28" t="s">
        <v>1846</v>
      </c>
      <c r="I243" s="28" t="s">
        <v>2876</v>
      </c>
      <c r="J243" s="149" t="str">
        <f t="shared" si="57"/>
        <v>https://doi.org/10.23919/VLSICircuits52068.2021.9492499</v>
      </c>
      <c r="K243" s="28" t="s">
        <v>1050</v>
      </c>
      <c r="L243" s="38">
        <v>1.2</v>
      </c>
      <c r="M243" s="38"/>
      <c r="N243" s="38"/>
      <c r="P243" s="30">
        <v>0.05</v>
      </c>
      <c r="R243" s="63">
        <v>158</v>
      </c>
      <c r="S243" s="38">
        <f>9.3*6.02+1.76</f>
        <v>57.745999999999995</v>
      </c>
      <c r="X243" s="29">
        <f t="shared" si="71"/>
        <v>57.745999999999995</v>
      </c>
      <c r="Y243" s="63">
        <v>2.04E-7</v>
      </c>
      <c r="Z243" s="80">
        <v>1000</v>
      </c>
      <c r="AA243" s="30">
        <v>1</v>
      </c>
      <c r="AB243" s="63">
        <v>1000</v>
      </c>
      <c r="AC243" s="5" t="s">
        <v>2096</v>
      </c>
      <c r="AD243" s="111">
        <f t="shared" si="64"/>
        <v>204</v>
      </c>
      <c r="AE243" s="29" t="str">
        <f t="shared" si="65"/>
        <v/>
      </c>
      <c r="AF243" s="29">
        <f t="shared" si="66"/>
        <v>323.63181417318765</v>
      </c>
      <c r="AG243" s="29" t="str">
        <f t="shared" si="67"/>
        <v/>
      </c>
      <c r="AH243" s="29">
        <f t="shared" si="68"/>
        <v>151.63939836910117</v>
      </c>
      <c r="AI243" s="63">
        <f t="shared" si="72"/>
        <v>0.32363181417318765</v>
      </c>
      <c r="AJ243" s="60">
        <f t="shared" si="73"/>
        <v>181.63939836910117</v>
      </c>
    </row>
    <row r="244" spans="1:36" x14ac:dyDescent="0.3">
      <c r="A244" s="31">
        <v>2022</v>
      </c>
      <c r="B244" s="70" t="s">
        <v>1900</v>
      </c>
      <c r="C244" s="30" t="s">
        <v>22</v>
      </c>
      <c r="D244" s="30" t="s">
        <v>31</v>
      </c>
      <c r="E244" s="30">
        <v>6.5000000000000002E-2</v>
      </c>
      <c r="F244" s="28" t="s">
        <v>1901</v>
      </c>
      <c r="G244" s="28" t="s">
        <v>1903</v>
      </c>
      <c r="H244" s="28" t="s">
        <v>1902</v>
      </c>
      <c r="I244" s="28" t="s">
        <v>2877</v>
      </c>
      <c r="J244" s="149" t="str">
        <f t="shared" si="57"/>
        <v>https://doi.org/10.1109/VLSITechnologyandCir46769.2022.9830401</v>
      </c>
      <c r="K244" s="28" t="s">
        <v>1050</v>
      </c>
      <c r="L244" s="38">
        <v>1</v>
      </c>
      <c r="M244" s="38"/>
      <c r="N244" s="38"/>
      <c r="O244" s="30">
        <v>10</v>
      </c>
      <c r="P244" s="30">
        <v>0.12920000000000001</v>
      </c>
      <c r="R244" s="63">
        <v>500</v>
      </c>
      <c r="S244" s="30">
        <v>94.5</v>
      </c>
      <c r="U244" s="30">
        <v>95.8</v>
      </c>
      <c r="X244" s="29">
        <f t="shared" si="71"/>
        <v>94.5</v>
      </c>
      <c r="Y244" s="63">
        <v>5.2000000000000002E-6</v>
      </c>
      <c r="Z244" s="80">
        <v>200000</v>
      </c>
      <c r="AA244" s="64">
        <f t="shared" ref="AA244:AA256" si="74">Z244/AB244</f>
        <v>200</v>
      </c>
      <c r="AB244" s="63">
        <v>1000</v>
      </c>
      <c r="AD244" s="111">
        <f t="shared" si="64"/>
        <v>5200</v>
      </c>
      <c r="AE244" s="29" t="str">
        <f t="shared" si="65"/>
        <v/>
      </c>
      <c r="AF244" s="29">
        <f t="shared" si="66"/>
        <v>119.82329305679568</v>
      </c>
      <c r="AG244" s="29" t="str">
        <f t="shared" si="67"/>
        <v/>
      </c>
      <c r="AH244" s="29">
        <f t="shared" si="68"/>
        <v>174.3296666070122</v>
      </c>
      <c r="AI244" s="63">
        <f t="shared" ref="AI244:AI256" si="75">AF244/AB244</f>
        <v>0.11982329305679568</v>
      </c>
      <c r="AJ244" s="60">
        <f t="shared" ref="AJ244:AJ256" si="76">AH244+10*LOG10(AB244)</f>
        <v>204.3296666070122</v>
      </c>
    </row>
    <row r="245" spans="1:36" x14ac:dyDescent="0.3">
      <c r="A245" s="30">
        <v>2022</v>
      </c>
      <c r="B245" s="70" t="s">
        <v>1904</v>
      </c>
      <c r="C245" s="30" t="s">
        <v>22</v>
      </c>
      <c r="D245" s="30" t="s">
        <v>30</v>
      </c>
      <c r="E245" s="30">
        <v>2.8000000000000001E-2</v>
      </c>
      <c r="F245" s="28" t="s">
        <v>1905</v>
      </c>
      <c r="G245" s="28" t="s">
        <v>1906</v>
      </c>
      <c r="H245" s="28" t="s">
        <v>1907</v>
      </c>
      <c r="I245" s="28" t="s">
        <v>2878</v>
      </c>
      <c r="J245" s="149" t="str">
        <f t="shared" si="57"/>
        <v>https://doi.org/10.1109/VLSITechnologyandCir46769.2022.9830207</v>
      </c>
      <c r="K245" s="28" t="s">
        <v>1050</v>
      </c>
      <c r="L245" s="38">
        <v>1.1000000000000001</v>
      </c>
      <c r="M245" s="38">
        <v>1</v>
      </c>
      <c r="N245" s="38"/>
      <c r="P245" s="30">
        <v>7.1999999999999995E-2</v>
      </c>
      <c r="R245" s="63">
        <v>15625000</v>
      </c>
      <c r="S245" s="30">
        <v>81.599999999999994</v>
      </c>
      <c r="U245" s="30">
        <v>84.8</v>
      </c>
      <c r="X245" s="29">
        <f t="shared" si="71"/>
        <v>81.599999999999994</v>
      </c>
      <c r="Y245" s="63">
        <v>6.4000000000000003E-3</v>
      </c>
      <c r="Z245" s="80">
        <v>500000000</v>
      </c>
      <c r="AA245" s="64">
        <f t="shared" si="74"/>
        <v>16</v>
      </c>
      <c r="AB245" s="63">
        <f>2*15625000</f>
        <v>31250000</v>
      </c>
      <c r="AD245" s="111">
        <f t="shared" si="64"/>
        <v>204.8</v>
      </c>
      <c r="AE245" s="29" t="str">
        <f t="shared" si="65"/>
        <v/>
      </c>
      <c r="AF245" s="29">
        <f t="shared" si="66"/>
        <v>20.841651807763288</v>
      </c>
      <c r="AG245" s="29" t="str">
        <f t="shared" si="67"/>
        <v/>
      </c>
      <c r="AH245" s="29">
        <f t="shared" si="68"/>
        <v>175.47640052032224</v>
      </c>
      <c r="AI245" s="63">
        <f t="shared" si="75"/>
        <v>6.6693285784842525E-7</v>
      </c>
      <c r="AJ245" s="60">
        <f t="shared" si="76"/>
        <v>250.42490073712318</v>
      </c>
    </row>
    <row r="246" spans="1:36" x14ac:dyDescent="0.3">
      <c r="A246" s="30">
        <v>2022</v>
      </c>
      <c r="B246" s="70" t="s">
        <v>1908</v>
      </c>
      <c r="C246" s="30" t="s">
        <v>22</v>
      </c>
      <c r="D246" s="30" t="s">
        <v>31</v>
      </c>
      <c r="E246" s="30">
        <v>0.04</v>
      </c>
      <c r="F246" s="28" t="s">
        <v>1910</v>
      </c>
      <c r="G246" s="28" t="s">
        <v>1911</v>
      </c>
      <c r="H246" s="28" t="s">
        <v>1912</v>
      </c>
      <c r="I246" s="28" t="s">
        <v>2879</v>
      </c>
      <c r="J246" s="149" t="str">
        <f t="shared" si="57"/>
        <v>https://doi.org/10.1109/VLSITechnologyandCir46769.2022.9830166</v>
      </c>
      <c r="K246" s="28" t="s">
        <v>1050</v>
      </c>
      <c r="L246" s="38">
        <v>1.1000000000000001</v>
      </c>
      <c r="M246" s="38"/>
      <c r="N246" s="38"/>
      <c r="P246" s="30">
        <v>0.48</v>
      </c>
      <c r="R246" s="63">
        <v>100000</v>
      </c>
      <c r="S246" s="30">
        <v>98.3</v>
      </c>
      <c r="T246" s="30">
        <v>99.3</v>
      </c>
      <c r="U246" s="30">
        <v>108.5</v>
      </c>
      <c r="X246" s="29">
        <f t="shared" si="71"/>
        <v>98.3</v>
      </c>
      <c r="Y246" s="63">
        <v>1.9980000000000002E-3</v>
      </c>
      <c r="Z246" s="80">
        <v>12800000</v>
      </c>
      <c r="AA246" s="64">
        <f t="shared" si="74"/>
        <v>64</v>
      </c>
      <c r="AB246" s="63">
        <v>200000</v>
      </c>
      <c r="AD246" s="111">
        <f t="shared" si="64"/>
        <v>9990</v>
      </c>
      <c r="AE246" s="29" t="str">
        <f t="shared" si="65"/>
        <v/>
      </c>
      <c r="AF246" s="29">
        <f t="shared" si="66"/>
        <v>148.6224654552444</v>
      </c>
      <c r="AG246" s="29" t="str">
        <f t="shared" si="67"/>
        <v/>
      </c>
      <c r="AH246" s="29">
        <f t="shared" si="68"/>
        <v>175.29404516110037</v>
      </c>
      <c r="AI246" s="63">
        <f t="shared" si="75"/>
        <v>7.4311232727622195E-4</v>
      </c>
      <c r="AJ246" s="60">
        <f t="shared" si="76"/>
        <v>228.30434511774018</v>
      </c>
    </row>
    <row r="247" spans="1:36" x14ac:dyDescent="0.3">
      <c r="A247" s="30">
        <v>2022</v>
      </c>
      <c r="B247" s="70" t="s">
        <v>1909</v>
      </c>
      <c r="C247" s="30" t="s">
        <v>22</v>
      </c>
      <c r="D247" s="30" t="s">
        <v>2215</v>
      </c>
      <c r="E247" s="30">
        <v>6.5000000000000002E-2</v>
      </c>
      <c r="F247" s="28" t="s">
        <v>1913</v>
      </c>
      <c r="G247" s="28" t="s">
        <v>1914</v>
      </c>
      <c r="H247" s="28" t="s">
        <v>1915</v>
      </c>
      <c r="I247" s="28" t="s">
        <v>2880</v>
      </c>
      <c r="J247" s="149" t="str">
        <f t="shared" si="57"/>
        <v>https://doi.org/10.1109/VLSITechnologyandCir46769.2022.9830373</v>
      </c>
      <c r="K247" s="28" t="s">
        <v>1050</v>
      </c>
      <c r="L247" s="38">
        <v>1.1000000000000001</v>
      </c>
      <c r="M247" s="38">
        <v>0.7</v>
      </c>
      <c r="N247" s="38"/>
      <c r="P247" s="30">
        <v>0.03</v>
      </c>
      <c r="R247" s="63">
        <v>62500</v>
      </c>
      <c r="S247" s="30">
        <v>77.3</v>
      </c>
      <c r="W247" s="30">
        <v>86</v>
      </c>
      <c r="X247" s="29">
        <f t="shared" si="71"/>
        <v>77.3</v>
      </c>
      <c r="Y247" s="63">
        <v>1.3499999999999999E-5</v>
      </c>
      <c r="Z247" s="80">
        <v>2000000</v>
      </c>
      <c r="AA247" s="64">
        <f t="shared" si="74"/>
        <v>16</v>
      </c>
      <c r="AB247" s="63">
        <v>125000</v>
      </c>
      <c r="AD247" s="111">
        <f t="shared" si="64"/>
        <v>108</v>
      </c>
      <c r="AE247" s="29" t="str">
        <f t="shared" si="65"/>
        <v/>
      </c>
      <c r="AF247" s="29">
        <f t="shared" si="66"/>
        <v>18.03214391010685</v>
      </c>
      <c r="AG247" s="29" t="str">
        <f t="shared" si="67"/>
        <v/>
      </c>
      <c r="AH247" s="29">
        <f t="shared" si="68"/>
        <v>173.9554624884907</v>
      </c>
      <c r="AI247" s="63">
        <f t="shared" si="75"/>
        <v>1.442571512808548E-4</v>
      </c>
      <c r="AJ247" s="60">
        <f t="shared" si="76"/>
        <v>224.92456261857126</v>
      </c>
    </row>
    <row r="248" spans="1:36" x14ac:dyDescent="0.3">
      <c r="A248" s="30">
        <v>2022</v>
      </c>
      <c r="B248" s="70" t="s">
        <v>1916</v>
      </c>
      <c r="C248" s="30" t="s">
        <v>23</v>
      </c>
      <c r="D248" s="30" t="s">
        <v>1494</v>
      </c>
      <c r="E248" s="30">
        <v>6.5000000000000002E-2</v>
      </c>
      <c r="F248" s="28" t="s">
        <v>1920</v>
      </c>
      <c r="G248" s="28" t="s">
        <v>1921</v>
      </c>
      <c r="H248" s="28" t="s">
        <v>1922</v>
      </c>
      <c r="I248" s="28" t="s">
        <v>2881</v>
      </c>
      <c r="J248" s="149" t="str">
        <f t="shared" si="57"/>
        <v>https://doi.org/10.1109/VLSITechnologyandCir46769.2022.9830300</v>
      </c>
      <c r="K248" s="28" t="s">
        <v>1050</v>
      </c>
      <c r="L248" s="38">
        <v>0.85</v>
      </c>
      <c r="M248" s="38"/>
      <c r="N248" s="38"/>
      <c r="P248" s="30">
        <v>4.9000000000000002E-2</v>
      </c>
      <c r="R248" s="63">
        <v>24000000</v>
      </c>
      <c r="S248" s="60">
        <v>65</v>
      </c>
      <c r="X248" s="29">
        <f t="shared" si="71"/>
        <v>65</v>
      </c>
      <c r="Y248" s="63">
        <v>4.6000000000000001E-4</v>
      </c>
      <c r="Z248" s="80">
        <v>50000000</v>
      </c>
      <c r="AA248" s="64">
        <f t="shared" si="74"/>
        <v>1</v>
      </c>
      <c r="AB248" s="63">
        <v>50000000</v>
      </c>
      <c r="AD248" s="111">
        <f t="shared" si="64"/>
        <v>9.1999999999999993</v>
      </c>
      <c r="AE248" s="29" t="str">
        <f t="shared" si="65"/>
        <v/>
      </c>
      <c r="AF248" s="29">
        <f t="shared" si="66"/>
        <v>6.3310059749833609</v>
      </c>
      <c r="AG248" s="29" t="str">
        <f t="shared" si="67"/>
        <v/>
      </c>
      <c r="AH248" s="29">
        <f t="shared" si="68"/>
        <v>172.35182176990463</v>
      </c>
      <c r="AI248" s="63">
        <f t="shared" si="75"/>
        <v>1.2662011949966721E-7</v>
      </c>
      <c r="AJ248" s="60">
        <f t="shared" si="76"/>
        <v>249.34152181326482</v>
      </c>
    </row>
    <row r="249" spans="1:36" x14ac:dyDescent="0.3">
      <c r="A249" s="30">
        <v>2022</v>
      </c>
      <c r="B249" s="70" t="s">
        <v>1917</v>
      </c>
      <c r="C249" s="30" t="s">
        <v>23</v>
      </c>
      <c r="D249" s="30" t="s">
        <v>31</v>
      </c>
      <c r="E249" s="30">
        <v>8.0000000000000002E-3</v>
      </c>
      <c r="F249" s="28" t="s">
        <v>1923</v>
      </c>
      <c r="G249" s="28" t="s">
        <v>1924</v>
      </c>
      <c r="H249" s="28" t="s">
        <v>1925</v>
      </c>
      <c r="I249" s="28" t="s">
        <v>2882</v>
      </c>
      <c r="J249" s="149" t="str">
        <f t="shared" si="57"/>
        <v>https://doi.org/10.1109/VLSITechnologyandCir46769.2022.9830180</v>
      </c>
      <c r="K249" s="28" t="s">
        <v>1050</v>
      </c>
      <c r="L249" s="38">
        <v>0.8</v>
      </c>
      <c r="M249" s="38"/>
      <c r="N249" s="38"/>
      <c r="P249" s="30">
        <v>3.5999999999999999E-3</v>
      </c>
      <c r="Q249" s="30">
        <v>63.6</v>
      </c>
      <c r="R249" s="63">
        <v>100000000</v>
      </c>
      <c r="S249" s="60">
        <v>62</v>
      </c>
      <c r="W249" s="30">
        <v>78.099999999999994</v>
      </c>
      <c r="X249" s="29">
        <f t="shared" si="71"/>
        <v>62</v>
      </c>
      <c r="Y249" s="63">
        <v>5.5999999999999995E-4</v>
      </c>
      <c r="Z249" s="80">
        <v>250000000</v>
      </c>
      <c r="AA249" s="64">
        <f t="shared" si="74"/>
        <v>1</v>
      </c>
      <c r="AB249" s="63">
        <v>250000000</v>
      </c>
      <c r="AD249" s="111">
        <f t="shared" si="64"/>
        <v>2.2399999999999998</v>
      </c>
      <c r="AE249" s="29">
        <f t="shared" si="65"/>
        <v>1.8110894057953306</v>
      </c>
      <c r="AF249" s="29">
        <f t="shared" si="66"/>
        <v>2.1774483511800651</v>
      </c>
      <c r="AG249" s="29">
        <f t="shared" si="67"/>
        <v>177.08721986001856</v>
      </c>
      <c r="AH249" s="29">
        <f t="shared" si="68"/>
        <v>175.48721986001857</v>
      </c>
      <c r="AI249" s="63">
        <f t="shared" si="75"/>
        <v>8.7097934047202601E-9</v>
      </c>
      <c r="AJ249" s="60">
        <f t="shared" si="76"/>
        <v>259.46661994673894</v>
      </c>
    </row>
    <row r="250" spans="1:36" x14ac:dyDescent="0.3">
      <c r="A250" s="30">
        <v>2022</v>
      </c>
      <c r="B250" s="70" t="s">
        <v>1918</v>
      </c>
      <c r="C250" s="30" t="s">
        <v>23</v>
      </c>
      <c r="D250" s="30" t="s">
        <v>19</v>
      </c>
      <c r="E250" s="30">
        <v>2.8000000000000001E-2</v>
      </c>
      <c r="F250" s="28" t="s">
        <v>1926</v>
      </c>
      <c r="G250" s="28" t="s">
        <v>1927</v>
      </c>
      <c r="H250" s="28" t="s">
        <v>1928</v>
      </c>
      <c r="I250" s="28" t="s">
        <v>2883</v>
      </c>
      <c r="J250" s="149" t="str">
        <f t="shared" si="57"/>
        <v>https://doi.org/10.1109/VLSITechnologyandCir46769.2022.9830239</v>
      </c>
      <c r="K250" s="28" t="s">
        <v>1050</v>
      </c>
      <c r="L250" s="38">
        <v>1</v>
      </c>
      <c r="M250" s="38"/>
      <c r="N250" s="38"/>
      <c r="P250" s="30">
        <v>2.4E-2</v>
      </c>
      <c r="Q250" s="30">
        <v>45</v>
      </c>
      <c r="R250" s="63">
        <v>1150000000</v>
      </c>
      <c r="S250" s="30">
        <v>44.8</v>
      </c>
      <c r="W250" s="30">
        <v>60.6</v>
      </c>
      <c r="X250" s="29">
        <f t="shared" si="71"/>
        <v>44.8</v>
      </c>
      <c r="Y250" s="63">
        <v>3.5000000000000001E-3</v>
      </c>
      <c r="Z250" s="80">
        <v>2500000000</v>
      </c>
      <c r="AA250" s="64">
        <f t="shared" si="74"/>
        <v>1</v>
      </c>
      <c r="AB250" s="63">
        <v>2500000000</v>
      </c>
      <c r="AD250" s="111">
        <f t="shared" si="64"/>
        <v>1.4000000000000001</v>
      </c>
      <c r="AE250" s="29">
        <f t="shared" si="65"/>
        <v>9.6363504339329022</v>
      </c>
      <c r="AF250" s="29">
        <f t="shared" si="66"/>
        <v>9.8608324968810557</v>
      </c>
      <c r="AG250" s="29">
        <f t="shared" si="67"/>
        <v>160.52841968657782</v>
      </c>
      <c r="AH250" s="29">
        <f t="shared" si="68"/>
        <v>160.3284196865778</v>
      </c>
      <c r="AI250" s="63">
        <f t="shared" si="75"/>
        <v>3.9443329987524221E-9</v>
      </c>
      <c r="AJ250" s="60">
        <f t="shared" si="76"/>
        <v>254.30781977329818</v>
      </c>
    </row>
    <row r="251" spans="1:36" x14ac:dyDescent="0.3">
      <c r="A251" s="30">
        <v>2022</v>
      </c>
      <c r="B251" s="70" t="s">
        <v>1919</v>
      </c>
      <c r="C251" s="30" t="s">
        <v>23</v>
      </c>
      <c r="D251" s="30" t="s">
        <v>31</v>
      </c>
      <c r="E251" s="30">
        <v>6.5000000000000002E-2</v>
      </c>
      <c r="F251" s="28" t="s">
        <v>1929</v>
      </c>
      <c r="G251" s="28" t="s">
        <v>1930</v>
      </c>
      <c r="H251" s="28" t="s">
        <v>1931</v>
      </c>
      <c r="I251" s="28" t="s">
        <v>2884</v>
      </c>
      <c r="J251" s="149" t="str">
        <f t="shared" si="57"/>
        <v>https://doi.org/10.1109/VLSITechnologyandCir46769.2022.9830365</v>
      </c>
      <c r="K251" s="28" t="s">
        <v>1050</v>
      </c>
      <c r="L251" s="38">
        <v>1.2</v>
      </c>
      <c r="M251" s="38"/>
      <c r="N251" s="38"/>
      <c r="P251" s="30">
        <v>7.1999999999999995E-2</v>
      </c>
      <c r="R251" s="63">
        <v>12400000</v>
      </c>
      <c r="S251" s="30">
        <v>67.53</v>
      </c>
      <c r="W251" s="30">
        <v>86.6</v>
      </c>
      <c r="X251" s="29">
        <f t="shared" si="71"/>
        <v>67.53</v>
      </c>
      <c r="Y251" s="63">
        <f>0.0000000000000113*Z251*2^10.92</f>
        <v>5.4735111208956057E-4</v>
      </c>
      <c r="Z251" s="80">
        <v>25000000</v>
      </c>
      <c r="AA251" s="64">
        <f t="shared" si="74"/>
        <v>1</v>
      </c>
      <c r="AB251" s="63">
        <v>25000000</v>
      </c>
      <c r="AD251" s="111">
        <f t="shared" si="64"/>
        <v>21.894044483582423</v>
      </c>
      <c r="AE251" s="29" t="str">
        <f t="shared" si="65"/>
        <v/>
      </c>
      <c r="AF251" s="29">
        <f t="shared" si="66"/>
        <v>11.258960254708036</v>
      </c>
      <c r="AG251" s="29" t="str">
        <f t="shared" si="67"/>
        <v/>
      </c>
      <c r="AH251" s="29">
        <f t="shared" si="68"/>
        <v>171.11644008201924</v>
      </c>
      <c r="AI251" s="63">
        <f t="shared" si="75"/>
        <v>4.5035841018832144E-7</v>
      </c>
      <c r="AJ251" s="60">
        <f t="shared" si="76"/>
        <v>245.09584016873961</v>
      </c>
    </row>
    <row r="252" spans="1:36" x14ac:dyDescent="0.3">
      <c r="A252" s="30">
        <v>2022</v>
      </c>
      <c r="B252" s="70" t="s">
        <v>1943</v>
      </c>
      <c r="C252" s="30" t="s">
        <v>23</v>
      </c>
      <c r="D252" s="30" t="s">
        <v>31</v>
      </c>
      <c r="E252" s="30">
        <v>6.5000000000000002E-2</v>
      </c>
      <c r="F252" s="28" t="s">
        <v>1944</v>
      </c>
      <c r="G252" s="28" t="s">
        <v>1945</v>
      </c>
      <c r="H252" s="28" t="s">
        <v>1949</v>
      </c>
      <c r="I252" s="28" t="s">
        <v>2885</v>
      </c>
      <c r="J252" s="149" t="str">
        <f t="shared" si="57"/>
        <v>https://doi.org/10.1109/VLSITechnologyandCir46769.2022.9830235</v>
      </c>
      <c r="K252" s="28" t="s">
        <v>1050</v>
      </c>
      <c r="L252" s="38"/>
      <c r="M252" s="38"/>
      <c r="N252" s="38"/>
      <c r="R252" s="63">
        <v>10400</v>
      </c>
      <c r="S252" s="38">
        <f>9.7*6.02+1.76</f>
        <v>60.153999999999989</v>
      </c>
      <c r="X252" s="29">
        <f t="shared" si="71"/>
        <v>60.153999999999989</v>
      </c>
      <c r="Y252" s="63">
        <f>0.1*0.0000532</f>
        <v>5.3199999999999999E-6</v>
      </c>
      <c r="Z252" s="80">
        <v>20800</v>
      </c>
      <c r="AA252" s="64">
        <f t="shared" si="74"/>
        <v>1</v>
      </c>
      <c r="AB252" s="63">
        <v>20800</v>
      </c>
      <c r="AD252" s="111">
        <f t="shared" si="64"/>
        <v>255.7692307692308</v>
      </c>
      <c r="AE252" s="29" t="str">
        <f t="shared" si="65"/>
        <v/>
      </c>
      <c r="AF252" s="29">
        <f t="shared" si="66"/>
        <v>307.50865192096234</v>
      </c>
      <c r="AG252" s="29" t="str">
        <f t="shared" si="67"/>
        <v/>
      </c>
      <c r="AH252" s="29">
        <f t="shared" si="68"/>
        <v>153.06521707003731</v>
      </c>
      <c r="AI252" s="63">
        <f t="shared" si="75"/>
        <v>1.478406980389242E-2</v>
      </c>
      <c r="AJ252" s="60">
        <f t="shared" si="76"/>
        <v>196.24585041966492</v>
      </c>
    </row>
    <row r="253" spans="1:36" x14ac:dyDescent="0.3">
      <c r="A253" s="30">
        <v>2022</v>
      </c>
      <c r="B253" s="70" t="s">
        <v>1932</v>
      </c>
      <c r="C253" s="30" t="s">
        <v>23</v>
      </c>
      <c r="D253" s="30" t="s">
        <v>592</v>
      </c>
      <c r="E253" s="30">
        <v>4.0000000000000001E-3</v>
      </c>
      <c r="F253" s="28" t="s">
        <v>1935</v>
      </c>
      <c r="G253" s="28" t="s">
        <v>1936</v>
      </c>
      <c r="H253" s="28" t="s">
        <v>1950</v>
      </c>
      <c r="I253" s="28" t="s">
        <v>2886</v>
      </c>
      <c r="J253" s="149" t="str">
        <f t="shared" si="57"/>
        <v>https://doi.org/10.1109/VLSITechnologyandCir46769.2022.9830308</v>
      </c>
      <c r="K253" s="28" t="s">
        <v>1050</v>
      </c>
      <c r="L253" s="38">
        <v>0.8</v>
      </c>
      <c r="M253" s="38"/>
      <c r="N253" s="38"/>
      <c r="P253" s="30">
        <v>7.8E-2</v>
      </c>
      <c r="Q253" s="30">
        <v>41</v>
      </c>
      <c r="R253" s="63">
        <v>26900000000</v>
      </c>
      <c r="S253" s="60">
        <v>32.799999999999997</v>
      </c>
      <c r="V253" s="30">
        <v>40</v>
      </c>
      <c r="W253" s="30">
        <v>42</v>
      </c>
      <c r="X253" s="29">
        <f t="shared" si="71"/>
        <v>32.799999999999997</v>
      </c>
      <c r="Y253" s="63">
        <v>0.24</v>
      </c>
      <c r="Z253" s="80">
        <v>56000000000</v>
      </c>
      <c r="AA253" s="64">
        <f t="shared" si="74"/>
        <v>1</v>
      </c>
      <c r="AB253" s="63">
        <v>56000000000</v>
      </c>
      <c r="AD253" s="111">
        <f t="shared" si="64"/>
        <v>4.2857142857142856</v>
      </c>
      <c r="AE253" s="29">
        <f t="shared" si="65"/>
        <v>46.754960539660203</v>
      </c>
      <c r="AF253" s="29">
        <f t="shared" si="66"/>
        <v>120.19006019319302</v>
      </c>
      <c r="AG253" s="29">
        <f t="shared" si="67"/>
        <v>151.66946789630612</v>
      </c>
      <c r="AH253" s="29">
        <f t="shared" si="68"/>
        <v>143.46946789630613</v>
      </c>
      <c r="AI253" s="63">
        <f t="shared" si="75"/>
        <v>2.1462510748784467E-9</v>
      </c>
      <c r="AJ253" s="60">
        <f t="shared" si="76"/>
        <v>250.95134816636812</v>
      </c>
    </row>
    <row r="254" spans="1:36" x14ac:dyDescent="0.3">
      <c r="A254" s="30">
        <v>2022</v>
      </c>
      <c r="B254" s="70" t="s">
        <v>1843</v>
      </c>
      <c r="C254" s="30" t="s">
        <v>23</v>
      </c>
      <c r="D254" s="30" t="s">
        <v>592</v>
      </c>
      <c r="E254" s="30">
        <v>2.1999999999999999E-2</v>
      </c>
      <c r="F254" s="28" t="s">
        <v>1937</v>
      </c>
      <c r="G254" s="28" t="s">
        <v>1938</v>
      </c>
      <c r="H254" s="28" t="s">
        <v>1946</v>
      </c>
      <c r="I254" s="28" t="s">
        <v>2887</v>
      </c>
      <c r="J254" s="149" t="str">
        <f t="shared" si="57"/>
        <v>https://doi.org/10.1109/VLSITechnologyandCir46769.2022.9830329</v>
      </c>
      <c r="K254" s="28" t="s">
        <v>1050</v>
      </c>
      <c r="L254" s="38">
        <v>1.2</v>
      </c>
      <c r="M254" s="38">
        <v>1</v>
      </c>
      <c r="N254" s="38"/>
      <c r="P254" s="30">
        <v>4.4999999999999997E-3</v>
      </c>
      <c r="Q254" s="30">
        <v>38</v>
      </c>
      <c r="R254" s="63">
        <v>1900000000</v>
      </c>
      <c r="S254" s="30">
        <v>38</v>
      </c>
      <c r="W254" s="30">
        <v>50.9</v>
      </c>
      <c r="X254" s="29">
        <f t="shared" si="71"/>
        <v>38</v>
      </c>
      <c r="Y254" s="63">
        <v>6.0000000000000001E-3</v>
      </c>
      <c r="Z254" s="80">
        <v>3800000000</v>
      </c>
      <c r="AA254" s="64">
        <f t="shared" si="74"/>
        <v>1</v>
      </c>
      <c r="AB254" s="63">
        <v>3800000000</v>
      </c>
      <c r="AD254" s="111">
        <f t="shared" si="64"/>
        <v>1.5789473684210527</v>
      </c>
      <c r="AE254" s="29">
        <f t="shared" si="65"/>
        <v>24.332519599338717</v>
      </c>
      <c r="AF254" s="29">
        <f t="shared" si="66"/>
        <v>24.332519599338717</v>
      </c>
      <c r="AG254" s="29">
        <f t="shared" si="67"/>
        <v>153.00602350569184</v>
      </c>
      <c r="AH254" s="29">
        <f t="shared" si="68"/>
        <v>153.00602350569184</v>
      </c>
      <c r="AI254" s="63">
        <f t="shared" si="75"/>
        <v>6.4032946314049252E-9</v>
      </c>
      <c r="AJ254" s="60">
        <f t="shared" si="76"/>
        <v>248.80385947185994</v>
      </c>
    </row>
    <row r="255" spans="1:36" x14ac:dyDescent="0.3">
      <c r="A255" s="30">
        <v>2022</v>
      </c>
      <c r="B255" s="70" t="s">
        <v>1933</v>
      </c>
      <c r="C255" s="30" t="s">
        <v>23</v>
      </c>
      <c r="D255" s="30" t="s">
        <v>1951</v>
      </c>
      <c r="E255" s="30">
        <v>5.0000000000000001E-3</v>
      </c>
      <c r="F255" s="28" t="s">
        <v>1939</v>
      </c>
      <c r="G255" s="28" t="s">
        <v>1940</v>
      </c>
      <c r="H255" s="28" t="s">
        <v>1947</v>
      </c>
      <c r="I255" s="28" t="s">
        <v>2888</v>
      </c>
      <c r="J255" s="149" t="str">
        <f t="shared" si="57"/>
        <v>https://doi.org/10.1109/VLSITechnologyandCir46769.2022.9830208</v>
      </c>
      <c r="K255" s="28" t="s">
        <v>2701</v>
      </c>
      <c r="L255" s="38">
        <v>0.85</v>
      </c>
      <c r="M255" s="38"/>
      <c r="N255" s="38"/>
      <c r="P255" s="30">
        <f>2.1/2</f>
        <v>1.05</v>
      </c>
      <c r="R255" s="63">
        <v>4800000000</v>
      </c>
      <c r="S255" s="30">
        <v>48</v>
      </c>
      <c r="W255" s="30">
        <v>61</v>
      </c>
      <c r="X255" s="29">
        <f t="shared" si="71"/>
        <v>48</v>
      </c>
      <c r="Y255" s="63">
        <v>0.625</v>
      </c>
      <c r="Z255" s="80">
        <v>10000000000</v>
      </c>
      <c r="AA255" s="64">
        <f t="shared" si="74"/>
        <v>1</v>
      </c>
      <c r="AB255" s="63">
        <v>10000000000</v>
      </c>
      <c r="AD255" s="111">
        <f t="shared" si="64"/>
        <v>62.500000000000007</v>
      </c>
      <c r="AE255" s="29" t="str">
        <f t="shared" si="65"/>
        <v/>
      </c>
      <c r="AF255" s="29">
        <f t="shared" si="66"/>
        <v>304.54369925597626</v>
      </c>
      <c r="AG255" s="29" t="str">
        <f t="shared" si="67"/>
        <v/>
      </c>
      <c r="AH255" s="29">
        <f t="shared" si="68"/>
        <v>147.03089986991944</v>
      </c>
      <c r="AI255" s="63">
        <f t="shared" si="75"/>
        <v>3.0454369925597627E-8</v>
      </c>
      <c r="AJ255" s="60">
        <f t="shared" si="76"/>
        <v>247.03089986991944</v>
      </c>
    </row>
    <row r="256" spans="1:36" x14ac:dyDescent="0.3">
      <c r="A256" s="30">
        <v>2022</v>
      </c>
      <c r="B256" s="70" t="s">
        <v>1934</v>
      </c>
      <c r="C256" s="30" t="s">
        <v>23</v>
      </c>
      <c r="D256" s="30" t="s">
        <v>1952</v>
      </c>
      <c r="E256" s="30">
        <v>2.8000000000000001E-2</v>
      </c>
      <c r="F256" s="28" t="s">
        <v>1941</v>
      </c>
      <c r="G256" s="28" t="s">
        <v>1942</v>
      </c>
      <c r="H256" s="28" t="s">
        <v>1948</v>
      </c>
      <c r="I256" s="28" t="s">
        <v>2889</v>
      </c>
      <c r="J256" s="149" t="str">
        <f t="shared" si="57"/>
        <v>https://doi.org/10.1109/VLSITechnologyandCir46769.2022.9830416</v>
      </c>
      <c r="K256" s="28" t="s">
        <v>1050</v>
      </c>
      <c r="L256" s="38">
        <v>1</v>
      </c>
      <c r="M256" s="38"/>
      <c r="N256" s="38"/>
      <c r="P256" s="30">
        <v>0.15</v>
      </c>
      <c r="Q256" s="30">
        <v>52</v>
      </c>
      <c r="R256" s="63">
        <v>700000000</v>
      </c>
      <c r="S256" s="30">
        <v>48</v>
      </c>
      <c r="X256" s="29">
        <f t="shared" si="71"/>
        <v>48</v>
      </c>
      <c r="Y256" s="63">
        <v>9.8600000000000007E-3</v>
      </c>
      <c r="Z256" s="80">
        <v>1400000000</v>
      </c>
      <c r="AA256" s="64">
        <f t="shared" si="74"/>
        <v>1</v>
      </c>
      <c r="AB256" s="63">
        <v>1400000000</v>
      </c>
      <c r="AD256" s="111">
        <f t="shared" si="64"/>
        <v>7.0428571428571436</v>
      </c>
      <c r="AE256" s="29">
        <f t="shared" si="65"/>
        <v>21.652026502328869</v>
      </c>
      <c r="AF256" s="29">
        <f t="shared" si="66"/>
        <v>34.317724281873438</v>
      </c>
      <c r="AG256" s="29">
        <f t="shared" si="67"/>
        <v>160.51221125073045</v>
      </c>
      <c r="AH256" s="29">
        <f t="shared" si="68"/>
        <v>156.51221125073045</v>
      </c>
      <c r="AI256" s="63">
        <f t="shared" si="75"/>
        <v>2.451266020133817E-8</v>
      </c>
      <c r="AJ256" s="60">
        <f t="shared" si="76"/>
        <v>247.97349160751281</v>
      </c>
    </row>
    <row r="257" spans="1:36" x14ac:dyDescent="0.3">
      <c r="A257" s="31">
        <v>2023</v>
      </c>
      <c r="B257" s="70" t="s">
        <v>2998</v>
      </c>
      <c r="C257" s="30" t="s">
        <v>22</v>
      </c>
      <c r="D257" s="30" t="s">
        <v>3050</v>
      </c>
      <c r="E257" s="30">
        <v>1.6E-2</v>
      </c>
      <c r="F257" s="28" t="s">
        <v>3002</v>
      </c>
      <c r="G257" s="28" t="s">
        <v>3003</v>
      </c>
      <c r="H257" s="28" t="s">
        <v>3007</v>
      </c>
      <c r="I257" s="28" t="s">
        <v>3004</v>
      </c>
      <c r="J257" s="149" t="str">
        <f t="shared" si="57"/>
        <v>https://doi.org/10.23919/VLSITechnologyandCir57934.2023.10185279</v>
      </c>
      <c r="K257" s="28" t="s">
        <v>3051</v>
      </c>
      <c r="L257" s="38"/>
      <c r="P257" s="30">
        <v>0.77</v>
      </c>
      <c r="Q257" s="30">
        <v>61.7</v>
      </c>
      <c r="R257" s="63">
        <v>981000000</v>
      </c>
      <c r="S257" s="30">
        <v>60</v>
      </c>
      <c r="T257" s="30">
        <v>60</v>
      </c>
      <c r="U257" s="30">
        <v>63.7</v>
      </c>
      <c r="W257" s="30">
        <v>68</v>
      </c>
      <c r="X257" s="29">
        <f t="shared" si="71"/>
        <v>60</v>
      </c>
      <c r="Y257" s="63">
        <v>0.24</v>
      </c>
      <c r="Z257" s="80">
        <v>6400000000</v>
      </c>
      <c r="AA257" s="30">
        <v>3.2</v>
      </c>
      <c r="AB257" s="63">
        <f>Z257/AA257</f>
        <v>2000000000</v>
      </c>
      <c r="AD257" s="111">
        <f t="shared" ref="AD257:AD267" si="77">Y257/AB257*1000000000000</f>
        <v>120</v>
      </c>
      <c r="AE257" s="29">
        <f t="shared" si="65"/>
        <v>120.74873368033929</v>
      </c>
      <c r="AF257" s="29">
        <f t="shared" si="66"/>
        <v>146.85578376427412</v>
      </c>
      <c r="AG257" s="29">
        <f t="shared" si="67"/>
        <v>157.89788758288393</v>
      </c>
      <c r="AH257" s="29">
        <f t="shared" si="68"/>
        <v>156.19788758288394</v>
      </c>
      <c r="AI257" s="63">
        <f t="shared" ref="AI257:AI267" si="78">AF257/AB257</f>
        <v>7.3427891882137066E-8</v>
      </c>
      <c r="AJ257" s="60">
        <f t="shared" ref="AJ257:AJ267" si="79">AH257+10*LOG10(AB257)</f>
        <v>249.20818753952375</v>
      </c>
    </row>
    <row r="258" spans="1:36" x14ac:dyDescent="0.3">
      <c r="A258" s="30">
        <v>2023</v>
      </c>
      <c r="B258" s="70" t="s">
        <v>2999</v>
      </c>
      <c r="C258" s="30" t="s">
        <v>22</v>
      </c>
      <c r="D258" s="30" t="s">
        <v>1302</v>
      </c>
      <c r="E258" s="30">
        <v>2.8000000000000001E-2</v>
      </c>
      <c r="F258" s="28" t="s">
        <v>3005</v>
      </c>
      <c r="G258" s="28" t="s">
        <v>3008</v>
      </c>
      <c r="H258" s="28" t="s">
        <v>3006</v>
      </c>
      <c r="I258" s="28" t="s">
        <v>3009</v>
      </c>
      <c r="J258" s="149" t="str">
        <f t="shared" si="57"/>
        <v>https://doi.org/10.23919/VLSITechnologyandCir57934.2023.10185345</v>
      </c>
      <c r="K258" s="28" t="s">
        <v>1050</v>
      </c>
      <c r="L258" s="38">
        <v>1.8</v>
      </c>
      <c r="M258" s="38">
        <v>1.2</v>
      </c>
      <c r="N258" s="38">
        <v>1</v>
      </c>
      <c r="P258" s="30">
        <v>2.4E-2</v>
      </c>
      <c r="R258" s="63">
        <v>1000000</v>
      </c>
      <c r="S258" s="30">
        <v>84.2</v>
      </c>
      <c r="U258" s="30">
        <v>86.8</v>
      </c>
      <c r="X258" s="29">
        <f t="shared" si="71"/>
        <v>84.2</v>
      </c>
      <c r="Y258" s="63">
        <v>1.6199999999999999E-3</v>
      </c>
      <c r="Z258" s="80">
        <v>100000000</v>
      </c>
      <c r="AA258" s="30">
        <v>50</v>
      </c>
      <c r="AB258" s="63">
        <v>2000000</v>
      </c>
      <c r="AD258" s="111">
        <f t="shared" si="77"/>
        <v>810</v>
      </c>
      <c r="AE258" s="29" t="str">
        <f t="shared" si="65"/>
        <v/>
      </c>
      <c r="AF258" s="29">
        <f t="shared" si="66"/>
        <v>61.104648147919733</v>
      </c>
      <c r="AG258" s="29" t="str">
        <f t="shared" si="67"/>
        <v/>
      </c>
      <c r="AH258" s="29">
        <f t="shared" si="68"/>
        <v>172.10484985457367</v>
      </c>
      <c r="AI258" s="63">
        <f t="shared" si="78"/>
        <v>3.0552324073959869E-5</v>
      </c>
      <c r="AJ258" s="60">
        <f t="shared" si="79"/>
        <v>235.11514981121348</v>
      </c>
    </row>
    <row r="259" spans="1:36" x14ac:dyDescent="0.3">
      <c r="A259" s="30">
        <v>2023</v>
      </c>
      <c r="B259" s="70" t="s">
        <v>3000</v>
      </c>
      <c r="C259" s="30" t="s">
        <v>22</v>
      </c>
      <c r="D259" s="30" t="s">
        <v>30</v>
      </c>
      <c r="E259" s="30">
        <v>2.8000000000000001E-2</v>
      </c>
      <c r="F259" s="28" t="s">
        <v>3010</v>
      </c>
      <c r="G259" s="28" t="s">
        <v>3013</v>
      </c>
      <c r="H259" s="28" t="s">
        <v>3011</v>
      </c>
      <c r="I259" s="28" t="s">
        <v>3012</v>
      </c>
      <c r="J259" s="149" t="str">
        <f t="shared" ref="J259:J280" si="80">IF(I259&lt;&gt;"?", HYPERLINK(CONCATENATE("https://doi.org/",I259)), "")</f>
        <v>https://doi.org/10.23919/VLSITechnologyandCir57934.2023.10185356</v>
      </c>
      <c r="K259" s="28" t="s">
        <v>3052</v>
      </c>
      <c r="L259" s="38"/>
      <c r="P259" s="30">
        <v>0.15</v>
      </c>
      <c r="R259" s="63">
        <v>120000000</v>
      </c>
      <c r="S259" s="30">
        <v>72.8</v>
      </c>
      <c r="U259" s="30">
        <v>73.400000000000006</v>
      </c>
      <c r="W259" s="30">
        <v>122</v>
      </c>
      <c r="X259" s="29">
        <f t="shared" si="71"/>
        <v>72.8</v>
      </c>
      <c r="Y259" s="63">
        <v>0.115</v>
      </c>
      <c r="Z259" s="80">
        <v>6000000000</v>
      </c>
      <c r="AA259" s="64">
        <f>Z259/AB259</f>
        <v>25</v>
      </c>
      <c r="AB259" s="63">
        <v>240000000</v>
      </c>
      <c r="AD259" s="111">
        <f t="shared" si="77"/>
        <v>479.16666666666674</v>
      </c>
      <c r="AE259" s="29" t="str">
        <f t="shared" si="65"/>
        <v/>
      </c>
      <c r="AF259" s="29">
        <f t="shared" si="66"/>
        <v>134.31750928679833</v>
      </c>
      <c r="AG259" s="29" t="str">
        <f t="shared" si="67"/>
        <v/>
      </c>
      <c r="AH259" s="29">
        <f t="shared" si="68"/>
        <v>162.98483405694014</v>
      </c>
      <c r="AI259" s="63">
        <f t="shared" si="78"/>
        <v>5.5965628869499303E-7</v>
      </c>
      <c r="AJ259" s="60">
        <f t="shared" si="79"/>
        <v>246.78694647405621</v>
      </c>
    </row>
    <row r="260" spans="1:36" x14ac:dyDescent="0.3">
      <c r="A260" s="30">
        <v>2023</v>
      </c>
      <c r="B260" s="70" t="s">
        <v>3001</v>
      </c>
      <c r="C260" s="30" t="s">
        <v>22</v>
      </c>
      <c r="D260" s="30" t="s">
        <v>30</v>
      </c>
      <c r="E260" s="30">
        <v>2.1999999999999999E-2</v>
      </c>
      <c r="F260" s="28" t="s">
        <v>3014</v>
      </c>
      <c r="G260" s="28" t="s">
        <v>3017</v>
      </c>
      <c r="H260" s="28" t="s">
        <v>3015</v>
      </c>
      <c r="I260" s="28" t="s">
        <v>3016</v>
      </c>
      <c r="J260" s="149" t="str">
        <f t="shared" si="80"/>
        <v>https://doi.org/10.23919/VLSITechnologyandCir57934.2023.10185281</v>
      </c>
      <c r="K260" s="28" t="s">
        <v>1050</v>
      </c>
      <c r="L260" s="38">
        <v>0.9</v>
      </c>
      <c r="M260" s="38">
        <v>-0.5</v>
      </c>
      <c r="P260" s="30">
        <v>0.06</v>
      </c>
      <c r="R260" s="63">
        <v>220000000</v>
      </c>
      <c r="S260" s="60">
        <v>62</v>
      </c>
      <c r="U260" s="30">
        <v>63</v>
      </c>
      <c r="W260" s="30">
        <v>75</v>
      </c>
      <c r="X260" s="29">
        <f t="shared" si="71"/>
        <v>62</v>
      </c>
      <c r="Y260" s="63">
        <v>2.1999999999999999E-2</v>
      </c>
      <c r="Z260" s="80">
        <v>4400000000</v>
      </c>
      <c r="AA260" s="64">
        <f>Z260/AB260</f>
        <v>10</v>
      </c>
      <c r="AB260" s="63">
        <v>440000000</v>
      </c>
      <c r="AD260" s="111">
        <f t="shared" si="77"/>
        <v>49.999999999999993</v>
      </c>
      <c r="AE260" s="29" t="str">
        <f t="shared" si="65"/>
        <v/>
      </c>
      <c r="AF260" s="29">
        <f t="shared" si="66"/>
        <v>48.603757838840743</v>
      </c>
      <c r="AG260" s="29" t="str">
        <f t="shared" si="67"/>
        <v/>
      </c>
      <c r="AH260" s="29">
        <f t="shared" si="68"/>
        <v>162</v>
      </c>
      <c r="AI260" s="63">
        <f t="shared" si="78"/>
        <v>1.1046308599736533E-7</v>
      </c>
      <c r="AJ260" s="60">
        <f t="shared" si="79"/>
        <v>248.43452676486189</v>
      </c>
    </row>
    <row r="261" spans="1:36" x14ac:dyDescent="0.3">
      <c r="A261" s="30">
        <v>2023</v>
      </c>
      <c r="B261" s="70" t="s">
        <v>1815</v>
      </c>
      <c r="C261" s="30" t="s">
        <v>23</v>
      </c>
      <c r="D261" s="30" t="s">
        <v>592</v>
      </c>
      <c r="E261" s="30">
        <v>2.8000000000000001E-2</v>
      </c>
      <c r="F261" s="28" t="s">
        <v>3018</v>
      </c>
      <c r="G261" s="28" t="s">
        <v>3020</v>
      </c>
      <c r="H261" s="28" t="s">
        <v>3019</v>
      </c>
      <c r="I261" s="28" t="s">
        <v>3021</v>
      </c>
      <c r="J261" s="149" t="str">
        <f t="shared" si="80"/>
        <v>https://doi.org/10.23919/VLSITechnologyandCir57934.2023.10185370</v>
      </c>
      <c r="K261" s="28" t="s">
        <v>3053</v>
      </c>
      <c r="L261" s="38">
        <v>1.65</v>
      </c>
      <c r="M261" s="38">
        <v>1</v>
      </c>
      <c r="N261" s="38">
        <v>-1</v>
      </c>
      <c r="P261" s="30">
        <v>0.54</v>
      </c>
      <c r="R261" s="63">
        <v>918000000</v>
      </c>
      <c r="S261" s="30">
        <v>57.3</v>
      </c>
      <c r="W261" s="30">
        <v>69.900000000000006</v>
      </c>
      <c r="X261" s="29">
        <f t="shared" si="71"/>
        <v>57.3</v>
      </c>
      <c r="Y261" s="63">
        <v>0.1186</v>
      </c>
      <c r="Z261" s="80">
        <v>2000000000</v>
      </c>
      <c r="AA261" s="30">
        <v>1</v>
      </c>
      <c r="AB261" s="63">
        <f>2000000000</f>
        <v>2000000000</v>
      </c>
      <c r="AD261" s="111">
        <f t="shared" si="77"/>
        <v>59.300000000000004</v>
      </c>
      <c r="AE261" s="29" t="str">
        <f t="shared" si="65"/>
        <v/>
      </c>
      <c r="AF261" s="29">
        <f t="shared" si="66"/>
        <v>99.032548647577926</v>
      </c>
      <c r="AG261" s="29" t="str">
        <f t="shared" si="67"/>
        <v/>
      </c>
      <c r="AH261" s="29">
        <f t="shared" si="68"/>
        <v>156.55915310971756</v>
      </c>
      <c r="AI261" s="63">
        <f t="shared" si="78"/>
        <v>4.9516274323788965E-8</v>
      </c>
      <c r="AJ261" s="60">
        <f t="shared" si="79"/>
        <v>249.56945306635737</v>
      </c>
    </row>
    <row r="262" spans="1:36" x14ac:dyDescent="0.3">
      <c r="A262" s="30">
        <v>2023</v>
      </c>
      <c r="B262" s="70" t="s">
        <v>1816</v>
      </c>
      <c r="C262" s="30" t="s">
        <v>23</v>
      </c>
      <c r="D262" s="30" t="s">
        <v>1494</v>
      </c>
      <c r="E262" s="30">
        <v>6.5000000000000002E-2</v>
      </c>
      <c r="F262" s="28" t="s">
        <v>3023</v>
      </c>
      <c r="G262" s="28" t="s">
        <v>3025</v>
      </c>
      <c r="H262" s="28" t="s">
        <v>3024</v>
      </c>
      <c r="I262" s="28" t="s">
        <v>3026</v>
      </c>
      <c r="J262" s="149" t="str">
        <f t="shared" si="80"/>
        <v>https://doi.org/10.23919/VLSITechnologyandCir57934.2023.10185416</v>
      </c>
      <c r="K262" s="28" t="s">
        <v>1050</v>
      </c>
      <c r="L262" s="38">
        <v>1.1000000000000001</v>
      </c>
      <c r="N262" s="30"/>
      <c r="O262" s="30">
        <v>8</v>
      </c>
      <c r="P262" s="30">
        <v>0.19500000000000001</v>
      </c>
      <c r="Q262" s="30">
        <v>79.5</v>
      </c>
      <c r="R262" s="63">
        <v>30000000</v>
      </c>
      <c r="S262" s="30">
        <v>76.900000000000006</v>
      </c>
      <c r="W262" s="30">
        <v>87.3</v>
      </c>
      <c r="X262" s="29">
        <f t="shared" si="71"/>
        <v>76.900000000000006</v>
      </c>
      <c r="Y262" s="63">
        <v>1.5499999999999999E-3</v>
      </c>
      <c r="Z262" s="80">
        <v>60000000</v>
      </c>
      <c r="AA262" s="30">
        <v>1</v>
      </c>
      <c r="AB262" s="63">
        <v>60000000</v>
      </c>
      <c r="AD262" s="111">
        <f t="shared" si="77"/>
        <v>25.833333333333332</v>
      </c>
      <c r="AE262" s="29">
        <f t="shared" si="65"/>
        <v>3.3480589425745988</v>
      </c>
      <c r="AF262" s="29">
        <f t="shared" si="66"/>
        <v>4.5165419680084682</v>
      </c>
      <c r="AG262" s="29">
        <f t="shared" si="67"/>
        <v>182.36789556549371</v>
      </c>
      <c r="AH262" s="29">
        <f t="shared" si="68"/>
        <v>179.76789556549372</v>
      </c>
      <c r="AI262" s="63">
        <f t="shared" si="78"/>
        <v>7.5275699466807797E-8</v>
      </c>
      <c r="AJ262" s="60">
        <f t="shared" si="79"/>
        <v>257.54940806933018</v>
      </c>
    </row>
    <row r="263" spans="1:36" x14ac:dyDescent="0.3">
      <c r="A263" s="30">
        <v>2023</v>
      </c>
      <c r="B263" s="70" t="s">
        <v>1817</v>
      </c>
      <c r="C263" s="30" t="s">
        <v>23</v>
      </c>
      <c r="D263" s="30" t="s">
        <v>1494</v>
      </c>
      <c r="E263" s="30">
        <v>2.8000000000000001E-2</v>
      </c>
      <c r="F263" s="28" t="s">
        <v>3027</v>
      </c>
      <c r="G263" s="28" t="s">
        <v>3029</v>
      </c>
      <c r="H263" s="28" t="s">
        <v>3028</v>
      </c>
      <c r="I263" s="28" t="s">
        <v>3030</v>
      </c>
      <c r="J263" s="149" t="str">
        <f t="shared" si="80"/>
        <v>https://doi.org/10.23919/VLSITechnologyandCir57934.2023.10185377</v>
      </c>
      <c r="K263" s="28" t="s">
        <v>1050</v>
      </c>
      <c r="L263" s="38">
        <v>1</v>
      </c>
      <c r="N263" s="30"/>
      <c r="O263" s="30">
        <v>2.2599999999999998</v>
      </c>
      <c r="P263" s="30">
        <v>4.8000000000000001E-2</v>
      </c>
      <c r="Q263" s="30">
        <v>68.599999999999994</v>
      </c>
      <c r="R263" s="63">
        <v>60000000</v>
      </c>
      <c r="S263" s="30">
        <v>67.900000000000006</v>
      </c>
      <c r="W263" s="30">
        <v>84.3</v>
      </c>
      <c r="X263" s="29">
        <f t="shared" si="71"/>
        <v>67.900000000000006</v>
      </c>
      <c r="Y263" s="63">
        <v>1.72E-3</v>
      </c>
      <c r="Z263" s="80">
        <v>150000000</v>
      </c>
      <c r="AA263" s="30">
        <v>1</v>
      </c>
      <c r="AB263" s="63">
        <v>150000000</v>
      </c>
      <c r="AD263" s="111">
        <f t="shared" si="77"/>
        <v>11.466666666666667</v>
      </c>
      <c r="AE263" s="29">
        <f t="shared" si="65"/>
        <v>5.2131971155661194</v>
      </c>
      <c r="AF263" s="29">
        <f t="shared" si="66"/>
        <v>5.6507700434483299</v>
      </c>
      <c r="AG263" s="29">
        <f t="shared" si="67"/>
        <v>174.99532816484151</v>
      </c>
      <c r="AH263" s="29">
        <f t="shared" si="68"/>
        <v>174.29532816484152</v>
      </c>
      <c r="AI263" s="63">
        <f t="shared" si="78"/>
        <v>3.7671800289655533E-8</v>
      </c>
      <c r="AJ263" s="60">
        <f t="shared" si="79"/>
        <v>256.05624075539833</v>
      </c>
    </row>
    <row r="264" spans="1:36" x14ac:dyDescent="0.3">
      <c r="A264" s="30">
        <v>2023</v>
      </c>
      <c r="B264" s="70" t="s">
        <v>3022</v>
      </c>
      <c r="C264" s="30" t="s">
        <v>23</v>
      </c>
      <c r="D264" s="30" t="s">
        <v>238</v>
      </c>
      <c r="E264" s="30">
        <v>7.0000000000000001E-3</v>
      </c>
      <c r="F264" s="28" t="s">
        <v>3031</v>
      </c>
      <c r="G264" s="28" t="s">
        <v>3033</v>
      </c>
      <c r="H264" s="28" t="s">
        <v>3032</v>
      </c>
      <c r="I264" s="28" t="s">
        <v>3034</v>
      </c>
      <c r="J264" s="149" t="str">
        <f t="shared" si="80"/>
        <v>https://doi.org/10.23919/VLSITechnologyandCir57934.2023.10185426</v>
      </c>
      <c r="K264" s="28" t="s">
        <v>1050</v>
      </c>
      <c r="L264" s="38">
        <v>1.8</v>
      </c>
      <c r="M264" s="30">
        <v>0.75</v>
      </c>
      <c r="N264" s="30"/>
      <c r="P264" s="30">
        <v>1.6E-2</v>
      </c>
      <c r="R264" s="63">
        <v>2000000</v>
      </c>
      <c r="S264" s="30">
        <v>74</v>
      </c>
      <c r="X264" s="29">
        <f t="shared" si="71"/>
        <v>74</v>
      </c>
      <c r="Y264" s="63">
        <v>8.5999999999999998E-4</v>
      </c>
      <c r="Z264" s="80">
        <v>4000000</v>
      </c>
      <c r="AA264" s="30">
        <v>1</v>
      </c>
      <c r="AB264" s="63">
        <v>4000000</v>
      </c>
      <c r="AD264" s="111">
        <f t="shared" si="77"/>
        <v>215</v>
      </c>
      <c r="AE264" s="29" t="str">
        <f t="shared" si="65"/>
        <v/>
      </c>
      <c r="AF264" s="29">
        <f t="shared" si="66"/>
        <v>52.490234375</v>
      </c>
      <c r="AG264" s="29" t="str">
        <f t="shared" si="67"/>
        <v/>
      </c>
      <c r="AH264" s="29">
        <f t="shared" si="68"/>
        <v>167.66531544420411</v>
      </c>
      <c r="AI264" s="63">
        <f t="shared" si="78"/>
        <v>1.312255859375E-5</v>
      </c>
      <c r="AJ264" s="60">
        <f t="shared" si="79"/>
        <v>233.68591535748374</v>
      </c>
    </row>
    <row r="265" spans="1:36" x14ac:dyDescent="0.3">
      <c r="A265" s="30">
        <v>2023</v>
      </c>
      <c r="B265" s="70" t="s">
        <v>3035</v>
      </c>
      <c r="C265" s="30" t="s">
        <v>23</v>
      </c>
      <c r="D265" s="30" t="s">
        <v>3054</v>
      </c>
      <c r="E265" s="30">
        <v>6.5000000000000002E-2</v>
      </c>
      <c r="F265" s="28" t="s">
        <v>3038</v>
      </c>
      <c r="G265" s="28" t="s">
        <v>3040</v>
      </c>
      <c r="H265" s="28" t="s">
        <v>3039</v>
      </c>
      <c r="I265" s="28" t="s">
        <v>3041</v>
      </c>
      <c r="J265" s="149" t="str">
        <f t="shared" si="80"/>
        <v>https://doi.org/10.23919/VLSITechnologyandCir57934.2023.10185322</v>
      </c>
      <c r="K265" s="28" t="s">
        <v>3055</v>
      </c>
      <c r="L265" s="38">
        <v>1.2</v>
      </c>
      <c r="N265" s="30"/>
      <c r="P265" s="30">
        <v>5.0000000000000001E-3</v>
      </c>
      <c r="R265" s="63">
        <v>16000</v>
      </c>
      <c r="S265" s="30">
        <v>61.4</v>
      </c>
      <c r="X265" s="29">
        <f t="shared" si="71"/>
        <v>61.4</v>
      </c>
      <c r="Y265" s="63">
        <v>9.9000000000000001E-6</v>
      </c>
      <c r="Z265" s="80">
        <v>32000</v>
      </c>
      <c r="AA265" s="30">
        <v>1</v>
      </c>
      <c r="AB265" s="63">
        <v>32000</v>
      </c>
      <c r="AD265" s="111">
        <f t="shared" si="77"/>
        <v>309.375</v>
      </c>
      <c r="AE265" s="29" t="str">
        <f t="shared" si="65"/>
        <v/>
      </c>
      <c r="AF265" s="29">
        <f t="shared" si="66"/>
        <v>322.24638191985952</v>
      </c>
      <c r="AG265" s="29" t="str">
        <f t="shared" si="67"/>
        <v/>
      </c>
      <c r="AH265" s="29">
        <f t="shared" si="68"/>
        <v>153.48484788058374</v>
      </c>
      <c r="AI265" s="63">
        <f t="shared" si="78"/>
        <v>1.0070199434995609E-2</v>
      </c>
      <c r="AJ265" s="60">
        <f t="shared" si="79"/>
        <v>198.53634766378281</v>
      </c>
    </row>
    <row r="266" spans="1:36" x14ac:dyDescent="0.3">
      <c r="A266" s="30">
        <v>2023</v>
      </c>
      <c r="B266" s="70" t="s">
        <v>3036</v>
      </c>
      <c r="C266" s="30" t="s">
        <v>22</v>
      </c>
      <c r="D266" s="30" t="s">
        <v>25</v>
      </c>
      <c r="E266" s="30">
        <v>2.1999999999999999E-2</v>
      </c>
      <c r="F266" s="28" t="s">
        <v>3042</v>
      </c>
      <c r="G266" s="28" t="s">
        <v>3044</v>
      </c>
      <c r="H266" s="28" t="s">
        <v>3043</v>
      </c>
      <c r="I266" s="28" t="s">
        <v>3045</v>
      </c>
      <c r="J266" s="149" t="str">
        <f t="shared" si="80"/>
        <v>https://doi.org/10.23919/VLSITechnologyandCir57934.2023.10185310</v>
      </c>
      <c r="K266" s="28" t="s">
        <v>1050</v>
      </c>
      <c r="L266" s="38">
        <v>1</v>
      </c>
      <c r="N266" s="30"/>
      <c r="P266" s="30">
        <v>2.5000000000000001E-2</v>
      </c>
      <c r="R266" s="63">
        <v>1000000</v>
      </c>
      <c r="S266" s="30">
        <v>79.900000000000006</v>
      </c>
      <c r="U266" s="30">
        <v>83.3</v>
      </c>
      <c r="X266" s="29">
        <f t="shared" si="71"/>
        <v>79.900000000000006</v>
      </c>
      <c r="Y266" s="63">
        <v>1.0399999999999999E-3</v>
      </c>
      <c r="Z266" s="80">
        <v>96000000</v>
      </c>
      <c r="AA266" s="64">
        <f>Z266/AB266</f>
        <v>24</v>
      </c>
      <c r="AB266" s="63">
        <v>4000000</v>
      </c>
      <c r="AD266" s="111">
        <f t="shared" si="77"/>
        <v>260</v>
      </c>
      <c r="AE266" s="29" t="str">
        <f t="shared" si="65"/>
        <v/>
      </c>
      <c r="AF266" s="29">
        <f t="shared" si="66"/>
        <v>32.17984902705615</v>
      </c>
      <c r="AG266" s="29" t="str">
        <f t="shared" si="67"/>
        <v/>
      </c>
      <c r="AH266" s="29">
        <f t="shared" si="68"/>
        <v>172.73996656365202</v>
      </c>
      <c r="AI266" s="63">
        <f t="shared" si="78"/>
        <v>8.0449622567640376E-6</v>
      </c>
      <c r="AJ266" s="60">
        <f t="shared" si="79"/>
        <v>238.76056647693164</v>
      </c>
    </row>
    <row r="267" spans="1:36" x14ac:dyDescent="0.3">
      <c r="A267" s="30">
        <v>2023</v>
      </c>
      <c r="B267" s="70" t="s">
        <v>3037</v>
      </c>
      <c r="C267" s="30" t="s">
        <v>22</v>
      </c>
      <c r="D267" s="30" t="s">
        <v>3056</v>
      </c>
      <c r="E267" s="30">
        <v>2.8000000000000001E-2</v>
      </c>
      <c r="F267" s="28" t="s">
        <v>3046</v>
      </c>
      <c r="G267" s="28" t="s">
        <v>3049</v>
      </c>
      <c r="H267" s="28" t="s">
        <v>3047</v>
      </c>
      <c r="I267" s="28" t="s">
        <v>3048</v>
      </c>
      <c r="J267" s="149" t="str">
        <f t="shared" si="80"/>
        <v>https://doi.org/10.23919/VLSITechnologyandCir57934.2023.10185342</v>
      </c>
      <c r="K267" s="28" t="s">
        <v>865</v>
      </c>
      <c r="L267" s="38">
        <v>1.1000000000000001</v>
      </c>
      <c r="N267" s="30"/>
      <c r="P267" s="30">
        <v>0.09</v>
      </c>
      <c r="R267" s="63">
        <v>24000000</v>
      </c>
      <c r="S267" s="30">
        <v>58</v>
      </c>
      <c r="U267" s="30">
        <v>60</v>
      </c>
      <c r="X267" s="29">
        <f t="shared" si="71"/>
        <v>58</v>
      </c>
      <c r="Y267" s="63">
        <v>1.2E-2</v>
      </c>
      <c r="Z267" s="80">
        <v>800000000</v>
      </c>
      <c r="AA267" s="38">
        <f>Z267/AB267</f>
        <v>16.666666666666668</v>
      </c>
      <c r="AB267" s="63">
        <v>48000000</v>
      </c>
      <c r="AC267" s="63">
        <v>200000000</v>
      </c>
      <c r="AD267" s="111">
        <f t="shared" si="77"/>
        <v>250.00000000000003</v>
      </c>
      <c r="AE267" s="29" t="str">
        <f t="shared" si="65"/>
        <v/>
      </c>
      <c r="AF267" s="29">
        <f t="shared" si="66"/>
        <v>385.17650077623836</v>
      </c>
      <c r="AG267" s="29" t="str">
        <f t="shared" si="67"/>
        <v/>
      </c>
      <c r="AH267" s="29">
        <f t="shared" si="68"/>
        <v>151.01029995663981</v>
      </c>
      <c r="AI267" s="63">
        <f t="shared" si="78"/>
        <v>8.0245104328382998E-6</v>
      </c>
      <c r="AJ267" s="60">
        <f t="shared" si="79"/>
        <v>227.82271233039569</v>
      </c>
    </row>
    <row r="268" spans="1:36" x14ac:dyDescent="0.3">
      <c r="A268" s="31">
        <v>2024</v>
      </c>
      <c r="B268" s="70" t="s">
        <v>3135</v>
      </c>
      <c r="C268" s="30" t="s">
        <v>22</v>
      </c>
      <c r="D268" s="30" t="s">
        <v>782</v>
      </c>
      <c r="E268" s="30">
        <v>0.18</v>
      </c>
      <c r="F268" s="28" t="s">
        <v>3145</v>
      </c>
      <c r="G268" s="28" t="s">
        <v>3146</v>
      </c>
      <c r="H268" s="28" t="s">
        <v>3147</v>
      </c>
      <c r="I268" s="28" t="s">
        <v>3275</v>
      </c>
      <c r="J268" s="149" t="str">
        <f t="shared" si="80"/>
        <v>https://doi.org/10.1109/VLSITechnologyandCir46783.2024.10631536</v>
      </c>
      <c r="K268" s="28" t="s">
        <v>3148</v>
      </c>
      <c r="L268" s="38">
        <v>1.4</v>
      </c>
      <c r="N268" s="30"/>
      <c r="P268" s="30">
        <v>0.12</v>
      </c>
      <c r="R268" s="63">
        <v>5000</v>
      </c>
      <c r="S268" s="30">
        <v>83.47</v>
      </c>
      <c r="U268" s="30">
        <v>87.7</v>
      </c>
      <c r="X268" s="29">
        <f t="shared" si="71"/>
        <v>83.47</v>
      </c>
      <c r="Y268" s="63">
        <v>4.1999999999999996E-6</v>
      </c>
      <c r="Z268" s="80">
        <v>320000</v>
      </c>
      <c r="AA268" s="64">
        <f t="shared" ref="AA268:AA272" si="81">Z268/AB268</f>
        <v>32</v>
      </c>
      <c r="AB268" s="63">
        <v>10000</v>
      </c>
      <c r="AD268" s="111">
        <f t="shared" ref="AD268:AD277" si="82">Y268/AB268*1000000000000</f>
        <v>419.99999999999994</v>
      </c>
      <c r="AE268" s="29" t="str">
        <f t="shared" si="65"/>
        <v/>
      </c>
      <c r="AF268" s="29">
        <f t="shared" si="66"/>
        <v>34.462133189186758</v>
      </c>
      <c r="AG268" s="29" t="str">
        <f t="shared" si="67"/>
        <v/>
      </c>
      <c r="AH268" s="29">
        <f t="shared" si="68"/>
        <v>174.22720713938116</v>
      </c>
      <c r="AI268" s="63">
        <f t="shared" ref="AI268:AI277" si="83">AF268/AB268</f>
        <v>3.4462133189186758E-3</v>
      </c>
      <c r="AJ268" s="60">
        <f t="shared" ref="AJ268:AJ277" si="84">AH268+10*LOG10(AB268)</f>
        <v>214.22720713938116</v>
      </c>
    </row>
    <row r="269" spans="1:36" x14ac:dyDescent="0.3">
      <c r="A269" s="30">
        <v>2024</v>
      </c>
      <c r="B269" s="70" t="s">
        <v>3136</v>
      </c>
      <c r="C269" s="30" t="s">
        <v>22</v>
      </c>
      <c r="D269" s="30" t="s">
        <v>25</v>
      </c>
      <c r="E269" s="30">
        <v>0.18</v>
      </c>
      <c r="F269" s="28" t="s">
        <v>3149</v>
      </c>
      <c r="G269" s="28" t="s">
        <v>3151</v>
      </c>
      <c r="H269" s="28" t="s">
        <v>3150</v>
      </c>
      <c r="I269" s="28" t="s">
        <v>3276</v>
      </c>
      <c r="J269" s="149" t="str">
        <f t="shared" si="80"/>
        <v>https://doi.org/10.1109/VLSITechnologyandCir46783.2024.10631405</v>
      </c>
      <c r="K269" s="28" t="s">
        <v>861</v>
      </c>
      <c r="L269" s="38">
        <v>1.8</v>
      </c>
      <c r="N269" s="30"/>
      <c r="P269" s="30">
        <v>0.46</v>
      </c>
      <c r="R269" s="63">
        <v>20000</v>
      </c>
      <c r="S269" s="30">
        <v>100.7</v>
      </c>
      <c r="T269" s="30">
        <v>102.2</v>
      </c>
      <c r="U269" s="30">
        <v>102.6</v>
      </c>
      <c r="W269" s="30">
        <v>113.7</v>
      </c>
      <c r="X269" s="29">
        <f t="shared" si="71"/>
        <v>100.7</v>
      </c>
      <c r="Y269" s="63">
        <v>4.6999999999999999E-4</v>
      </c>
      <c r="Z269" s="80">
        <v>2400000</v>
      </c>
      <c r="AA269" s="64">
        <f t="shared" si="81"/>
        <v>60</v>
      </c>
      <c r="AB269" s="63">
        <v>40000</v>
      </c>
      <c r="AD269" s="111">
        <f t="shared" si="82"/>
        <v>11750</v>
      </c>
      <c r="AE269" s="29" t="str">
        <f t="shared" si="65"/>
        <v/>
      </c>
      <c r="AF269" s="29">
        <f t="shared" si="66"/>
        <v>132.60041442258935</v>
      </c>
      <c r="AG269" s="29" t="str">
        <f t="shared" si="67"/>
        <v/>
      </c>
      <c r="AH269" s="29">
        <f t="shared" si="68"/>
        <v>176.98932137728264</v>
      </c>
      <c r="AI269" s="63">
        <f t="shared" si="83"/>
        <v>3.3150103605647336E-3</v>
      </c>
      <c r="AJ269" s="60">
        <f t="shared" si="84"/>
        <v>223.00992129056226</v>
      </c>
    </row>
    <row r="270" spans="1:36" x14ac:dyDescent="0.3">
      <c r="A270" s="30">
        <v>2024</v>
      </c>
      <c r="B270" s="70" t="s">
        <v>3137</v>
      </c>
      <c r="C270" s="30" t="s">
        <v>22</v>
      </c>
      <c r="D270" s="30" t="s">
        <v>30</v>
      </c>
      <c r="E270" s="30">
        <v>6.5000000000000002E-2</v>
      </c>
      <c r="F270" s="28" t="s">
        <v>3153</v>
      </c>
      <c r="G270" s="28" t="s">
        <v>3154</v>
      </c>
      <c r="H270" s="28" t="s">
        <v>3152</v>
      </c>
      <c r="I270" s="28" t="s">
        <v>3277</v>
      </c>
      <c r="J270" s="149" t="str">
        <f t="shared" si="80"/>
        <v>https://doi.org/10.1109/VLSITechnologyandCir46783.2024.10631367</v>
      </c>
      <c r="K270" s="28" t="s">
        <v>1050</v>
      </c>
      <c r="L270" s="38">
        <v>1</v>
      </c>
      <c r="N270" s="30"/>
      <c r="P270" s="30">
        <v>0.28000000000000003</v>
      </c>
      <c r="R270" s="63">
        <v>24000</v>
      </c>
      <c r="S270" s="30">
        <v>99.2</v>
      </c>
      <c r="T270" s="30">
        <v>99.4</v>
      </c>
      <c r="U270" s="30">
        <v>100</v>
      </c>
      <c r="X270" s="29">
        <f t="shared" si="71"/>
        <v>99.2</v>
      </c>
      <c r="Y270" s="63">
        <v>8.0699999999999996E-5</v>
      </c>
      <c r="Z270" s="80">
        <v>7200000</v>
      </c>
      <c r="AA270" s="64">
        <f t="shared" si="81"/>
        <v>150</v>
      </c>
      <c r="AB270" s="63">
        <v>48000</v>
      </c>
      <c r="AD270" s="111">
        <f t="shared" si="82"/>
        <v>1681.25</v>
      </c>
      <c r="AE270" s="29" t="str">
        <f t="shared" si="65"/>
        <v/>
      </c>
      <c r="AF270" s="29">
        <f t="shared" si="66"/>
        <v>22.550012457448261</v>
      </c>
      <c r="AG270" s="29" t="str">
        <f t="shared" si="67"/>
        <v/>
      </c>
      <c r="AH270" s="29">
        <f t="shared" si="68"/>
        <v>183.93337706989536</v>
      </c>
      <c r="AI270" s="63">
        <f t="shared" si="83"/>
        <v>4.6979192619683879E-4</v>
      </c>
      <c r="AJ270" s="60">
        <f t="shared" si="84"/>
        <v>230.74578944365123</v>
      </c>
    </row>
    <row r="271" spans="1:36" x14ac:dyDescent="0.3">
      <c r="A271" s="30">
        <v>2024</v>
      </c>
      <c r="B271" s="70" t="s">
        <v>3138</v>
      </c>
      <c r="C271" s="30" t="s">
        <v>22</v>
      </c>
      <c r="D271" s="30" t="s">
        <v>30</v>
      </c>
      <c r="E271" s="30">
        <v>2.8000000000000001E-2</v>
      </c>
      <c r="F271" s="28" t="s">
        <v>3155</v>
      </c>
      <c r="G271" s="28" t="s">
        <v>3156</v>
      </c>
      <c r="H271" s="28" t="s">
        <v>3157</v>
      </c>
      <c r="I271" s="28" t="s">
        <v>3278</v>
      </c>
      <c r="J271" s="149" t="str">
        <f t="shared" si="80"/>
        <v>https://doi.org/10.1109/VLSITechnologyandCir46783.2024.10631532</v>
      </c>
      <c r="K271" s="28" t="s">
        <v>1050</v>
      </c>
      <c r="L271" s="38">
        <v>1.1000000000000001</v>
      </c>
      <c r="N271" s="30"/>
      <c r="P271" s="30">
        <v>0.17</v>
      </c>
      <c r="R271" s="63">
        <v>200000</v>
      </c>
      <c r="S271" s="30">
        <v>89</v>
      </c>
      <c r="T271" s="30">
        <v>89.2</v>
      </c>
      <c r="U271" s="30">
        <v>92.1</v>
      </c>
      <c r="W271" s="30">
        <v>103.1</v>
      </c>
      <c r="X271" s="29">
        <f t="shared" si="71"/>
        <v>89</v>
      </c>
      <c r="Y271" s="63">
        <v>3.8000000000000002E-4</v>
      </c>
      <c r="Z271" s="80">
        <v>12800000</v>
      </c>
      <c r="AA271" s="64">
        <f t="shared" si="81"/>
        <v>32</v>
      </c>
      <c r="AB271" s="63">
        <v>400000</v>
      </c>
      <c r="AD271" s="111">
        <f t="shared" si="82"/>
        <v>950</v>
      </c>
      <c r="AE271" s="29" t="str">
        <f t="shared" si="65"/>
        <v/>
      </c>
      <c r="AF271" s="29">
        <f t="shared" si="66"/>
        <v>41.23717609251203</v>
      </c>
      <c r="AG271" s="29" t="str">
        <f t="shared" si="67"/>
        <v/>
      </c>
      <c r="AH271" s="29">
        <f t="shared" si="68"/>
        <v>176.21246399047172</v>
      </c>
      <c r="AI271" s="63">
        <f t="shared" si="83"/>
        <v>1.0309294023128008E-4</v>
      </c>
      <c r="AJ271" s="60">
        <f t="shared" si="84"/>
        <v>232.23306390375134</v>
      </c>
    </row>
    <row r="272" spans="1:36" x14ac:dyDescent="0.3">
      <c r="A272" s="30">
        <v>2024</v>
      </c>
      <c r="B272" s="70" t="s">
        <v>3139</v>
      </c>
      <c r="C272" s="30" t="s">
        <v>22</v>
      </c>
      <c r="D272" s="30" t="s">
        <v>30</v>
      </c>
      <c r="E272" s="30">
        <v>6.5000000000000002E-2</v>
      </c>
      <c r="F272" s="28" t="s">
        <v>3158</v>
      </c>
      <c r="G272" s="28" t="s">
        <v>3159</v>
      </c>
      <c r="H272" s="28" t="s">
        <v>3160</v>
      </c>
      <c r="I272" s="28" t="s">
        <v>3279</v>
      </c>
      <c r="J272" s="149" t="str">
        <f t="shared" si="80"/>
        <v>https://doi.org/10.1109/VLSITechnologyandCir46783.2024.10631461</v>
      </c>
      <c r="K272" s="28" t="s">
        <v>865</v>
      </c>
      <c r="L272" s="38">
        <v>1.2</v>
      </c>
      <c r="N272" s="30"/>
      <c r="P272" s="30">
        <v>1.2</v>
      </c>
      <c r="R272" s="63">
        <v>2770000000</v>
      </c>
      <c r="S272" s="30">
        <v>62</v>
      </c>
      <c r="W272" s="30">
        <v>89</v>
      </c>
      <c r="X272" s="29">
        <f t="shared" si="71"/>
        <v>62</v>
      </c>
      <c r="Y272" s="63">
        <v>5.2999999999999999E-2</v>
      </c>
      <c r="Z272" s="80">
        <v>10800000000</v>
      </c>
      <c r="AA272" s="64">
        <f t="shared" si="81"/>
        <v>64.285714285714292</v>
      </c>
      <c r="AB272" s="63">
        <v>168000000</v>
      </c>
      <c r="AC272" s="63">
        <v>2700000000</v>
      </c>
      <c r="AD272" s="111">
        <f t="shared" si="82"/>
        <v>315.47619047619048</v>
      </c>
      <c r="AE272" s="29" t="str">
        <f t="shared" si="65"/>
        <v/>
      </c>
      <c r="AF272" s="29">
        <f t="shared" si="66"/>
        <v>306.66656731649522</v>
      </c>
      <c r="AG272" s="29" t="str">
        <f t="shared" si="67"/>
        <v/>
      </c>
      <c r="AH272" s="29">
        <f t="shared" si="68"/>
        <v>154.00003416461092</v>
      </c>
      <c r="AI272" s="63">
        <f t="shared" si="83"/>
        <v>1.8253962340267572E-6</v>
      </c>
      <c r="AJ272" s="60">
        <f t="shared" si="84"/>
        <v>236.25312698186957</v>
      </c>
    </row>
    <row r="273" spans="1:36" x14ac:dyDescent="0.3">
      <c r="A273" s="30">
        <v>2024</v>
      </c>
      <c r="B273" s="70" t="s">
        <v>3140</v>
      </c>
      <c r="C273" s="30" t="s">
        <v>22</v>
      </c>
      <c r="D273" s="30" t="s">
        <v>30</v>
      </c>
      <c r="E273" s="30">
        <v>0.18</v>
      </c>
      <c r="F273" s="28" t="s">
        <v>3164</v>
      </c>
      <c r="G273" s="28" t="s">
        <v>3165</v>
      </c>
      <c r="H273" s="28" t="s">
        <v>3166</v>
      </c>
      <c r="I273" s="28" t="s">
        <v>3280</v>
      </c>
      <c r="J273" s="149" t="str">
        <f t="shared" si="80"/>
        <v>https://doi.org/10.1109/VLSITechnologyandCir46783.2024.10631347</v>
      </c>
      <c r="K273" s="28" t="s">
        <v>1050</v>
      </c>
      <c r="L273" s="38">
        <v>1.8</v>
      </c>
      <c r="N273" s="30"/>
      <c r="P273" s="30">
        <v>0.72499999999999998</v>
      </c>
      <c r="R273" s="63">
        <v>15332</v>
      </c>
      <c r="S273" s="30">
        <v>93.8</v>
      </c>
      <c r="T273" s="30">
        <v>94.2</v>
      </c>
      <c r="U273" s="30">
        <v>99</v>
      </c>
      <c r="W273" s="30">
        <v>102.5</v>
      </c>
      <c r="X273" s="29">
        <f t="shared" si="71"/>
        <v>93.8</v>
      </c>
      <c r="Y273" s="63">
        <v>2.5200000000000001E-3</v>
      </c>
      <c r="Z273" s="80">
        <v>26000000</v>
      </c>
      <c r="AA273" s="64">
        <v>128</v>
      </c>
      <c r="AB273" s="63">
        <f>Z273/AA273</f>
        <v>203125</v>
      </c>
      <c r="AD273" s="111">
        <f t="shared" si="82"/>
        <v>12406.153846153848</v>
      </c>
      <c r="AE273" s="29" t="str">
        <f t="shared" si="65"/>
        <v/>
      </c>
      <c r="AF273" s="29">
        <f t="shared" si="66"/>
        <v>309.86930470145921</v>
      </c>
      <c r="AG273" s="29" t="str">
        <f t="shared" si="67"/>
        <v/>
      </c>
      <c r="AH273" s="29">
        <f t="shared" si="68"/>
        <v>169.85332841877425</v>
      </c>
      <c r="AI273" s="63">
        <f t="shared" si="83"/>
        <v>1.5255104231456454E-3</v>
      </c>
      <c r="AJ273" s="60">
        <f t="shared" si="84"/>
        <v>222.93096220200374</v>
      </c>
    </row>
    <row r="274" spans="1:36" x14ac:dyDescent="0.3">
      <c r="A274" s="30">
        <v>2024</v>
      </c>
      <c r="B274" s="70" t="s">
        <v>3141</v>
      </c>
      <c r="C274" s="30" t="s">
        <v>22</v>
      </c>
      <c r="D274" s="30" t="s">
        <v>31</v>
      </c>
      <c r="E274" s="30">
        <v>0.04</v>
      </c>
      <c r="F274" s="28" t="s">
        <v>3167</v>
      </c>
      <c r="G274" s="28" t="s">
        <v>3168</v>
      </c>
      <c r="H274" s="28" t="s">
        <v>3169</v>
      </c>
      <c r="I274" s="28" t="s">
        <v>3281</v>
      </c>
      <c r="J274" s="149" t="str">
        <f t="shared" si="80"/>
        <v>https://doi.org/10.1109/VLSITechnologyandCir46783.2024.10631390</v>
      </c>
      <c r="K274" s="28" t="s">
        <v>1050</v>
      </c>
      <c r="L274" s="38">
        <v>1.1000000000000001</v>
      </c>
      <c r="N274" s="30"/>
      <c r="P274" s="30">
        <v>5.8999999999999997E-2</v>
      </c>
      <c r="R274" s="63">
        <v>625000</v>
      </c>
      <c r="S274" s="30">
        <v>81.8</v>
      </c>
      <c r="W274" s="30">
        <v>101.1</v>
      </c>
      <c r="X274" s="29">
        <f t="shared" si="71"/>
        <v>81.8</v>
      </c>
      <c r="Y274" s="63">
        <v>9.0000000000000006E-5</v>
      </c>
      <c r="Z274" s="80">
        <v>5000000</v>
      </c>
      <c r="AA274" s="64">
        <v>4</v>
      </c>
      <c r="AB274" s="63">
        <f>Z274/AA274</f>
        <v>1250000</v>
      </c>
      <c r="AD274" s="111">
        <f t="shared" si="82"/>
        <v>72.000000000000014</v>
      </c>
      <c r="AE274" s="29" t="str">
        <f t="shared" si="65"/>
        <v/>
      </c>
      <c r="AF274" s="29">
        <f t="shared" si="66"/>
        <v>7.1603406415065862</v>
      </c>
      <c r="AG274" s="29" t="str">
        <f t="shared" si="67"/>
        <v/>
      </c>
      <c r="AH274" s="29">
        <f t="shared" si="68"/>
        <v>180.21637507904751</v>
      </c>
      <c r="AI274" s="63">
        <f t="shared" si="83"/>
        <v>5.7282725132052687E-6</v>
      </c>
      <c r="AJ274" s="60">
        <f t="shared" si="84"/>
        <v>241.18547520912807</v>
      </c>
    </row>
    <row r="275" spans="1:36" x14ac:dyDescent="0.3">
      <c r="A275" s="30">
        <v>2024</v>
      </c>
      <c r="B275" s="70" t="s">
        <v>3142</v>
      </c>
      <c r="C275" s="30" t="s">
        <v>23</v>
      </c>
      <c r="D275" s="30" t="s">
        <v>1494</v>
      </c>
      <c r="E275" s="30">
        <v>3.7999999999999999E-2</v>
      </c>
      <c r="F275" s="28" t="s">
        <v>3170</v>
      </c>
      <c r="G275" s="28" t="s">
        <v>3173</v>
      </c>
      <c r="H275" s="28" t="s">
        <v>3174</v>
      </c>
      <c r="I275" s="28" t="s">
        <v>3282</v>
      </c>
      <c r="J275" s="149" t="str">
        <f t="shared" si="80"/>
        <v>https://doi.org/10.1109/VLSITechnologyandCir46783.2024.10631448</v>
      </c>
      <c r="K275" s="28" t="s">
        <v>3171</v>
      </c>
      <c r="L275" s="38">
        <v>1</v>
      </c>
      <c r="N275" s="30"/>
      <c r="O275" s="30">
        <v>2</v>
      </c>
      <c r="P275" s="30">
        <v>3.7999999999999999E-2</v>
      </c>
      <c r="R275" s="63">
        <v>234860000</v>
      </c>
      <c r="S275" s="30">
        <v>65.900000000000006</v>
      </c>
      <c r="T275" s="30">
        <v>67.099999999999994</v>
      </c>
      <c r="W275" s="30">
        <v>73</v>
      </c>
      <c r="X275" s="29">
        <f t="shared" si="71"/>
        <v>65.900000000000006</v>
      </c>
      <c r="Y275" s="63">
        <v>6.2899999999999996E-3</v>
      </c>
      <c r="Z275" s="80">
        <v>475000000</v>
      </c>
      <c r="AA275" s="30">
        <v>1</v>
      </c>
      <c r="AB275" s="63">
        <f>Z275/AA275</f>
        <v>475000000</v>
      </c>
      <c r="AD275" s="111">
        <f t="shared" si="82"/>
        <v>13.242105263157894</v>
      </c>
      <c r="AE275" s="29" t="str">
        <f t="shared" si="65"/>
        <v/>
      </c>
      <c r="AF275" s="29">
        <f t="shared" si="66"/>
        <v>8.2155652158983763</v>
      </c>
      <c r="AG275" s="29" t="str">
        <f t="shared" si="67"/>
        <v/>
      </c>
      <c r="AH275" s="29">
        <f t="shared" si="68"/>
        <v>171.67012968515616</v>
      </c>
      <c r="AI275" s="63">
        <f t="shared" si="83"/>
        <v>1.729592677031237E-8</v>
      </c>
      <c r="AJ275" s="60">
        <f t="shared" si="84"/>
        <v>258.43706578140484</v>
      </c>
    </row>
    <row r="276" spans="1:36" x14ac:dyDescent="0.3">
      <c r="A276" s="30">
        <v>2024</v>
      </c>
      <c r="B276" s="70" t="s">
        <v>3143</v>
      </c>
      <c r="C276" s="30" t="s">
        <v>23</v>
      </c>
      <c r="D276" s="30" t="s">
        <v>26</v>
      </c>
      <c r="E276" s="30">
        <v>1.6E-2</v>
      </c>
      <c r="F276" s="28" t="s">
        <v>3172</v>
      </c>
      <c r="G276" s="28" t="s">
        <v>3175</v>
      </c>
      <c r="H276" s="28" t="s">
        <v>3176</v>
      </c>
      <c r="I276" s="28" t="s">
        <v>3283</v>
      </c>
      <c r="J276" s="149" t="str">
        <f t="shared" si="80"/>
        <v>https://doi.org/10.1109/VLSITechnologyandCir46783.2024.10631330</v>
      </c>
      <c r="K276" s="28" t="s">
        <v>1050</v>
      </c>
      <c r="L276" s="38">
        <v>0.9</v>
      </c>
      <c r="N276" s="30"/>
      <c r="O276" s="30">
        <v>1</v>
      </c>
      <c r="P276" s="30">
        <v>3.9600000000000003E-2</v>
      </c>
      <c r="R276" s="63">
        <v>499000000</v>
      </c>
      <c r="S276" s="30">
        <v>67.45</v>
      </c>
      <c r="V276" s="30">
        <v>79.56</v>
      </c>
      <c r="W276" s="30">
        <v>81.34</v>
      </c>
      <c r="X276" s="29">
        <f t="shared" si="71"/>
        <v>67.45</v>
      </c>
      <c r="Y276" s="63">
        <v>1.78E-2</v>
      </c>
      <c r="Z276" s="80">
        <v>1000000000</v>
      </c>
      <c r="AA276" s="30">
        <v>1</v>
      </c>
      <c r="AB276" s="63">
        <f t="shared" ref="AB276:AB282" si="85">Z276/AA276</f>
        <v>1000000000</v>
      </c>
      <c r="AD276" s="111">
        <f t="shared" si="82"/>
        <v>17.8</v>
      </c>
      <c r="AE276" s="29" t="str">
        <f t="shared" si="65"/>
        <v/>
      </c>
      <c r="AF276" s="29">
        <f t="shared" si="66"/>
        <v>9.2383133931609809</v>
      </c>
      <c r="AG276" s="29" t="str">
        <f t="shared" si="67"/>
        <v/>
      </c>
      <c r="AH276" s="29">
        <f t="shared" si="68"/>
        <v>171.93550002027126</v>
      </c>
      <c r="AI276" s="63">
        <f t="shared" si="83"/>
        <v>9.2383133931609803E-9</v>
      </c>
      <c r="AJ276" s="60">
        <f t="shared" si="84"/>
        <v>261.93550002027126</v>
      </c>
    </row>
    <row r="277" spans="1:36" x14ac:dyDescent="0.3">
      <c r="A277" s="30">
        <v>2024</v>
      </c>
      <c r="B277" s="70" t="s">
        <v>3144</v>
      </c>
      <c r="C277" s="30" t="s">
        <v>23</v>
      </c>
      <c r="D277" s="30" t="s">
        <v>3179</v>
      </c>
      <c r="E277" s="30">
        <v>4.0000000000000001E-3</v>
      </c>
      <c r="F277" s="28" t="s">
        <v>3177</v>
      </c>
      <c r="G277" s="28" t="s">
        <v>3178</v>
      </c>
      <c r="H277" s="28" t="s">
        <v>3183</v>
      </c>
      <c r="I277" s="28" t="s">
        <v>3284</v>
      </c>
      <c r="J277" s="149" t="str">
        <f t="shared" si="80"/>
        <v>https://doi.org/10.1109/VLSITechnologyandCir46783.2024.10631373</v>
      </c>
      <c r="K277" s="28" t="s">
        <v>1050</v>
      </c>
      <c r="L277" s="38">
        <v>0.9</v>
      </c>
      <c r="M277" s="30">
        <v>0.75</v>
      </c>
      <c r="N277" s="30"/>
      <c r="O277" s="30">
        <v>0.36</v>
      </c>
      <c r="P277" s="30">
        <v>8.0000000000000002E-3</v>
      </c>
      <c r="Q277" s="30">
        <v>45.29</v>
      </c>
      <c r="R277" s="63">
        <v>7620000000</v>
      </c>
      <c r="S277" s="30">
        <v>44.48</v>
      </c>
      <c r="W277" s="30">
        <v>55.93</v>
      </c>
      <c r="X277" s="29">
        <f t="shared" si="71"/>
        <v>44.48</v>
      </c>
      <c r="Y277" s="63">
        <v>9.4200000000000006E-2</v>
      </c>
      <c r="Z277" s="80">
        <v>16000000000</v>
      </c>
      <c r="AA277" s="30">
        <v>1</v>
      </c>
      <c r="AB277" s="63">
        <f t="shared" si="85"/>
        <v>16000000000</v>
      </c>
      <c r="AD277" s="111">
        <f t="shared" si="82"/>
        <v>5.8875000000000002</v>
      </c>
      <c r="AE277" s="29">
        <f t="shared" si="65"/>
        <v>39.193497892409702</v>
      </c>
      <c r="AF277" s="29">
        <f t="shared" si="66"/>
        <v>43.024720779848941</v>
      </c>
      <c r="AG277" s="29">
        <f t="shared" si="67"/>
        <v>154.58039084199066</v>
      </c>
      <c r="AH277" s="29">
        <f t="shared" si="68"/>
        <v>153.77039084199066</v>
      </c>
      <c r="AI277" s="63">
        <f t="shared" si="83"/>
        <v>2.6890450487405588E-9</v>
      </c>
      <c r="AJ277" s="60">
        <f t="shared" si="84"/>
        <v>255.81159066854991</v>
      </c>
    </row>
    <row r="278" spans="1:36" x14ac:dyDescent="0.3">
      <c r="A278" s="30">
        <v>2024</v>
      </c>
      <c r="B278" s="70" t="s">
        <v>3161</v>
      </c>
      <c r="C278" s="30" t="s">
        <v>23</v>
      </c>
      <c r="D278" s="30" t="s">
        <v>592</v>
      </c>
      <c r="E278" s="30">
        <v>5.0000000000000001E-3</v>
      </c>
      <c r="F278" s="28" t="s">
        <v>3180</v>
      </c>
      <c r="G278" s="28" t="s">
        <v>3181</v>
      </c>
      <c r="H278" s="28" t="s">
        <v>3182</v>
      </c>
      <c r="I278" s="28" t="s">
        <v>3285</v>
      </c>
      <c r="J278" s="149" t="str">
        <f t="shared" si="80"/>
        <v>https://doi.org/10.1109/VLSITechnologyandCir46783.2024.10631522</v>
      </c>
      <c r="K278" s="28" t="s">
        <v>3184</v>
      </c>
      <c r="L278" s="38">
        <v>0.9</v>
      </c>
      <c r="N278" s="30"/>
      <c r="P278" s="30">
        <v>6.8000000000000005E-2</v>
      </c>
      <c r="Q278" s="30">
        <v>35.5</v>
      </c>
      <c r="R278" s="63">
        <v>32000000000</v>
      </c>
      <c r="S278" s="30">
        <v>34.299999999999997</v>
      </c>
      <c r="T278" s="30">
        <v>36.5</v>
      </c>
      <c r="V278" s="30">
        <v>42</v>
      </c>
      <c r="X278" s="29">
        <f t="shared" si="71"/>
        <v>34.299999999999997</v>
      </c>
      <c r="Y278" s="63">
        <v>0.10929999999999999</v>
      </c>
      <c r="Z278" s="80">
        <v>60000000000</v>
      </c>
      <c r="AA278" s="30">
        <v>1</v>
      </c>
      <c r="AB278" s="63">
        <f t="shared" si="85"/>
        <v>60000000000</v>
      </c>
      <c r="AD278" s="111">
        <f t="shared" ref="AD278:AD280" si="86">Y278/AB278*1000000000000</f>
        <v>1.8216666666666665</v>
      </c>
      <c r="AE278" s="29">
        <f t="shared" si="65"/>
        <v>37.436979044207497</v>
      </c>
      <c r="AF278" s="29">
        <f t="shared" si="66"/>
        <v>42.983994850815236</v>
      </c>
      <c r="AG278" s="29">
        <f t="shared" si="67"/>
        <v>149.8850109276996</v>
      </c>
      <c r="AH278" s="29">
        <f t="shared" si="68"/>
        <v>148.68501092769958</v>
      </c>
      <c r="AI278" s="63">
        <f t="shared" ref="AI278:AI280" si="87">AF278/AB278</f>
        <v>7.1639991418025394E-10</v>
      </c>
      <c r="AJ278" s="60">
        <f t="shared" ref="AJ278:AJ280" si="88">AH278+10*LOG10(AB278)</f>
        <v>256.46652343153602</v>
      </c>
    </row>
    <row r="279" spans="1:36" x14ac:dyDescent="0.3">
      <c r="A279" s="30">
        <v>2024</v>
      </c>
      <c r="B279" s="70" t="s">
        <v>3162</v>
      </c>
      <c r="C279" s="30" t="s">
        <v>23</v>
      </c>
      <c r="D279" s="30" t="s">
        <v>592</v>
      </c>
      <c r="E279" s="30">
        <v>5.0000000000000001E-3</v>
      </c>
      <c r="F279" s="28" t="s">
        <v>3185</v>
      </c>
      <c r="G279" s="28" t="s">
        <v>3187</v>
      </c>
      <c r="H279" s="28" t="s">
        <v>3186</v>
      </c>
      <c r="I279" s="28" t="s">
        <v>3286</v>
      </c>
      <c r="J279" s="149" t="str">
        <f t="shared" si="80"/>
        <v>https://doi.org/10.1109/VLSITechnologyandCir46783.2024.10631314</v>
      </c>
      <c r="K279" s="28" t="s">
        <v>1050</v>
      </c>
      <c r="L279" s="38">
        <v>1.2</v>
      </c>
      <c r="M279" s="30">
        <v>0.9</v>
      </c>
      <c r="N279" s="30">
        <v>0.75</v>
      </c>
      <c r="P279" s="30">
        <v>0.71</v>
      </c>
      <c r="Q279" s="30">
        <v>51</v>
      </c>
      <c r="R279" s="63">
        <v>5000000000</v>
      </c>
      <c r="S279" s="30">
        <v>50.2</v>
      </c>
      <c r="W279" s="30">
        <v>61.2</v>
      </c>
      <c r="X279" s="29">
        <f t="shared" si="71"/>
        <v>50.2</v>
      </c>
      <c r="Y279" s="63">
        <v>0.38600000000000001</v>
      </c>
      <c r="Z279" s="80">
        <v>10000000000</v>
      </c>
      <c r="AA279" s="30">
        <v>1</v>
      </c>
      <c r="AB279" s="63">
        <f t="shared" si="85"/>
        <v>10000000000</v>
      </c>
      <c r="AD279" s="111">
        <f t="shared" si="86"/>
        <v>38.6</v>
      </c>
      <c r="AE279" s="29">
        <f t="shared" si="65"/>
        <v>133.15024137883054</v>
      </c>
      <c r="AF279" s="29">
        <f t="shared" si="66"/>
        <v>145.99767650412375</v>
      </c>
      <c r="AG279" s="29">
        <f t="shared" si="67"/>
        <v>152.12382699664266</v>
      </c>
      <c r="AH279" s="29">
        <f t="shared" si="68"/>
        <v>151.32382699664265</v>
      </c>
      <c r="AI279" s="63">
        <f t="shared" si="87"/>
        <v>1.4599767650412374E-8</v>
      </c>
      <c r="AJ279" s="60">
        <f t="shared" si="88"/>
        <v>251.32382699664265</v>
      </c>
    </row>
    <row r="280" spans="1:36" x14ac:dyDescent="0.3">
      <c r="A280" s="30">
        <v>2024</v>
      </c>
      <c r="B280" s="70" t="s">
        <v>3163</v>
      </c>
      <c r="C280" s="30" t="s">
        <v>23</v>
      </c>
      <c r="D280" s="30" t="s">
        <v>26</v>
      </c>
      <c r="E280" s="30">
        <v>1.6E-2</v>
      </c>
      <c r="F280" s="28" t="s">
        <v>3188</v>
      </c>
      <c r="G280" s="28" t="s">
        <v>3189</v>
      </c>
      <c r="H280" s="28" t="s">
        <v>3190</v>
      </c>
      <c r="I280" s="28" t="s">
        <v>3287</v>
      </c>
      <c r="J280" s="149" t="str">
        <f t="shared" si="80"/>
        <v>https://doi.org/10.1109/VLSITechnologyandCir46783.2024.10631521</v>
      </c>
      <c r="K280" s="28" t="s">
        <v>1050</v>
      </c>
      <c r="L280" s="38">
        <v>1.6</v>
      </c>
      <c r="M280" s="30">
        <v>0.9</v>
      </c>
      <c r="N280" s="30"/>
      <c r="O280" s="30">
        <v>0.6</v>
      </c>
      <c r="P280" s="30">
        <v>1.1000000000000001</v>
      </c>
      <c r="Q280" s="30">
        <v>56</v>
      </c>
      <c r="R280" s="63">
        <v>5000000000</v>
      </c>
      <c r="S280" s="30">
        <v>51</v>
      </c>
      <c r="V280" s="30">
        <v>62.9</v>
      </c>
      <c r="W280" s="30">
        <v>60.5</v>
      </c>
      <c r="X280" s="29">
        <f t="shared" si="71"/>
        <v>51</v>
      </c>
      <c r="Y280" s="63">
        <v>0.35</v>
      </c>
      <c r="Z280" s="80">
        <v>10000000000</v>
      </c>
      <c r="AA280" s="30">
        <v>1</v>
      </c>
      <c r="AB280" s="63">
        <f t="shared" si="85"/>
        <v>10000000000</v>
      </c>
      <c r="AD280" s="111">
        <f t="shared" si="86"/>
        <v>34.999999999999993</v>
      </c>
      <c r="AE280" s="29">
        <f t="shared" si="65"/>
        <v>67.8887456391803</v>
      </c>
      <c r="AF280" s="29">
        <f t="shared" si="66"/>
        <v>120.73208415178932</v>
      </c>
      <c r="AG280" s="29">
        <f t="shared" si="67"/>
        <v>157.54901959985744</v>
      </c>
      <c r="AH280" s="29">
        <f t="shared" si="68"/>
        <v>152.54901959985744</v>
      </c>
      <c r="AI280" s="63">
        <f t="shared" si="87"/>
        <v>1.2073208415178932E-8</v>
      </c>
      <c r="AJ280" s="60">
        <f t="shared" si="88"/>
        <v>252.54901959985744</v>
      </c>
    </row>
    <row r="281" spans="1:36" x14ac:dyDescent="0.3">
      <c r="A281" s="31">
        <v>2025</v>
      </c>
      <c r="B281" s="70" t="s">
        <v>3288</v>
      </c>
      <c r="C281" s="30" t="s">
        <v>22</v>
      </c>
      <c r="D281" s="30" t="s">
        <v>1148</v>
      </c>
      <c r="E281" s="30">
        <v>2.8000000000000001E-2</v>
      </c>
      <c r="F281" s="28" t="s">
        <v>3332</v>
      </c>
      <c r="G281" s="28" t="s">
        <v>3291</v>
      </c>
      <c r="H281" s="28" t="s">
        <v>3292</v>
      </c>
      <c r="I281" s="69" t="s">
        <v>3333</v>
      </c>
      <c r="J281" s="149" t="str">
        <f>IF(I281&lt;&gt;"?", HYPERLINK(CONCATENATE("https://doi.org/",I281)), "")</f>
        <v>https://doi.org/10.23919/VLSITechnologyandCir65189.2025.11075147</v>
      </c>
      <c r="K281" s="28" t="s">
        <v>865</v>
      </c>
      <c r="L281" s="38">
        <v>1</v>
      </c>
      <c r="M281" s="30">
        <v>0.85</v>
      </c>
      <c r="O281" s="30">
        <v>0.32</v>
      </c>
      <c r="P281" s="30">
        <v>0.02</v>
      </c>
      <c r="R281" s="63">
        <v>350300000</v>
      </c>
      <c r="S281" s="30">
        <v>59.7</v>
      </c>
      <c r="U281" s="30">
        <v>61.4</v>
      </c>
      <c r="W281" s="30">
        <v>77.5</v>
      </c>
      <c r="X281" s="29">
        <f>+IF(ISNUMBER($S281),$S281,MIN($V281,$T281,$U281,$W281))</f>
        <v>59.7</v>
      </c>
      <c r="Y281" s="63">
        <v>3.3800000000000002E-3</v>
      </c>
      <c r="Z281" s="80">
        <v>1400000000</v>
      </c>
      <c r="AA281" s="30">
        <v>4</v>
      </c>
      <c r="AB281" s="63">
        <f>Z281/AA281</f>
        <v>350000000</v>
      </c>
      <c r="AC281" s="63">
        <v>350000000</v>
      </c>
      <c r="AD281" s="111">
        <f>Y281/AB281*1000000000000</f>
        <v>9.6571428571428566</v>
      </c>
      <c r="AE281" s="29" t="str">
        <f>IF(ISNUMBER($Q281),$AD281*1000/2^(($Q281-1.76)/6.02), "")</f>
        <v/>
      </c>
      <c r="AF281" s="29">
        <f>$AD281*1000/2^(($X281-1.76)/6.02)</f>
        <v>12.233760106886695</v>
      </c>
      <c r="AG281" s="29" t="str">
        <f>IF(ISNUMBER($Q281), $Q281+10*LOG10($AB281/2/$Y281), "")</f>
        <v/>
      </c>
      <c r="AH281" s="29">
        <f>$X281+10*LOG10($AB281/2/$Y281)</f>
        <v>166.84121348408638</v>
      </c>
      <c r="AI281" s="63">
        <f>AF281/AB281</f>
        <v>3.4953600305390557E-8</v>
      </c>
      <c r="AJ281" s="60">
        <f>AH281+10*LOG10(AB281)</f>
        <v>252.28189392758912</v>
      </c>
    </row>
    <row r="282" spans="1:36" x14ac:dyDescent="0.3">
      <c r="A282" s="30">
        <v>2025</v>
      </c>
      <c r="B282" s="70" t="s">
        <v>3289</v>
      </c>
      <c r="C282" s="30" t="s">
        <v>22</v>
      </c>
      <c r="D282" s="30" t="s">
        <v>30</v>
      </c>
      <c r="E282" s="30">
        <v>2.8000000000000001E-2</v>
      </c>
      <c r="F282" s="28" t="s">
        <v>3293</v>
      </c>
      <c r="G282" s="28" t="s">
        <v>3295</v>
      </c>
      <c r="H282" s="28" t="s">
        <v>3294</v>
      </c>
      <c r="I282" s="69" t="s">
        <v>3334</v>
      </c>
      <c r="J282" s="149" t="str">
        <f>IF(I282&lt;&gt;"?", HYPERLINK(CONCATENATE("https://doi.org/",I282)), "")</f>
        <v>https://doi.org/10.23919/VLSITechnologyandCir65189.2025.11074991</v>
      </c>
      <c r="K282" s="28" t="s">
        <v>1050</v>
      </c>
      <c r="L282" s="38">
        <v>1.2</v>
      </c>
      <c r="M282" s="30">
        <v>0.95</v>
      </c>
      <c r="P282" s="30">
        <v>0.1</v>
      </c>
      <c r="R282" s="63">
        <v>24000000</v>
      </c>
      <c r="S282" s="30">
        <v>74.5</v>
      </c>
      <c r="U282" s="30">
        <v>74.599999999999994</v>
      </c>
      <c r="V282" s="30">
        <v>100.1</v>
      </c>
      <c r="W282" s="30">
        <v>122</v>
      </c>
      <c r="X282" s="29">
        <f>+IF(ISNUMBER($S282),$S282,MIN($V282,$T282,$U282,$W282))</f>
        <v>74.5</v>
      </c>
      <c r="Y282" s="63">
        <v>4.9500000000000002E-2</v>
      </c>
      <c r="Z282" s="80">
        <v>4000000000</v>
      </c>
      <c r="AA282" s="64">
        <f>Z282/AB282</f>
        <v>20</v>
      </c>
      <c r="AB282" s="63">
        <v>200000000</v>
      </c>
      <c r="AD282" s="111">
        <f>Y282/AB282*1000000000000</f>
        <v>247.50000000000003</v>
      </c>
      <c r="AE282" s="29" t="str">
        <f>IF(ISNUMBER($Q282),$AD282*1000/2^(($Q282-1.76)/6.02), "")</f>
        <v/>
      </c>
      <c r="AF282" s="29">
        <f>$AD282*1000/2^(($X282-1.76)/6.02)</f>
        <v>57.044366826222898</v>
      </c>
      <c r="AG282" s="29" t="str">
        <f>IF(ISNUMBER($Q282), $Q282+10*LOG10($AB282/2/$Y282), "")</f>
        <v/>
      </c>
      <c r="AH282" s="29">
        <f>$X282+10*LOG10($AB282/2/$Y282)</f>
        <v>167.5539480106643</v>
      </c>
      <c r="AI282" s="63">
        <f>AF282/AB282</f>
        <v>2.852218341311145E-7</v>
      </c>
      <c r="AJ282" s="60">
        <f>AH282+10*LOG10(AB282)</f>
        <v>250.56424796730411</v>
      </c>
    </row>
    <row r="283" spans="1:36" x14ac:dyDescent="0.3">
      <c r="A283" s="30">
        <v>2025</v>
      </c>
      <c r="B283" s="70" t="s">
        <v>3290</v>
      </c>
      <c r="C283" s="30" t="s">
        <v>23</v>
      </c>
      <c r="D283" s="30" t="s">
        <v>31</v>
      </c>
      <c r="E283" s="30">
        <v>6.5000000000000002E-2</v>
      </c>
      <c r="F283" s="28" t="s">
        <v>3296</v>
      </c>
      <c r="G283" s="28" t="s">
        <v>3298</v>
      </c>
      <c r="H283" s="28" t="s">
        <v>3297</v>
      </c>
      <c r="I283" s="69" t="s">
        <v>3335</v>
      </c>
      <c r="J283" s="149" t="str">
        <f>IF(I283&lt;&gt;"?", HYPERLINK(CONCATENATE("https://doi.org/",I283)), "")</f>
        <v>https://doi.org/10.23919/VLSITechnologyandCir65189.2025.11075106</v>
      </c>
      <c r="K283" s="28" t="s">
        <v>3336</v>
      </c>
      <c r="L283" s="38">
        <v>1</v>
      </c>
      <c r="P283" s="30">
        <v>0.03</v>
      </c>
      <c r="R283" s="63">
        <v>49611000</v>
      </c>
      <c r="S283" s="30">
        <v>48.7</v>
      </c>
      <c r="U283" s="30">
        <v>76.5</v>
      </c>
      <c r="W283" s="30">
        <v>65.599999999999994</v>
      </c>
      <c r="X283" s="29">
        <f>+IF(ISNUMBER($S283),$S283,MIN($V283,$T283,$U283,$W283))</f>
        <v>48.7</v>
      </c>
      <c r="Y283" s="63">
        <v>5.9900000000000003E-4</v>
      </c>
      <c r="Z283" s="80">
        <v>100000000</v>
      </c>
      <c r="AA283" s="30">
        <v>1</v>
      </c>
      <c r="AB283" s="63">
        <f>Z283/AA283</f>
        <v>100000000</v>
      </c>
      <c r="AD283" s="111">
        <f>Y283/AB283*1000000000000</f>
        <v>5.99</v>
      </c>
      <c r="AE283" s="29" t="str">
        <f>IF(ISNUMBER($Q283),$AD283*1000/2^(($Q283-1.76)/6.02), "")</f>
        <v/>
      </c>
      <c r="AF283" s="29">
        <f>$AD283*1000/2^(($X283-1.76)/6.02)</f>
        <v>26.927307876791666</v>
      </c>
      <c r="AG283" s="29" t="str">
        <f>IF(ISNUMBER($Q283), $Q283+10*LOG10($AB283/2/$Y283), "")</f>
        <v/>
      </c>
      <c r="AH283" s="29">
        <f>$X283+10*LOG10($AB283/2/$Y283)</f>
        <v>157.91543181946707</v>
      </c>
      <c r="AI283" s="63">
        <f>AF283/AB283</f>
        <v>2.6927307876791665E-7</v>
      </c>
      <c r="AJ283" s="60">
        <f>AH283+10*LOG10(AB283)</f>
        <v>237.91543181946707</v>
      </c>
    </row>
    <row r="284" spans="1:36" x14ac:dyDescent="0.3">
      <c r="A284" s="30">
        <v>2025</v>
      </c>
      <c r="B284" s="70" t="s">
        <v>3299</v>
      </c>
      <c r="C284" s="30" t="s">
        <v>23</v>
      </c>
      <c r="D284" s="30" t="s">
        <v>19</v>
      </c>
      <c r="E284" s="30">
        <v>2.8000000000000001E-2</v>
      </c>
      <c r="F284" s="28" t="s">
        <v>3303</v>
      </c>
      <c r="G284" s="28" t="s">
        <v>3304</v>
      </c>
      <c r="H284" s="28" t="s">
        <v>3305</v>
      </c>
      <c r="I284" s="69" t="s">
        <v>3337</v>
      </c>
      <c r="J284" s="149" t="str">
        <f>IF(I284&lt;&gt;"?", HYPERLINK(CONCATENATE("https://doi.org/",I284)), "")</f>
        <v>https://doi.org/10.23919/VLSITechnologyandCir65189.2025.11074782</v>
      </c>
      <c r="K284" s="28" t="s">
        <v>1050</v>
      </c>
      <c r="L284" s="38">
        <v>1</v>
      </c>
      <c r="P284" s="30">
        <f>0.26*0.3</f>
        <v>7.8E-2</v>
      </c>
      <c r="Q284" s="30">
        <v>72.14</v>
      </c>
      <c r="R284" s="30">
        <v>279.86399999999998</v>
      </c>
      <c r="S284" s="30">
        <v>72.14</v>
      </c>
      <c r="T284" s="30">
        <v>76.63</v>
      </c>
      <c r="W284" s="30">
        <v>88.22</v>
      </c>
      <c r="X284" s="29">
        <f>+IF(ISNUMBER($S284),$S284,MIN($V284,$T284,$U284,$W284))</f>
        <v>72.14</v>
      </c>
      <c r="Y284" s="63">
        <v>9.7599999999999996E-3</v>
      </c>
      <c r="Z284" s="80">
        <v>560000000</v>
      </c>
      <c r="AA284" s="30">
        <v>1</v>
      </c>
      <c r="AB284" s="63">
        <f>Z284/AA284</f>
        <v>560000000</v>
      </c>
      <c r="AD284" s="111">
        <f>Y284/AB284*1000000000000</f>
        <v>17.428571428571427</v>
      </c>
      <c r="AE284" s="29">
        <f>IF(ISNUMBER($Q284),$AD284*1000/2^(($Q284-1.76)/6.02), "")</f>
        <v>5.2712196130400031</v>
      </c>
      <c r="AF284" s="29">
        <f>$AD284*1000/2^(($X284-1.76)/6.02)</f>
        <v>5.2712196130400031</v>
      </c>
      <c r="AG284" s="29">
        <f>IF(ISNUMBER($Q284), $Q284+10*LOG10($AB284/2/$Y284), "")</f>
        <v>176.71708213675527</v>
      </c>
      <c r="AH284" s="29">
        <f>$X284+10*LOG10($AB284/2/$Y284)</f>
        <v>176.71708213675527</v>
      </c>
      <c r="AI284" s="63">
        <f>AF284/AB284</f>
        <v>9.4128921661428623E-9</v>
      </c>
      <c r="AJ284" s="60">
        <f>AH284+10*LOG10(AB284)</f>
        <v>264.19896240681726</v>
      </c>
    </row>
    <row r="285" spans="1:36" x14ac:dyDescent="0.3">
      <c r="A285" s="30">
        <v>2025</v>
      </c>
      <c r="B285" s="70" t="s">
        <v>3300</v>
      </c>
      <c r="C285" s="30" t="s">
        <v>23</v>
      </c>
      <c r="D285" s="30" t="s">
        <v>2218</v>
      </c>
      <c r="E285" s="30">
        <v>1.6E-2</v>
      </c>
      <c r="F285" s="28" t="s">
        <v>3306</v>
      </c>
      <c r="G285" s="28" t="s">
        <v>3308</v>
      </c>
      <c r="H285" s="28" t="s">
        <v>3307</v>
      </c>
      <c r="I285" s="69" t="s">
        <v>3338</v>
      </c>
      <c r="J285" s="149" t="str">
        <f>IF(I285&lt;&gt;"?", HYPERLINK(CONCATENATE("https://doi.org/",I285)), "")</f>
        <v>https://doi.org/10.23919/VLSITechnologyandCir65189.2025.11075030</v>
      </c>
      <c r="K285" s="28" t="s">
        <v>1050</v>
      </c>
      <c r="L285" s="38"/>
      <c r="P285" s="30">
        <v>8.5000000000000006E-2</v>
      </c>
      <c r="Q285" s="30">
        <v>35.130000000000003</v>
      </c>
      <c r="R285" s="63">
        <v>22.792999999999999</v>
      </c>
      <c r="S285" s="30">
        <v>33.18</v>
      </c>
      <c r="W285" s="30">
        <v>40.07</v>
      </c>
      <c r="X285" s="29">
        <f>+IF(ISNUMBER($S285),$S285,MIN($V285,$T285,$U285,$W285))</f>
        <v>33.18</v>
      </c>
      <c r="Y285" s="63">
        <v>0.1336</v>
      </c>
      <c r="Z285" s="80">
        <v>46000000000</v>
      </c>
      <c r="AA285" s="30">
        <v>1</v>
      </c>
      <c r="AB285" s="63">
        <f>Z285/AA285</f>
        <v>46000000000</v>
      </c>
      <c r="AD285" s="111">
        <f>Y285/AB285*1000000000000</f>
        <v>2.9043478260869562</v>
      </c>
      <c r="AE285" s="29">
        <f>IF(ISNUMBER($Q285),$AD285*1000/2^(($Q285-1.76)/6.02), "")</f>
        <v>62.28484023819658</v>
      </c>
      <c r="AF285" s="29">
        <f>$AD285*1000/2^(($X285-1.76)/6.02)</f>
        <v>77.963633459977785</v>
      </c>
      <c r="AG285" s="29">
        <f>IF(ISNUMBER($Q285), $Q285+10*LOG10($AB285/2/$Y285), "")</f>
        <v>147.48921377878065</v>
      </c>
      <c r="AH285" s="29">
        <f>$X285+10*LOG10($AB285/2/$Y285)</f>
        <v>145.53921377878066</v>
      </c>
      <c r="AI285" s="63">
        <f>AF285/AB285</f>
        <v>1.6948615969560388E-9</v>
      </c>
      <c r="AJ285" s="60">
        <f>AH285+10*LOG10(AB285)</f>
        <v>252.16679209559641</v>
      </c>
    </row>
    <row r="286" spans="1:36" x14ac:dyDescent="0.3">
      <c r="A286" s="30">
        <v>2025</v>
      </c>
      <c r="B286" s="70" t="s">
        <v>3301</v>
      </c>
      <c r="C286" s="30" t="s">
        <v>23</v>
      </c>
      <c r="D286" s="30" t="s">
        <v>26</v>
      </c>
      <c r="E286" s="30">
        <v>2.8000000000000001E-2</v>
      </c>
      <c r="F286" s="28" t="s">
        <v>3309</v>
      </c>
      <c r="G286" s="28" t="s">
        <v>3311</v>
      </c>
      <c r="H286" s="28" t="s">
        <v>3310</v>
      </c>
      <c r="I286" s="69" t="s">
        <v>3339</v>
      </c>
      <c r="J286" s="149" t="str">
        <f>IF(I286&lt;&gt;"?", HYPERLINK(CONCATENATE("https://doi.org/",I286)), "")</f>
        <v>https://doi.org/10.23919/VLSITechnologyandCir65189.2025.11074891</v>
      </c>
      <c r="K286" s="28" t="s">
        <v>1050</v>
      </c>
      <c r="L286" s="38"/>
      <c r="O286" s="30">
        <v>0.8</v>
      </c>
      <c r="P286" s="30">
        <v>0.1368</v>
      </c>
      <c r="R286" s="63">
        <v>1.4990000000000001</v>
      </c>
      <c r="S286" s="30">
        <v>62.3</v>
      </c>
      <c r="W286" s="30">
        <v>81.099999999999994</v>
      </c>
      <c r="X286" s="29">
        <f>+IF(ISNUMBER($S286),$S286,MIN($V286,$T286,$U286,$W286))</f>
        <v>62.3</v>
      </c>
      <c r="Y286" s="63">
        <v>0.12540999999999999</v>
      </c>
      <c r="Z286" s="80">
        <v>3000000000</v>
      </c>
      <c r="AA286" s="30">
        <v>1</v>
      </c>
      <c r="AB286" s="63">
        <f>Z286/AA286</f>
        <v>3000000000</v>
      </c>
      <c r="AD286" s="111">
        <f>Y286/AB286*1000000000000</f>
        <v>41.803333333333335</v>
      </c>
      <c r="AE286" s="29" t="str">
        <f>IF(ISNUMBER($Q286),$AD286*1000/2^(($Q286-1.76)/6.02), "")</f>
        <v/>
      </c>
      <c r="AF286" s="29">
        <f>$AD286*1000/2^(($X286-1.76)/6.02)</f>
        <v>39.256290823496052</v>
      </c>
      <c r="AG286" s="29" t="str">
        <f>IF(ISNUMBER($Q286), $Q286+10*LOG10($AB286/2/$Y286), "")</f>
        <v/>
      </c>
      <c r="AH286" s="29">
        <f>$X286+10*LOG10($AB286/2/$Y286)</f>
        <v>163.07759091207996</v>
      </c>
      <c r="AI286" s="63">
        <f>AF286/AB286</f>
        <v>1.3085430274498684E-8</v>
      </c>
      <c r="AJ286" s="60">
        <f>AH286+10*LOG10(AB286)</f>
        <v>257.84880345927661</v>
      </c>
    </row>
    <row r="287" spans="1:36" x14ac:dyDescent="0.3">
      <c r="A287" s="30">
        <v>2025</v>
      </c>
      <c r="B287" s="70" t="s">
        <v>3302</v>
      </c>
      <c r="C287" s="30" t="s">
        <v>23</v>
      </c>
      <c r="D287" s="30" t="s">
        <v>2218</v>
      </c>
      <c r="E287" s="30">
        <v>2.8000000000000001E-2</v>
      </c>
      <c r="F287" s="28" t="s">
        <v>3312</v>
      </c>
      <c r="G287" s="28" t="s">
        <v>3313</v>
      </c>
      <c r="H287" s="28" t="s">
        <v>3314</v>
      </c>
      <c r="I287" s="69" t="s">
        <v>3340</v>
      </c>
      <c r="J287" s="149" t="str">
        <f>IF(I287&lt;&gt;"?", HYPERLINK(CONCATENATE("https://doi.org/",I287)), "")</f>
        <v>https://doi.org/10.23919/VLSITechnologyandCir65189.2025.11074876</v>
      </c>
      <c r="K287" s="28" t="s">
        <v>1050</v>
      </c>
      <c r="L287" s="38">
        <v>0.9</v>
      </c>
      <c r="O287" s="30">
        <v>3.5000000000000003E-2</v>
      </c>
      <c r="P287" s="30">
        <v>1.3899999999999999E-2</v>
      </c>
      <c r="Q287" s="30">
        <v>36</v>
      </c>
      <c r="R287" s="63">
        <v>7962000000</v>
      </c>
      <c r="S287" s="30">
        <v>35.299999999999997</v>
      </c>
      <c r="W287" s="30">
        <v>51.2</v>
      </c>
      <c r="X287" s="29">
        <f>+IF(ISNUMBER($S287),$S287,MIN($V287,$T287,$U287,$W287))</f>
        <v>35.299999999999997</v>
      </c>
      <c r="Y287" s="63">
        <v>1.9599999999999999E-2</v>
      </c>
      <c r="Z287" s="80">
        <v>16000000000</v>
      </c>
      <c r="AA287" s="30">
        <v>1</v>
      </c>
      <c r="AB287" s="63">
        <f>Z287/AA287</f>
        <v>16000000000</v>
      </c>
      <c r="AD287" s="111">
        <f>Y287/AB287*1000000000000</f>
        <v>1.2249999999999999</v>
      </c>
      <c r="AE287" s="29">
        <f>IF(ISNUMBER($Q287),$AD287*1000/2^(($Q287-1.76)/6.02), "")</f>
        <v>23.766513820930161</v>
      </c>
      <c r="AF287" s="29">
        <f>$AD287*1000/2^(($X287-1.76)/6.02)</f>
        <v>25.761370874603678</v>
      </c>
      <c r="AG287" s="29">
        <f>IF(ISNUMBER($Q287), $Q287+10*LOG10($AB287/2/$Y287), "")</f>
        <v>152.10833915635467</v>
      </c>
      <c r="AH287" s="29">
        <f>$X287+10*LOG10($AB287/2/$Y287)</f>
        <v>151.40833915635466</v>
      </c>
      <c r="AI287" s="63">
        <f>AF287/AB287</f>
        <v>1.6100856796627299E-9</v>
      </c>
      <c r="AJ287" s="60">
        <f>AH287+10*LOG10(AB287)</f>
        <v>253.44953898291391</v>
      </c>
    </row>
    <row r="288" spans="1:36" x14ac:dyDescent="0.3">
      <c r="A288" s="30">
        <v>2025</v>
      </c>
      <c r="B288" s="70" t="s">
        <v>1816</v>
      </c>
      <c r="C288" s="30" t="s">
        <v>23</v>
      </c>
      <c r="D288" s="30" t="s">
        <v>31</v>
      </c>
      <c r="E288" s="30">
        <v>2.1999999999999999E-2</v>
      </c>
      <c r="F288" s="28" t="s">
        <v>3315</v>
      </c>
      <c r="G288" s="28" t="s">
        <v>3317</v>
      </c>
      <c r="H288" s="28" t="s">
        <v>3316</v>
      </c>
      <c r="I288" s="69" t="s">
        <v>3341</v>
      </c>
      <c r="J288" s="149" t="str">
        <f>IF(I288&lt;&gt;"?", HYPERLINK(CONCATENATE("https://doi.org/",I288)), "")</f>
        <v>https://doi.org/10.23919/VLSITechnologyandCir65189.2025.11074903</v>
      </c>
      <c r="K288" s="28" t="s">
        <v>3342</v>
      </c>
      <c r="L288" s="38">
        <v>0.5</v>
      </c>
      <c r="O288" s="30">
        <v>1.2</v>
      </c>
      <c r="P288" s="30">
        <v>1.4E-2</v>
      </c>
      <c r="R288" s="63">
        <v>4960000</v>
      </c>
      <c r="S288" s="30">
        <v>58.8</v>
      </c>
      <c r="W288" s="30">
        <v>65.459999999999994</v>
      </c>
      <c r="X288" s="29">
        <f>+IF(ISNUMBER($S288),$S288,MIN($V288,$T288,$U288,$W288))</f>
        <v>58.8</v>
      </c>
      <c r="Y288" s="63">
        <v>1.4600000000000001E-5</v>
      </c>
      <c r="Z288" s="80">
        <v>10000000</v>
      </c>
      <c r="AA288" s="30">
        <v>1</v>
      </c>
      <c r="AB288" s="63">
        <f>Z288/AA288</f>
        <v>10000000</v>
      </c>
      <c r="AD288" s="111">
        <f>Y288/AB288*1000000000000</f>
        <v>1.46</v>
      </c>
      <c r="AE288" s="29" t="str">
        <f>IF(ISNUMBER($Q288),$AD288*1000/2^(($Q288-1.76)/6.02), "")</f>
        <v/>
      </c>
      <c r="AF288" s="29">
        <f>$AD288*1000/2^(($X288-1.76)/6.02)</f>
        <v>2.0514864101560346</v>
      </c>
      <c r="AG288" s="29" t="str">
        <f>IF(ISNUMBER($Q288), $Q288+10*LOG10($AB288/2/$Y288), "")</f>
        <v/>
      </c>
      <c r="AH288" s="29">
        <f>$X288+10*LOG10($AB288/2/$Y288)</f>
        <v>174.14617148551582</v>
      </c>
      <c r="AI288" s="63">
        <f>AF288/AB288</f>
        <v>2.0514864101560346E-7</v>
      </c>
      <c r="AJ288" s="60">
        <f>AH288+10*LOG10(AB288)</f>
        <v>244.14617148551582</v>
      </c>
    </row>
    <row r="289" spans="1:36" x14ac:dyDescent="0.3">
      <c r="A289" s="30">
        <v>2025</v>
      </c>
      <c r="B289" s="70" t="s">
        <v>3348</v>
      </c>
      <c r="C289" s="30" t="s">
        <v>22</v>
      </c>
      <c r="D289" s="30" t="s">
        <v>30</v>
      </c>
      <c r="E289" s="30">
        <v>6.5000000000000002E-2</v>
      </c>
      <c r="F289" s="28" t="s">
        <v>3349</v>
      </c>
      <c r="G289" s="28" t="s">
        <v>3350</v>
      </c>
      <c r="H289" s="69" t="s">
        <v>3351</v>
      </c>
      <c r="I289" s="28" t="s">
        <v>3352</v>
      </c>
      <c r="J289" s="149" t="str">
        <f>IF(I289&lt;&gt;"?", HYPERLINK(CONCATENATE("https://doi.org/",I289)), "")</f>
        <v>https://doi.org/10.23919/VLSITechnologyandCir65189.2025.11075123</v>
      </c>
      <c r="K289" s="28" t="s">
        <v>1050</v>
      </c>
      <c r="L289" s="38">
        <v>1.2</v>
      </c>
      <c r="P289" s="30">
        <v>0.1</v>
      </c>
      <c r="R289" s="63">
        <v>1000</v>
      </c>
      <c r="S289" s="30">
        <v>86.7</v>
      </c>
      <c r="U289" s="30">
        <v>87.5</v>
      </c>
      <c r="W289" s="30">
        <v>97.9</v>
      </c>
      <c r="X289" s="29">
        <f>+IF(ISNUMBER($S289),$S289,MIN($V289,$T289,$U289,$W289))</f>
        <v>86.7</v>
      </c>
      <c r="Y289" s="63">
        <v>1.1800000000000001E-5</v>
      </c>
      <c r="Z289" s="80">
        <v>2560000</v>
      </c>
      <c r="AA289" s="30">
        <v>128</v>
      </c>
      <c r="AB289" s="63">
        <f>Z289/AA289</f>
        <v>20000</v>
      </c>
      <c r="AD289" s="111">
        <f>Y289/AB289*1000000000000</f>
        <v>590</v>
      </c>
      <c r="AE289" s="29" t="str">
        <f>IF(ISNUMBER($Q289),$AD289*1000/2^(($Q289-1.76)/6.02), "")</f>
        <v/>
      </c>
      <c r="AF289" s="29">
        <f>$AD289*1000/2^(($X289-1.76)/6.02)</f>
        <v>33.375577094167795</v>
      </c>
      <c r="AG289" s="29" t="str">
        <f>IF(ISNUMBER($Q289), $Q289+10*LOG10($AB289/2/$Y289), "")</f>
        <v/>
      </c>
      <c r="AH289" s="29">
        <f>$X289+10*LOG10($AB289/2/$Y289)</f>
        <v>175.98117992693875</v>
      </c>
      <c r="AI289" s="63">
        <f>AF289/AB289</f>
        <v>1.6687788547083897E-3</v>
      </c>
      <c r="AJ289" s="60">
        <f>AH289+10*LOG10(AB289)</f>
        <v>218.99147988357856</v>
      </c>
    </row>
    <row r="290" spans="1:36" x14ac:dyDescent="0.3">
      <c r="A290" s="30">
        <v>2025</v>
      </c>
      <c r="B290" s="70" t="s">
        <v>3318</v>
      </c>
      <c r="C290" s="30" t="s">
        <v>23</v>
      </c>
      <c r="D290" s="30" t="s">
        <v>745</v>
      </c>
      <c r="E290" s="30">
        <v>0.18</v>
      </c>
      <c r="F290" s="28" t="s">
        <v>3322</v>
      </c>
      <c r="G290" s="28" t="s">
        <v>3323</v>
      </c>
      <c r="H290" s="28" t="s">
        <v>3324</v>
      </c>
      <c r="I290" s="69" t="s">
        <v>3343</v>
      </c>
      <c r="J290" s="149" t="str">
        <f>IF(I290&lt;&gt;"?", HYPERLINK(CONCATENATE("https://doi.org/",I290)), "")</f>
        <v>https://doi.org/10.23919/VLSITechnologyandCir65189.2025.11075015</v>
      </c>
      <c r="K290" s="28" t="s">
        <v>1050</v>
      </c>
      <c r="L290" s="38">
        <v>1.8</v>
      </c>
      <c r="M290" s="30">
        <v>1.2</v>
      </c>
      <c r="P290" s="30">
        <v>0.23699999999999999</v>
      </c>
      <c r="Q290" s="30">
        <v>89.2</v>
      </c>
      <c r="R290" s="63">
        <v>1000000</v>
      </c>
      <c r="S290" s="30">
        <v>88.8</v>
      </c>
      <c r="U290" s="30">
        <v>89.6</v>
      </c>
      <c r="W290" s="30">
        <v>100.5</v>
      </c>
      <c r="X290" s="29">
        <f>+IF(ISNUMBER($S290),$S290,MIN($V290,$T290,$U290,$W290))</f>
        <v>88.8</v>
      </c>
      <c r="Y290" s="63">
        <v>1.15E-3</v>
      </c>
      <c r="Z290" s="80">
        <v>6000000</v>
      </c>
      <c r="AA290" s="30">
        <v>1</v>
      </c>
      <c r="AB290" s="63">
        <f>Z290/AA290</f>
        <v>6000000</v>
      </c>
      <c r="AD290" s="111">
        <f>Y290/AB290*1000000000000</f>
        <v>191.66666666666666</v>
      </c>
      <c r="AE290" s="29">
        <f>IF(ISNUMBER($Q290),$AD290*1000/2^(($Q290-1.76)/6.02), "")</f>
        <v>8.1303811456290216</v>
      </c>
      <c r="AF290" s="29">
        <f>$AD290*1000/2^(($X290-1.76)/6.02)</f>
        <v>8.5135932746770457</v>
      </c>
      <c r="AG290" s="29">
        <f>IF(ISNUMBER($Q290), $Q290+10*LOG10($AB290/2/$Y290), "")</f>
        <v>183.3642341436605</v>
      </c>
      <c r="AH290" s="29">
        <f>$X290+10*LOG10($AB290/2/$Y290)</f>
        <v>182.96423414366052</v>
      </c>
      <c r="AI290" s="63">
        <f>AF290/AB290</f>
        <v>1.4189322124461742E-6</v>
      </c>
      <c r="AJ290" s="60">
        <f>AH290+10*LOG10(AB290)</f>
        <v>250.74574664749696</v>
      </c>
    </row>
    <row r="291" spans="1:36" x14ac:dyDescent="0.3">
      <c r="A291" s="30">
        <v>2025</v>
      </c>
      <c r="B291" s="70" t="s">
        <v>3319</v>
      </c>
      <c r="C291" s="30" t="s">
        <v>22</v>
      </c>
      <c r="D291" s="30" t="s">
        <v>30</v>
      </c>
      <c r="E291" s="30">
        <v>2.8000000000000001E-2</v>
      </c>
      <c r="F291" s="28" t="s">
        <v>3325</v>
      </c>
      <c r="G291" s="28" t="s">
        <v>3326</v>
      </c>
      <c r="H291" s="28" t="s">
        <v>3327</v>
      </c>
      <c r="I291" s="69" t="s">
        <v>3344</v>
      </c>
      <c r="J291" s="149" t="str">
        <f>IF(I291&lt;&gt;"?", HYPERLINK(CONCATENATE("https://doi.org/",I291)), "")</f>
        <v>https://doi.org/10.23919/VLSITechnologyandCir65189.2025.11075130</v>
      </c>
      <c r="K291" s="28" t="s">
        <v>1050</v>
      </c>
      <c r="L291" s="38">
        <v>1</v>
      </c>
      <c r="P291" s="30">
        <v>0.11</v>
      </c>
      <c r="R291" s="63">
        <v>80000</v>
      </c>
      <c r="S291" s="30">
        <v>91.2</v>
      </c>
      <c r="T291" s="30">
        <v>92.3</v>
      </c>
      <c r="U291" s="30">
        <v>92.7</v>
      </c>
      <c r="W291" s="30">
        <v>101.4</v>
      </c>
      <c r="X291" s="29">
        <f>+IF(ISNUMBER($S291),$S291,MIN($V291,$T291,$U291,$W291))</f>
        <v>91.2</v>
      </c>
      <c r="Y291" s="63">
        <v>3.9199999999999999E-4</v>
      </c>
      <c r="Z291" s="80">
        <v>80000000</v>
      </c>
      <c r="AA291" s="64">
        <f>Z291/AB291</f>
        <v>160</v>
      </c>
      <c r="AB291" s="63">
        <v>500000</v>
      </c>
      <c r="AD291" s="111">
        <f>Y291/AB291*1000000000000</f>
        <v>784</v>
      </c>
      <c r="AE291" s="29" t="str">
        <f>IF(ISNUMBER($Q291),$AD291*1000/2^(($Q291-1.76)/6.02), "")</f>
        <v/>
      </c>
      <c r="AF291" s="29">
        <f>$AD291*1000/2^(($X291-1.76)/6.02)</f>
        <v>26.416204184578518</v>
      </c>
      <c r="AG291" s="29" t="str">
        <f>IF(ISNUMBER($Q291), $Q291+10*LOG10($AB291/2/$Y291), "")</f>
        <v/>
      </c>
      <c r="AH291" s="29">
        <f>$X291+10*LOG10($AB291/2/$Y291)</f>
        <v>179.24653941651582</v>
      </c>
      <c r="AI291" s="63">
        <f>AF291/AB291</f>
        <v>5.2832408369157038E-5</v>
      </c>
      <c r="AJ291" s="60">
        <f>AH291+10*LOG10(AB291)</f>
        <v>236.236239459876</v>
      </c>
    </row>
    <row r="292" spans="1:36" x14ac:dyDescent="0.3">
      <c r="A292" s="30">
        <v>2025</v>
      </c>
      <c r="B292" s="70" t="s">
        <v>3320</v>
      </c>
      <c r="C292" s="30" t="s">
        <v>22</v>
      </c>
      <c r="D292" s="30" t="s">
        <v>31</v>
      </c>
      <c r="E292" s="30">
        <v>2.8000000000000001E-2</v>
      </c>
      <c r="F292" s="28" t="s">
        <v>3328</v>
      </c>
      <c r="G292" s="28" t="s">
        <v>3329</v>
      </c>
      <c r="I292" s="69" t="s">
        <v>3345</v>
      </c>
      <c r="J292" s="149" t="str">
        <f>IF(I292&lt;&gt;"?", HYPERLINK(CONCATENATE("https://doi.org/",I292)), "")</f>
        <v>https://doi.org/10.23919/VLSITechnologyandCir65189.2025.11075144</v>
      </c>
      <c r="K292" s="28" t="s">
        <v>1050</v>
      </c>
      <c r="L292" s="38">
        <v>1.2</v>
      </c>
      <c r="M292" s="30">
        <v>0.9</v>
      </c>
      <c r="O292" s="30">
        <v>0.3</v>
      </c>
      <c r="P292" s="30">
        <v>3.5000000000000001E-3</v>
      </c>
      <c r="Q292" s="30">
        <v>85.8</v>
      </c>
      <c r="R292" s="63">
        <v>40000000</v>
      </c>
      <c r="S292" s="30">
        <v>83.8</v>
      </c>
      <c r="T292" s="30">
        <v>84</v>
      </c>
      <c r="W292" s="30">
        <v>91.7</v>
      </c>
      <c r="X292" s="29">
        <f>+IF(ISNUMBER($S292),$S292,MIN($V292,$T292,$U292,$W292))</f>
        <v>83.8</v>
      </c>
      <c r="Y292" s="63">
        <v>9.0600000000000001E-4</v>
      </c>
      <c r="Z292" s="80">
        <v>40000000</v>
      </c>
      <c r="AA292" s="30">
        <v>16</v>
      </c>
      <c r="AB292" s="63">
        <f>Z292/AA292</f>
        <v>2500000</v>
      </c>
      <c r="AD292" s="111">
        <f>Y292/AB292*1000000000000</f>
        <v>362.40000000000003</v>
      </c>
      <c r="AE292" s="29">
        <f>IF(ISNUMBER($Q292),$AD292*1000/2^(($Q292-1.76)/6.02), "")</f>
        <v>22.738899675078795</v>
      </c>
      <c r="AF292" s="29">
        <f>$AD292*1000/2^(($X292-1.76)/6.02)</f>
        <v>28.627235511238709</v>
      </c>
      <c r="AG292" s="29">
        <f>IF(ISNUMBER($Q292), $Q292+10*LOG10($AB292/2/$Y292), "")</f>
        <v>177.19781815331243</v>
      </c>
      <c r="AH292" s="29">
        <f>$X292+10*LOG10($AB292/2/$Y292)</f>
        <v>175.19781815331243</v>
      </c>
      <c r="AI292" s="63">
        <f>AF292/AB292</f>
        <v>1.1450894204495484E-5</v>
      </c>
      <c r="AJ292" s="60">
        <f>AH292+10*LOG10(AB292)</f>
        <v>239.1772182400328</v>
      </c>
    </row>
    <row r="293" spans="1:36" x14ac:dyDescent="0.3">
      <c r="A293" s="30">
        <v>2025</v>
      </c>
      <c r="B293" s="70" t="s">
        <v>3321</v>
      </c>
      <c r="C293" s="30" t="s">
        <v>22</v>
      </c>
      <c r="D293" s="30" t="s">
        <v>1231</v>
      </c>
      <c r="E293" s="30">
        <v>2.8000000000000001E-2</v>
      </c>
      <c r="F293" s="28" t="s">
        <v>3330</v>
      </c>
      <c r="G293" s="28" t="s">
        <v>3331</v>
      </c>
      <c r="I293" s="69" t="s">
        <v>3346</v>
      </c>
      <c r="J293" s="149" t="str">
        <f>IF(I293&lt;&gt;"?", HYPERLINK(CONCATENATE("https://doi.org/",I293)), "")</f>
        <v>https://doi.org/10.23919/VLSITechnologyandCir65189.2025.11074988</v>
      </c>
      <c r="K293" s="28" t="s">
        <v>3347</v>
      </c>
      <c r="L293" s="38">
        <v>1.2</v>
      </c>
      <c r="M293" s="30">
        <v>1</v>
      </c>
      <c r="P293" s="30">
        <v>2.3E-2</v>
      </c>
      <c r="Q293" s="30">
        <v>94.4</v>
      </c>
      <c r="R293" s="63">
        <v>192000</v>
      </c>
      <c r="S293" s="30">
        <v>91.2</v>
      </c>
      <c r="U293" s="30">
        <v>95.5</v>
      </c>
      <c r="W293" s="30">
        <v>103.4</v>
      </c>
      <c r="X293" s="29">
        <f>+IF(ISNUMBER($S293),$S293,MIN($V293,$T293,$U293,$W293))</f>
        <v>91.2</v>
      </c>
      <c r="Y293" s="63">
        <v>7.9299999999999998E-4</v>
      </c>
      <c r="Z293" s="80">
        <v>80000000</v>
      </c>
      <c r="AA293" s="30">
        <v>80</v>
      </c>
      <c r="AB293" s="63">
        <v>1000000</v>
      </c>
      <c r="AD293" s="111">
        <f>Y293/AB293*1000000000000</f>
        <v>793</v>
      </c>
      <c r="AE293" s="29">
        <f>IF(ISNUMBER($Q293),$AD293*1000/2^(($Q293-1.76)/6.02), "")</f>
        <v>18.484665370675422</v>
      </c>
      <c r="AF293" s="29">
        <f>$AD293*1000/2^(($X293-1.76)/6.02)</f>
        <v>26.719451426493322</v>
      </c>
      <c r="AG293" s="29">
        <f>IF(ISNUMBER($Q293), $Q293+10*LOG10($AB293/2/$Y293), "")</f>
        <v>182.39696817018415</v>
      </c>
      <c r="AH293" s="29">
        <f>$X293+10*LOG10($AB293/2/$Y293)</f>
        <v>179.19696817018416</v>
      </c>
      <c r="AI293" s="63">
        <f>AF293/AB293</f>
        <v>2.6719451426493323E-5</v>
      </c>
      <c r="AJ293" s="60">
        <f>AH293+10*LOG10(AB293)</f>
        <v>239.19696817018416</v>
      </c>
    </row>
    <row r="294" spans="1:36" x14ac:dyDescent="0.3">
      <c r="A294" s="30">
        <v>2025</v>
      </c>
      <c r="B294" s="70" t="s">
        <v>3353</v>
      </c>
      <c r="C294" s="30" t="s">
        <v>22</v>
      </c>
      <c r="D294" s="30" t="s">
        <v>3355</v>
      </c>
      <c r="E294" s="30">
        <v>2.8000000000000001E-2</v>
      </c>
      <c r="F294" s="28" t="s">
        <v>3356</v>
      </c>
      <c r="G294" s="28" t="s">
        <v>3357</v>
      </c>
      <c r="H294" s="28" t="s">
        <v>3358</v>
      </c>
      <c r="I294" s="28" t="s">
        <v>3354</v>
      </c>
      <c r="J294" s="149" t="str">
        <f>IF(I294&lt;&gt;"?", HYPERLINK(CONCATENATE("https://doi.org/",I294)), "")</f>
        <v>https://doi.org/10.23919/VLSITechnologyandCir65189.2025.11075190</v>
      </c>
      <c r="K294" s="28" t="s">
        <v>1050</v>
      </c>
      <c r="L294" s="30">
        <v>1.05</v>
      </c>
      <c r="P294" s="30">
        <v>5.1999999999999998E-2</v>
      </c>
      <c r="R294" s="63">
        <v>1000000</v>
      </c>
      <c r="S294" s="30">
        <v>80.099999999999994</v>
      </c>
      <c r="T294" s="30">
        <v>80.400000000000006</v>
      </c>
      <c r="W294" s="30">
        <v>97.2</v>
      </c>
      <c r="X294" s="29">
        <f>+IF(ISNUMBER($S294),$S294,MIN($V294,$T294,$U294,$W294))</f>
        <v>80.099999999999994</v>
      </c>
      <c r="Y294" s="63">
        <v>1.8500000000000001E-3</v>
      </c>
      <c r="Z294" s="80">
        <v>80000000</v>
      </c>
      <c r="AA294" s="30">
        <v>8</v>
      </c>
      <c r="AB294" s="63">
        <v>10000000</v>
      </c>
      <c r="AD294" s="111">
        <f>Y294/AB294*1000000000000</f>
        <v>185</v>
      </c>
      <c r="AE294" s="29" t="str">
        <f>IF(ISNUMBER($Q294),$AD294*1000/2^(($Q294-1.76)/6.02), "")</f>
        <v/>
      </c>
      <c r="AF294" s="29">
        <f>$AD294*1000/2^(($X294-1.76)/6.02)</f>
        <v>22.375945014808828</v>
      </c>
      <c r="AG294" s="29" t="str">
        <f>IF(ISNUMBER($Q294), $Q294+10*LOG10($AB294/2/$Y294), "")</f>
        <v/>
      </c>
      <c r="AH294" s="29">
        <f>$X294+10*LOG10($AB294/2/$Y294)</f>
        <v>174.41798275933004</v>
      </c>
      <c r="AI294" s="63">
        <f>AF294/AB294</f>
        <v>2.2375945014808829E-6</v>
      </c>
      <c r="AJ294" s="60">
        <f>AH294+10*LOG10(AB294)</f>
        <v>244.41798275933004</v>
      </c>
    </row>
    <row r="296" spans="1:36" x14ac:dyDescent="0.3">
      <c r="A296" s="30"/>
      <c r="B296" s="70"/>
      <c r="X296" s="29"/>
      <c r="Z296" s="80"/>
      <c r="AA296" s="30"/>
      <c r="AE296" s="29"/>
      <c r="AF296" s="29"/>
      <c r="AG296" s="29"/>
      <c r="AH296" s="29"/>
      <c r="AI296" s="63"/>
      <c r="AJ296" s="60"/>
    </row>
    <row r="297" spans="1:36" x14ac:dyDescent="0.3">
      <c r="A297" s="30"/>
      <c r="B297" s="70"/>
      <c r="X297" s="29"/>
      <c r="Z297" s="80"/>
      <c r="AA297" s="30"/>
      <c r="AE297" s="29"/>
      <c r="AF297" s="29"/>
      <c r="AG297" s="29"/>
      <c r="AH297" s="29"/>
      <c r="AI297" s="63"/>
      <c r="AJ297" s="60"/>
    </row>
    <row r="298" spans="1:36" x14ac:dyDescent="0.3">
      <c r="A298" s="30"/>
      <c r="B298" s="70"/>
      <c r="X298" s="29"/>
      <c r="Z298" s="80"/>
      <c r="AA298" s="30"/>
      <c r="AE298" s="29"/>
      <c r="AF298" s="29"/>
      <c r="AG298" s="29"/>
      <c r="AH298" s="29"/>
      <c r="AI298" s="63"/>
      <c r="AJ298" s="60"/>
    </row>
    <row r="299" spans="1:36" x14ac:dyDescent="0.3">
      <c r="A299" s="30"/>
      <c r="B299" s="70"/>
      <c r="X299" s="29"/>
      <c r="Z299" s="80"/>
      <c r="AA299" s="30"/>
      <c r="AE299" s="29"/>
      <c r="AF299" s="29"/>
      <c r="AG299" s="29"/>
      <c r="AH299" s="29"/>
      <c r="AI299" s="63"/>
      <c r="AJ299" s="60"/>
    </row>
    <row r="300" spans="1:36" x14ac:dyDescent="0.3">
      <c r="X300" s="29"/>
      <c r="Z300" s="80"/>
      <c r="AA300" s="30"/>
      <c r="AE300" s="29"/>
      <c r="AF300" s="29"/>
      <c r="AG300" s="29"/>
      <c r="AH300" s="29"/>
      <c r="AI300" s="63"/>
      <c r="AJ300" s="60"/>
    </row>
    <row r="301" spans="1:36" x14ac:dyDescent="0.3">
      <c r="X301" s="29"/>
    </row>
    <row r="302" spans="1:36" x14ac:dyDescent="0.3">
      <c r="X302" s="29"/>
    </row>
  </sheetData>
  <phoneticPr fontId="5" type="noConversion"/>
  <conditionalFormatting sqref="AB296:AB494 AB2:AB294">
    <cfRule type="cellIs" dxfId="2" priority="4" stopIfTrue="1" operator="greaterThan">
      <formula>1000000000</formula>
    </cfRule>
  </conditionalFormatting>
  <conditionalFormatting sqref="AC2:AC243">
    <cfRule type="expression" dxfId="1" priority="13">
      <formula>AND(NOT(ISERROR(FIND("BP",#REF!))),AC2="")</formula>
    </cfRule>
  </conditionalFormatting>
  <conditionalFormatting sqref="AK34">
    <cfRule type="expression" dxfId="0" priority="2">
      <formula>AND(NOT(ISERROR(FIND("BP",D34))),AK34="")</formula>
    </cfRule>
  </conditionalFormatting>
  <hyperlinks>
    <hyperlink ref="J81" r:id="rId1" xr:uid="{00000000-0004-0000-0200-000000000000}"/>
    <hyperlink ref="J113" r:id="rId2" xr:uid="{00000000-0004-0000-0200-000001000000}"/>
    <hyperlink ref="J134" r:id="rId3" xr:uid="{00000000-0004-0000-0200-000002000000}"/>
    <hyperlink ref="J130" r:id="rId4" xr:uid="{00000000-0004-0000-0200-000003000000}"/>
    <hyperlink ref="J131" r:id="rId5" xr:uid="{00000000-0004-0000-0200-000004000000}"/>
    <hyperlink ref="J132" r:id="rId6" xr:uid="{00000000-0004-0000-0200-000005000000}"/>
    <hyperlink ref="J133" r:id="rId7" xr:uid="{00000000-0004-0000-0200-000006000000}"/>
    <hyperlink ref="J135" r:id="rId8" xr:uid="{00000000-0004-0000-0200-000007000000}"/>
    <hyperlink ref="J136" r:id="rId9" xr:uid="{00000000-0004-0000-0200-000008000000}"/>
    <hyperlink ref="J137" r:id="rId10" xr:uid="{00000000-0004-0000-0200-000009000000}"/>
    <hyperlink ref="J138" r:id="rId11" xr:uid="{00000000-0004-0000-0200-00000A000000}"/>
    <hyperlink ref="J140" r:id="rId12" xr:uid="{00000000-0004-0000-0200-00000B000000}"/>
    <hyperlink ref="J141" r:id="rId13" xr:uid="{00000000-0004-0000-0200-00000C000000}"/>
    <hyperlink ref="J143" r:id="rId14" xr:uid="{00000000-0004-0000-0200-00000D000000}"/>
    <hyperlink ref="J100" r:id="rId15" xr:uid="{00000000-0004-0000-0200-00000E000000}"/>
    <hyperlink ref="J101" r:id="rId16" xr:uid="{00000000-0004-0000-0200-00000F000000}"/>
    <hyperlink ref="J102" r:id="rId17" xr:uid="{00000000-0004-0000-0200-000010000000}"/>
    <hyperlink ref="J103" r:id="rId18" xr:uid="{00000000-0004-0000-0200-000011000000}"/>
    <hyperlink ref="J104" r:id="rId19" xr:uid="{00000000-0004-0000-0200-000012000000}"/>
    <hyperlink ref="J105" r:id="rId20" xr:uid="{00000000-0004-0000-0200-000013000000}"/>
    <hyperlink ref="J106" r:id="rId21" xr:uid="{00000000-0004-0000-0200-000014000000}"/>
    <hyperlink ref="J107" r:id="rId22" xr:uid="{00000000-0004-0000-0200-000015000000}"/>
    <hyperlink ref="J108" r:id="rId23" xr:uid="{00000000-0004-0000-0200-000016000000}"/>
    <hyperlink ref="J109" r:id="rId24" xr:uid="{00000000-0004-0000-0200-000017000000}"/>
    <hyperlink ref="J110" r:id="rId25" xr:uid="{00000000-0004-0000-0200-000018000000}"/>
    <hyperlink ref="J111" r:id="rId26" xr:uid="{00000000-0004-0000-0200-000019000000}"/>
    <hyperlink ref="J112" r:id="rId27" xr:uid="{00000000-0004-0000-0200-00001A000000}"/>
    <hyperlink ref="J114" r:id="rId28" xr:uid="{00000000-0004-0000-0200-00001B000000}"/>
    <hyperlink ref="J115" r:id="rId29" xr:uid="{00000000-0004-0000-0200-00001C000000}"/>
    <hyperlink ref="J116" r:id="rId30" xr:uid="{00000000-0004-0000-0200-00001D000000}"/>
    <hyperlink ref="J76" r:id="rId31" xr:uid="{00000000-0004-0000-0200-00001E000000}"/>
    <hyperlink ref="J77" r:id="rId32" xr:uid="{00000000-0004-0000-0200-00001F000000}"/>
    <hyperlink ref="J78" r:id="rId33" xr:uid="{00000000-0004-0000-0200-000020000000}"/>
    <hyperlink ref="J79" r:id="rId34" xr:uid="{00000000-0004-0000-0200-000021000000}"/>
    <hyperlink ref="J80" r:id="rId35" xr:uid="{00000000-0004-0000-0200-000022000000}"/>
    <hyperlink ref="J82" r:id="rId36" xr:uid="{00000000-0004-0000-0200-000023000000}"/>
    <hyperlink ref="J83" r:id="rId37" xr:uid="{00000000-0004-0000-0200-000024000000}"/>
    <hyperlink ref="J84" r:id="rId38" xr:uid="{00000000-0004-0000-0200-000025000000}"/>
    <hyperlink ref="J85" r:id="rId39" xr:uid="{00000000-0004-0000-0200-000026000000}"/>
    <hyperlink ref="J87" r:id="rId40" xr:uid="{00000000-0004-0000-0200-000027000000}"/>
  </hyperlinks>
  <pageMargins left="0.75" right="0.75" top="1" bottom="1" header="0.5" footer="0.5"/>
  <pageSetup orientation="portrait" r:id="rId41"/>
  <headerFooter alignWithMargins="0"/>
  <ignoredErrors>
    <ignoredError sqref="AA174"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5"/>
  <sheetViews>
    <sheetView topLeftCell="A17" workbookViewId="0">
      <selection activeCell="A47" sqref="A47"/>
    </sheetView>
  </sheetViews>
  <sheetFormatPr defaultRowHeight="12.5" x14ac:dyDescent="0.25"/>
  <cols>
    <col min="2" max="2" width="10" bestFit="1" customWidth="1"/>
    <col min="14" max="14" width="10.36328125" customWidth="1"/>
  </cols>
  <sheetData>
    <row r="1" spans="1:8" ht="13" x14ac:dyDescent="0.3">
      <c r="A1" s="14" t="s">
        <v>139</v>
      </c>
      <c r="B1" s="16">
        <v>9.9999999999999998E-13</v>
      </c>
      <c r="C1" s="16">
        <v>1E-13</v>
      </c>
    </row>
    <row r="2" spans="1:8" x14ac:dyDescent="0.25">
      <c r="C2" s="3"/>
      <c r="D2" t="s">
        <v>140</v>
      </c>
    </row>
    <row r="3" spans="1:8" x14ac:dyDescent="0.25">
      <c r="A3" s="3" t="s">
        <v>141</v>
      </c>
      <c r="B3" s="3" t="s">
        <v>152</v>
      </c>
      <c r="C3" s="3" t="s">
        <v>152</v>
      </c>
    </row>
    <row r="4" spans="1:8" x14ac:dyDescent="0.25">
      <c r="A4" s="5">
        <v>10000</v>
      </c>
      <c r="B4" s="4">
        <f t="shared" ref="B4:B11" si="0">-20*LOG(6.28*$B$1*$A4,10)</f>
        <v>144.04080712525607</v>
      </c>
      <c r="C4" s="4">
        <f t="shared" ref="C4:C11" si="1">-20*LOG(6.28*$C$1*$A4,10)</f>
        <v>164.04080712525604</v>
      </c>
    </row>
    <row r="5" spans="1:8" x14ac:dyDescent="0.25">
      <c r="A5" s="5">
        <v>100000</v>
      </c>
      <c r="B5" s="4">
        <f t="shared" si="0"/>
        <v>124.04080712525607</v>
      </c>
      <c r="C5" s="4">
        <f t="shared" si="1"/>
        <v>144.04080712525607</v>
      </c>
    </row>
    <row r="6" spans="1:8" x14ac:dyDescent="0.25">
      <c r="A6" s="5">
        <v>1000000</v>
      </c>
      <c r="B6" s="4">
        <f t="shared" si="0"/>
        <v>104.04080712525607</v>
      </c>
      <c r="C6" s="4">
        <f t="shared" si="1"/>
        <v>124.04080712525607</v>
      </c>
    </row>
    <row r="7" spans="1:8" x14ac:dyDescent="0.25">
      <c r="A7" s="5">
        <v>10000000</v>
      </c>
      <c r="B7" s="4">
        <f t="shared" si="0"/>
        <v>84.040807125256066</v>
      </c>
      <c r="C7" s="4">
        <f t="shared" si="1"/>
        <v>104.04080712525607</v>
      </c>
    </row>
    <row r="8" spans="1:8" x14ac:dyDescent="0.25">
      <c r="A8" s="5">
        <v>100000000</v>
      </c>
      <c r="B8" s="4">
        <f t="shared" si="0"/>
        <v>64.040807125256066</v>
      </c>
      <c r="C8" s="4">
        <f t="shared" si="1"/>
        <v>84.040807125256066</v>
      </c>
    </row>
    <row r="9" spans="1:8" x14ac:dyDescent="0.25">
      <c r="A9" s="5">
        <v>1000000000</v>
      </c>
      <c r="B9" s="4">
        <f t="shared" si="0"/>
        <v>44.04080712525608</v>
      </c>
      <c r="C9" s="4">
        <f t="shared" si="1"/>
        <v>64.040807125256066</v>
      </c>
    </row>
    <row r="10" spans="1:8" x14ac:dyDescent="0.25">
      <c r="A10" s="5">
        <v>10000000000</v>
      </c>
      <c r="B10" s="4">
        <f t="shared" si="0"/>
        <v>24.04080712525608</v>
      </c>
      <c r="C10" s="4">
        <f t="shared" si="1"/>
        <v>44.040807125256066</v>
      </c>
    </row>
    <row r="11" spans="1:8" x14ac:dyDescent="0.25">
      <c r="A11" s="5">
        <v>100000000000</v>
      </c>
      <c r="B11" s="4">
        <f t="shared" si="0"/>
        <v>4.0408071252560775</v>
      </c>
      <c r="C11" s="4">
        <f t="shared" si="1"/>
        <v>24.040807125256073</v>
      </c>
      <c r="D11" s="3"/>
      <c r="E11" s="3"/>
      <c r="F11" s="3"/>
    </row>
    <row r="12" spans="1:8" x14ac:dyDescent="0.25">
      <c r="A12" s="3"/>
      <c r="B12" s="3"/>
      <c r="C12" s="3"/>
      <c r="D12" s="3"/>
      <c r="E12" s="3"/>
      <c r="F12" s="3"/>
    </row>
    <row r="13" spans="1:8" x14ac:dyDescent="0.25">
      <c r="A13" s="3"/>
      <c r="B13" s="3"/>
      <c r="C13" s="3"/>
      <c r="D13" s="3"/>
      <c r="E13" s="3"/>
      <c r="F13" s="3"/>
    </row>
    <row r="14" spans="1:8" ht="13" x14ac:dyDescent="0.3">
      <c r="A14" s="2" t="s">
        <v>995</v>
      </c>
      <c r="B14" s="5">
        <v>1.0000000000000001E-15</v>
      </c>
      <c r="C14" s="5">
        <v>1E-13</v>
      </c>
      <c r="D14" s="32" t="s">
        <v>1100</v>
      </c>
      <c r="E14" s="3"/>
      <c r="F14" s="3"/>
      <c r="H14" s="17"/>
    </row>
    <row r="15" spans="1:8" x14ac:dyDescent="0.25">
      <c r="A15" s="3"/>
      <c r="B15" s="3"/>
      <c r="C15" s="3"/>
      <c r="D15" s="3"/>
      <c r="E15" s="3"/>
      <c r="F15" s="3"/>
    </row>
    <row r="16" spans="1:8" x14ac:dyDescent="0.25">
      <c r="A16" s="3" t="s">
        <v>391</v>
      </c>
      <c r="B16" s="8" t="s">
        <v>392</v>
      </c>
      <c r="C16" s="8" t="s">
        <v>392</v>
      </c>
      <c r="D16" s="3"/>
      <c r="E16" s="3"/>
      <c r="F16" s="3"/>
    </row>
    <row r="17" spans="1:6" x14ac:dyDescent="0.25">
      <c r="A17" s="3">
        <v>10</v>
      </c>
      <c r="B17" s="5">
        <f t="shared" ref="B17:C29" si="2">B$14*2^(($A17-1.76)/6.02)*1000000000000</f>
        <v>2.5825043230330211E-3</v>
      </c>
      <c r="C17" s="5">
        <f t="shared" si="2"/>
        <v>0.25825043230330208</v>
      </c>
      <c r="D17" s="3"/>
      <c r="E17" s="3"/>
      <c r="F17" s="3"/>
    </row>
    <row r="18" spans="1:6" x14ac:dyDescent="0.25">
      <c r="A18" s="3">
        <v>20</v>
      </c>
      <c r="B18" s="5">
        <f t="shared" si="2"/>
        <v>8.1675327367691317E-3</v>
      </c>
      <c r="C18" s="5">
        <f t="shared" si="2"/>
        <v>0.81675327367691331</v>
      </c>
      <c r="D18" s="3"/>
      <c r="E18" s="3"/>
      <c r="F18" s="3"/>
    </row>
    <row r="19" spans="1:6" x14ac:dyDescent="0.25">
      <c r="A19" s="3">
        <v>30</v>
      </c>
      <c r="B19" s="5">
        <f t="shared" si="2"/>
        <v>2.5830969734002087E-2</v>
      </c>
      <c r="C19" s="5">
        <f t="shared" si="2"/>
        <v>2.5830969734002087</v>
      </c>
      <c r="D19" s="3"/>
      <c r="E19" s="3"/>
      <c r="F19" s="3"/>
    </row>
    <row r="20" spans="1:6" x14ac:dyDescent="0.25">
      <c r="A20" s="3">
        <v>40</v>
      </c>
      <c r="B20" s="5">
        <f t="shared" si="2"/>
        <v>8.1694070768166191E-2</v>
      </c>
      <c r="C20" s="5">
        <f t="shared" si="2"/>
        <v>8.1694070768166185</v>
      </c>
      <c r="D20" s="3"/>
      <c r="E20" s="3"/>
      <c r="F20" s="3"/>
    </row>
    <row r="21" spans="1:6" x14ac:dyDescent="0.25">
      <c r="A21" s="3">
        <v>50</v>
      </c>
      <c r="B21" s="5">
        <f t="shared" si="2"/>
        <v>0.25836897597727682</v>
      </c>
      <c r="C21" s="5">
        <f t="shared" si="2"/>
        <v>25.836897597727678</v>
      </c>
      <c r="D21" s="3"/>
      <c r="E21" s="3"/>
      <c r="F21" s="3"/>
    </row>
    <row r="22" spans="1:6" x14ac:dyDescent="0.25">
      <c r="A22" s="3">
        <v>60</v>
      </c>
      <c r="B22" s="5">
        <f t="shared" si="2"/>
        <v>0.81712818470002024</v>
      </c>
      <c r="C22" s="5">
        <f t="shared" si="2"/>
        <v>81.71281847000202</v>
      </c>
      <c r="D22" s="3"/>
      <c r="E22" s="3"/>
      <c r="F22" s="3"/>
    </row>
    <row r="23" spans="1:6" x14ac:dyDescent="0.25">
      <c r="A23" s="3">
        <v>70</v>
      </c>
      <c r="B23" s="5">
        <f t="shared" si="2"/>
        <v>2.5842826821819056</v>
      </c>
      <c r="C23" s="5">
        <f t="shared" si="2"/>
        <v>258.42826821819057</v>
      </c>
      <c r="D23" s="3"/>
      <c r="E23" s="3"/>
      <c r="F23" s="3"/>
    </row>
    <row r="24" spans="1:6" x14ac:dyDescent="0.25">
      <c r="A24" s="3">
        <v>80</v>
      </c>
      <c r="B24" s="5">
        <f t="shared" si="2"/>
        <v>8.173157047418572</v>
      </c>
      <c r="C24" s="5">
        <f t="shared" si="2"/>
        <v>817.31570474185719</v>
      </c>
      <c r="D24" s="3"/>
      <c r="E24" s="3"/>
      <c r="F24" s="3"/>
    </row>
    <row r="25" spans="1:6" x14ac:dyDescent="0.25">
      <c r="A25" s="3">
        <v>90</v>
      </c>
      <c r="B25" s="5">
        <f t="shared" si="2"/>
        <v>25.848757406588479</v>
      </c>
      <c r="C25" s="5">
        <f t="shared" si="2"/>
        <v>2584.8757406588479</v>
      </c>
      <c r="D25" s="3"/>
      <c r="E25" s="3"/>
      <c r="F25" s="3"/>
    </row>
    <row r="26" spans="1:6" x14ac:dyDescent="0.25">
      <c r="A26" s="3">
        <v>100</v>
      </c>
      <c r="B26" s="5">
        <f t="shared" si="2"/>
        <v>81.750326781704786</v>
      </c>
      <c r="C26" s="5">
        <f t="shared" si="2"/>
        <v>8175.0326781704798</v>
      </c>
      <c r="D26" s="3"/>
      <c r="E26" s="3"/>
      <c r="F26" s="3"/>
    </row>
    <row r="27" spans="1:6" x14ac:dyDescent="0.25">
      <c r="A27" s="3">
        <v>110</v>
      </c>
      <c r="B27" s="5">
        <f t="shared" si="2"/>
        <v>258.54689352348174</v>
      </c>
      <c r="C27" s="5">
        <f t="shared" si="2"/>
        <v>25854.689352348174</v>
      </c>
      <c r="D27" s="3"/>
      <c r="E27" s="3"/>
      <c r="F27" s="3"/>
    </row>
    <row r="28" spans="1:6" x14ac:dyDescent="0.25">
      <c r="A28" s="3">
        <v>120</v>
      </c>
      <c r="B28" s="5">
        <f t="shared" si="2"/>
        <v>817.6908739354692</v>
      </c>
      <c r="C28" s="5">
        <f t="shared" si="2"/>
        <v>81769.087393546914</v>
      </c>
      <c r="D28" s="3"/>
      <c r="E28" s="3"/>
      <c r="F28" s="3"/>
    </row>
    <row r="29" spans="1:6" x14ac:dyDescent="0.25">
      <c r="A29" s="3">
        <v>130</v>
      </c>
      <c r="B29" s="5">
        <f t="shared" si="2"/>
        <v>2586.0622659410465</v>
      </c>
      <c r="C29" s="5">
        <f t="shared" si="2"/>
        <v>258606.22659410461</v>
      </c>
    </row>
    <row r="31" spans="1:6" ht="13" x14ac:dyDescent="0.3">
      <c r="A31" s="2" t="s">
        <v>996</v>
      </c>
      <c r="B31" s="4">
        <v>160</v>
      </c>
      <c r="C31" s="4">
        <v>185</v>
      </c>
      <c r="D31" s="32" t="s">
        <v>1099</v>
      </c>
    </row>
    <row r="32" spans="1:6" x14ac:dyDescent="0.25">
      <c r="A32" s="3"/>
      <c r="B32" s="3"/>
      <c r="C32" s="3"/>
      <c r="D32" s="3"/>
    </row>
    <row r="33" spans="1:4" x14ac:dyDescent="0.25">
      <c r="A33" s="3" t="s">
        <v>391</v>
      </c>
      <c r="B33" s="8" t="s">
        <v>392</v>
      </c>
      <c r="C33" s="8" t="s">
        <v>392</v>
      </c>
      <c r="D33" s="3"/>
    </row>
    <row r="34" spans="1:4" x14ac:dyDescent="0.25">
      <c r="A34" s="3">
        <v>10</v>
      </c>
      <c r="B34" s="33">
        <f>0.5*10^(-($B$31-A34)/10)*1000000000000</f>
        <v>5.0000000000000001E-4</v>
      </c>
      <c r="C34" s="33">
        <f>0.5*10^(-($C$31-A34)/10)*1000000000000</f>
        <v>1.5811388300841845E-6</v>
      </c>
      <c r="D34" s="3"/>
    </row>
    <row r="35" spans="1:4" x14ac:dyDescent="0.25">
      <c r="A35" s="3">
        <v>20</v>
      </c>
      <c r="B35" s="33">
        <f t="shared" ref="B35:B46" si="3">0.5*10^(-($B$31-A35)/10)*1000000000000</f>
        <v>5.0000000000000001E-3</v>
      </c>
      <c r="C35" s="33">
        <f t="shared" ref="C35:C46" si="4">0.5*10^(-($C$31-A35)/10)*1000000000000</f>
        <v>1.5811388300841806E-5</v>
      </c>
      <c r="D35" s="3"/>
    </row>
    <row r="36" spans="1:4" x14ac:dyDescent="0.25">
      <c r="A36" s="3">
        <v>30</v>
      </c>
      <c r="B36" s="33">
        <f t="shared" si="3"/>
        <v>0.05</v>
      </c>
      <c r="C36" s="33">
        <f t="shared" si="4"/>
        <v>1.5811388300841878E-4</v>
      </c>
      <c r="D36" s="3"/>
    </row>
    <row r="37" spans="1:4" x14ac:dyDescent="0.25">
      <c r="A37" s="3">
        <v>40</v>
      </c>
      <c r="B37" s="33">
        <f t="shared" si="3"/>
        <v>0.5</v>
      </c>
      <c r="C37" s="33">
        <f t="shared" si="4"/>
        <v>1.5811388300841841E-3</v>
      </c>
      <c r="D37" s="3"/>
    </row>
    <row r="38" spans="1:4" x14ac:dyDescent="0.25">
      <c r="A38" s="3">
        <v>50</v>
      </c>
      <c r="B38" s="33">
        <f t="shared" si="3"/>
        <v>5</v>
      </c>
      <c r="C38" s="33">
        <f t="shared" si="4"/>
        <v>1.5811388300841858E-2</v>
      </c>
      <c r="D38" s="3"/>
    </row>
    <row r="39" spans="1:4" x14ac:dyDescent="0.25">
      <c r="A39" s="3">
        <v>60</v>
      </c>
      <c r="B39" s="33">
        <f t="shared" si="3"/>
        <v>50</v>
      </c>
      <c r="C39" s="33">
        <f t="shared" si="4"/>
        <v>0.15811388300841872</v>
      </c>
      <c r="D39" s="3"/>
    </row>
    <row r="40" spans="1:4" x14ac:dyDescent="0.25">
      <c r="A40" s="3">
        <v>70</v>
      </c>
      <c r="B40" s="33">
        <f t="shared" si="3"/>
        <v>500.00000000000006</v>
      </c>
      <c r="C40" s="33">
        <f t="shared" si="4"/>
        <v>1.5811388300841835</v>
      </c>
      <c r="D40" s="3"/>
    </row>
    <row r="41" spans="1:4" x14ac:dyDescent="0.25">
      <c r="A41" s="3">
        <v>80</v>
      </c>
      <c r="B41" s="33">
        <f t="shared" si="3"/>
        <v>5000</v>
      </c>
      <c r="C41" s="33">
        <f t="shared" si="4"/>
        <v>15.811388300841855</v>
      </c>
      <c r="D41" s="3"/>
    </row>
    <row r="42" spans="1:4" x14ac:dyDescent="0.25">
      <c r="A42" s="3">
        <v>90</v>
      </c>
      <c r="B42" s="33">
        <f t="shared" si="3"/>
        <v>50000</v>
      </c>
      <c r="C42" s="33">
        <f t="shared" si="4"/>
        <v>158.11388300841872</v>
      </c>
      <c r="D42" s="3"/>
    </row>
    <row r="43" spans="1:4" x14ac:dyDescent="0.25">
      <c r="A43" s="3">
        <v>100</v>
      </c>
      <c r="B43" s="33">
        <f t="shared" si="3"/>
        <v>500000</v>
      </c>
      <c r="C43" s="33">
        <f t="shared" si="4"/>
        <v>1581.1388300841888</v>
      </c>
      <c r="D43" s="3"/>
    </row>
    <row r="44" spans="1:4" x14ac:dyDescent="0.25">
      <c r="A44" s="3">
        <v>110</v>
      </c>
      <c r="B44" s="33">
        <f t="shared" si="3"/>
        <v>5000000</v>
      </c>
      <c r="C44" s="33">
        <f t="shared" si="4"/>
        <v>15811.388300841849</v>
      </c>
      <c r="D44" s="3"/>
    </row>
    <row r="45" spans="1:4" x14ac:dyDescent="0.25">
      <c r="A45" s="3">
        <v>120</v>
      </c>
      <c r="B45" s="33">
        <f t="shared" si="3"/>
        <v>50000000</v>
      </c>
      <c r="C45" s="33">
        <f t="shared" si="4"/>
        <v>158113.88300841866</v>
      </c>
      <c r="D45" s="3"/>
    </row>
    <row r="46" spans="1:4" x14ac:dyDescent="0.25">
      <c r="A46" s="3">
        <v>130</v>
      </c>
      <c r="B46" s="33">
        <f t="shared" si="3"/>
        <v>500000000</v>
      </c>
      <c r="C46" s="33">
        <f t="shared" si="4"/>
        <v>1581138.8300841884</v>
      </c>
    </row>
    <row r="48" spans="1:4" ht="13" x14ac:dyDescent="0.3">
      <c r="A48" s="7" t="s">
        <v>1172</v>
      </c>
    </row>
    <row r="50" spans="1:14" ht="13" x14ac:dyDescent="0.3">
      <c r="B50" s="7" t="s">
        <v>1170</v>
      </c>
      <c r="E50" s="7" t="s">
        <v>1176</v>
      </c>
      <c r="I50" s="7" t="s">
        <v>1179</v>
      </c>
      <c r="L50" s="7" t="s">
        <v>1181</v>
      </c>
    </row>
    <row r="51" spans="1:14" x14ac:dyDescent="0.25">
      <c r="B51" s="17" t="s">
        <v>1173</v>
      </c>
      <c r="C51" s="17" t="s">
        <v>1174</v>
      </c>
      <c r="D51" s="17" t="s">
        <v>1175</v>
      </c>
      <c r="E51" s="17" t="s">
        <v>1173</v>
      </c>
      <c r="F51" s="17" t="s">
        <v>1174</v>
      </c>
      <c r="G51" s="17" t="s">
        <v>1175</v>
      </c>
      <c r="I51" s="17" t="s">
        <v>1173</v>
      </c>
      <c r="J51" s="17" t="s">
        <v>1174</v>
      </c>
      <c r="K51" s="17" t="s">
        <v>1175</v>
      </c>
      <c r="L51" s="17" t="s">
        <v>1173</v>
      </c>
      <c r="M51" s="17" t="s">
        <v>1174</v>
      </c>
      <c r="N51" s="17" t="s">
        <v>1175</v>
      </c>
    </row>
    <row r="52" spans="1:14" x14ac:dyDescent="0.25">
      <c r="A52">
        <v>1</v>
      </c>
      <c r="B52" s="41">
        <f>SMALL(ISSCC!AF:AF,'Jitter and FOM lines'!$A52)</f>
        <v>0.60617651860962363</v>
      </c>
      <c r="C52" s="41">
        <f>SMALL(VLSI!AF:AF,'Jitter and FOM lines'!$A52)</f>
        <v>0.3535180070866174</v>
      </c>
      <c r="D52" s="41">
        <f>SMALL($B$52:$C$56,$A52)</f>
        <v>0.3535180070866174</v>
      </c>
      <c r="E52" s="16">
        <f>SMALL(ISSCC!AI:AI,'Jitter and FOM lines'!$A52)</f>
        <v>1.9179129658502518E-10</v>
      </c>
      <c r="F52" s="16">
        <f>SMALL(VLSI!AI:AI,'Jitter and FOM lines'!$A52)</f>
        <v>7.1639991418025394E-10</v>
      </c>
      <c r="G52" s="16">
        <f>SMALL($E$52:$F$56,$A52)</f>
        <v>1.9179129658502518E-10</v>
      </c>
      <c r="I52" s="41">
        <f>LARGE(ISSCC!AH:AH,'Jitter and FOM lines'!$A52)</f>
        <v>189.16985199745903</v>
      </c>
      <c r="J52" s="41">
        <f>LARGE(VLSI!AH:AH,'Jitter and FOM lines'!$A52)</f>
        <v>183.93337706989536</v>
      </c>
      <c r="K52" s="47">
        <f>LARGE($I$52:$J$56,$A52)</f>
        <v>189.16985199745903</v>
      </c>
      <c r="L52" s="41">
        <f>LARGE(ISSCC!AJ:AJ,'Jitter and FOM lines'!$A52)</f>
        <v>265.84374627283972</v>
      </c>
      <c r="M52" s="41">
        <f>LARGE(VLSI!AJ:AJ,'Jitter and FOM lines'!$A52)</f>
        <v>264.19896240681726</v>
      </c>
      <c r="N52" s="41">
        <f>LARGE($L$52:$M$56,$A52)</f>
        <v>265.84374627283972</v>
      </c>
    </row>
    <row r="53" spans="1:14" x14ac:dyDescent="0.25">
      <c r="A53">
        <v>2</v>
      </c>
      <c r="B53" s="41">
        <f>SMALL(ISSCC!AF:AF,'Jitter and FOM lines'!$A53)</f>
        <v>0.85012125376347691</v>
      </c>
      <c r="C53" s="41">
        <f>SMALL(VLSI!AF:AF,'Jitter and FOM lines'!$A53)</f>
        <v>0.44253395302554993</v>
      </c>
      <c r="D53" s="41">
        <f>SMALL($B$52:$C$56,$A53)</f>
        <v>0.44253395302554993</v>
      </c>
      <c r="E53" s="16">
        <f>SMALL(ISSCC!AI:AI,'Jitter and FOM lines'!$A53)</f>
        <v>4.9631009859544964E-10</v>
      </c>
      <c r="F53" s="16">
        <f>SMALL(VLSI!AI:AI,'Jitter and FOM lines'!$A53)</f>
        <v>1.6100856796627299E-9</v>
      </c>
      <c r="G53" s="16">
        <f>SMALL($E$52:$F$56,$A53)</f>
        <v>4.9631009859544964E-10</v>
      </c>
      <c r="I53" s="41">
        <f>LARGE(ISSCC!AH:AH,'Jitter and FOM lines'!$A53)</f>
        <v>186.82513089773843</v>
      </c>
      <c r="J53" s="41">
        <f>LARGE(VLSI!AH:AH,'Jitter and FOM lines'!$A53)</f>
        <v>183.07577319177793</v>
      </c>
      <c r="K53" s="47">
        <f>LARGE($I$52:$J$56,$A53)</f>
        <v>186.82513089773843</v>
      </c>
      <c r="L53" s="41">
        <f>LARGE(ISSCC!AJ:AJ,'Jitter and FOM lines'!$A53)</f>
        <v>263.47568062913444</v>
      </c>
      <c r="M53" s="41">
        <f>LARGE(VLSI!AJ:AJ,'Jitter and FOM lines'!$A53)</f>
        <v>261.93550002027126</v>
      </c>
      <c r="N53" s="41">
        <f>LARGE($L$52:$M$56,$A53)</f>
        <v>264.19896240681726</v>
      </c>
    </row>
    <row r="54" spans="1:14" x14ac:dyDescent="0.25">
      <c r="A54">
        <v>3</v>
      </c>
      <c r="B54" s="41">
        <f>SMALL(ISSCC!AF:AF,'Jitter and FOM lines'!$A54)</f>
        <v>1.4139656423412064</v>
      </c>
      <c r="C54" s="41">
        <f>SMALL(VLSI!AF:AF,'Jitter and FOM lines'!$A54)</f>
        <v>1.0944719800908733</v>
      </c>
      <c r="D54" s="41">
        <f>SMALL($B$52:$C$56,$A54)</f>
        <v>0.60617651860962363</v>
      </c>
      <c r="E54" s="16">
        <f>SMALL(ISSCC!AI:AI,'Jitter and FOM lines'!$A54)</f>
        <v>6.6629481454280862E-10</v>
      </c>
      <c r="F54" s="16">
        <f>SMALL(VLSI!AI:AI,'Jitter and FOM lines'!$A54)</f>
        <v>1.6948615969560388E-9</v>
      </c>
      <c r="G54" s="16">
        <f>SMALL($E$52:$F$56,$A54)</f>
        <v>6.6629481454280862E-10</v>
      </c>
      <c r="I54" s="41">
        <f>LARGE(ISSCC!AH:AH,'Jitter and FOM lines'!$A54)</f>
        <v>186.00581074285708</v>
      </c>
      <c r="J54" s="41">
        <f>LARGE(VLSI!AH:AH,'Jitter and FOM lines'!$A54)</f>
        <v>182.96423414366052</v>
      </c>
      <c r="K54" s="47">
        <f>LARGE($I$52:$J$56,$A54)</f>
        <v>186.00581074285708</v>
      </c>
      <c r="L54" s="41">
        <f>LARGE(ISSCC!AJ:AJ,'Jitter and FOM lines'!$A54)</f>
        <v>263.34278573518418</v>
      </c>
      <c r="M54" s="41">
        <f>LARGE(VLSI!AJ:AJ,'Jitter and FOM lines'!$A54)</f>
        <v>260.30868619442077</v>
      </c>
      <c r="N54" s="41">
        <f>LARGE($L$52:$M$56,$A54)</f>
        <v>263.47568062913444</v>
      </c>
    </row>
    <row r="55" spans="1:14" x14ac:dyDescent="0.25">
      <c r="A55">
        <v>4</v>
      </c>
      <c r="B55" s="41">
        <f>SMALL(ISSCC!AF:AF,'Jitter and FOM lines'!$A55)</f>
        <v>1.4696229816166706</v>
      </c>
      <c r="C55" s="41">
        <f>SMALL(VLSI!AF:AF,'Jitter and FOM lines'!$A55)</f>
        <v>2.022232972096329</v>
      </c>
      <c r="D55" s="41">
        <f>SMALL($B$52:$C$56,$A55)</f>
        <v>0.85012125376347691</v>
      </c>
      <c r="E55" s="16">
        <f>SMALL(ISSCC!AI:AI,'Jitter and FOM lines'!$A55)</f>
        <v>6.6999999999999996E-10</v>
      </c>
      <c r="F55" s="16">
        <f>SMALL(VLSI!AI:AI,'Jitter and FOM lines'!$A55)</f>
        <v>1.7344813110675267E-9</v>
      </c>
      <c r="G55" s="16">
        <f>SMALL($E$52:$F$56,$A55)</f>
        <v>6.6999999999999996E-10</v>
      </c>
      <c r="I55" s="41">
        <f>LARGE(ISSCC!AH:AH,'Jitter and FOM lines'!$A55)</f>
        <v>185.32465582102742</v>
      </c>
      <c r="J55" s="41">
        <f>LARGE(VLSI!AH:AH,'Jitter and FOM lines'!$A55)</f>
        <v>182.02429823902062</v>
      </c>
      <c r="K55" s="47">
        <f>LARGE($I$52:$J$56,$A55)</f>
        <v>185.32465582102742</v>
      </c>
      <c r="L55" s="41">
        <f>LARGE(ISSCC!AJ:AJ,'Jitter and FOM lines'!$A55)</f>
        <v>263.08970004336015</v>
      </c>
      <c r="M55" s="41">
        <f>LARGE(VLSI!AJ:AJ,'Jitter and FOM lines'!$A55)</f>
        <v>259.46661994673894</v>
      </c>
      <c r="N55" s="41">
        <f>LARGE($L$52:$M$56,$A55)</f>
        <v>263.34278573518418</v>
      </c>
    </row>
    <row r="56" spans="1:14" x14ac:dyDescent="0.25">
      <c r="A56">
        <v>5</v>
      </c>
      <c r="B56" s="41">
        <f>SMALL(ISSCC!AF:AF,'Jitter and FOM lines'!$A56)</f>
        <v>1.77816904953662</v>
      </c>
      <c r="C56" s="41">
        <f>SMALL(VLSI!AF:AF,'Jitter and FOM lines'!$A56)</f>
        <v>2.0514864101560346</v>
      </c>
      <c r="D56" s="41">
        <f>SMALL($B$52:$C$56,$A56)</f>
        <v>1.0944719800908733</v>
      </c>
      <c r="E56" s="16">
        <f>SMALL(ISSCC!AI:AI,'Jitter and FOM lines'!$A56)</f>
        <v>7.4620636511223816E-10</v>
      </c>
      <c r="F56" s="16">
        <f>SMALL(VLSI!AI:AI,'Jitter and FOM lines'!$A56)</f>
        <v>2.1462510748784467E-9</v>
      </c>
      <c r="G56" s="16">
        <f>SMALL($E$52:$F$56,$A56)</f>
        <v>7.1639991418025394E-10</v>
      </c>
      <c r="I56" s="41">
        <f>LARGE(ISSCC!AH:AH,'Jitter and FOM lines'!$A56)</f>
        <v>184.83494205967631</v>
      </c>
      <c r="J56" s="41">
        <f>LARGE(VLSI!AH:AH,'Jitter and FOM lines'!$A56)</f>
        <v>181.50041520575166</v>
      </c>
      <c r="K56" s="47">
        <f>LARGE($I$52:$J$56,$A56)</f>
        <v>184.83494205967631</v>
      </c>
      <c r="L56" s="41">
        <f>LARGE(ISSCC!AJ:AJ,'Jitter and FOM lines'!$A56)</f>
        <v>262.63042856565977</v>
      </c>
      <c r="M56" s="41">
        <f>LARGE(VLSI!AJ:AJ,'Jitter and FOM lines'!$A56)</f>
        <v>258.79751981665834</v>
      </c>
      <c r="N56" s="41">
        <f>LARGE($L$52:$M$56,$A56)</f>
        <v>263.08970004336015</v>
      </c>
    </row>
    <row r="57" spans="1:14" ht="13" x14ac:dyDescent="0.3">
      <c r="A57" s="7" t="s">
        <v>1171</v>
      </c>
      <c r="B57" s="42">
        <f t="shared" ref="B57:G57" si="5">AVERAGE(B52:B56)</f>
        <v>1.2236110891735197</v>
      </c>
      <c r="C57" s="42">
        <f t="shared" si="5"/>
        <v>1.192848664491081</v>
      </c>
      <c r="D57" s="44">
        <f t="shared" si="5"/>
        <v>0.66936434251522825</v>
      </c>
      <c r="E57" s="43">
        <f t="shared" si="5"/>
        <v>5.5412051496710433E-10</v>
      </c>
      <c r="F57" s="43">
        <f t="shared" si="5"/>
        <v>1.5804159153489992E-9</v>
      </c>
      <c r="G57" s="45">
        <f t="shared" si="5"/>
        <v>5.4815922478070745E-10</v>
      </c>
      <c r="I57" s="42">
        <f t="array" ref="I57">10*LOG10(AVERAGE(10^(I52:I56/10)))</f>
        <v>186.72331722916886</v>
      </c>
      <c r="J57" s="42">
        <f t="array" ref="J57">10*LOG10(AVERAGE(10^(J52:J56/10)))</f>
        <v>182.78267962522423</v>
      </c>
      <c r="K57" s="44">
        <f t="array" ref="K57">10*LOG10(AVERAGE(10^(K52:K56/10)))</f>
        <v>186.72331722916886</v>
      </c>
      <c r="L57" s="42">
        <f t="array" ref="L57">10*LOG10(AVERAGE(10^(L52:L56/10)))</f>
        <v>263.83640509182447</v>
      </c>
      <c r="M57" s="42">
        <f t="array" ref="M57">10*LOG10(AVERAGE(10^(M52:M56/10)))</f>
        <v>261.40344886486429</v>
      </c>
      <c r="N57" s="44">
        <f t="array" ref="N57">10*LOG10(AVERAGE(10^(N52:N56/10)))</f>
        <v>264.11359511163334</v>
      </c>
    </row>
    <row r="59" spans="1:14" ht="13" x14ac:dyDescent="0.3">
      <c r="D59" s="46" t="s">
        <v>1178</v>
      </c>
      <c r="E59" s="16"/>
      <c r="G59" s="45">
        <f>D57/G57</f>
        <v>1221112976.4039075</v>
      </c>
      <c r="K59" s="46" t="s">
        <v>1182</v>
      </c>
      <c r="N59" s="45">
        <f>10^((N57-K57)/10)</f>
        <v>54831204.74362772</v>
      </c>
    </row>
    <row r="61" spans="1:14" s="7" customFormat="1" ht="13" x14ac:dyDescent="0.3">
      <c r="A61" s="7" t="s">
        <v>1180</v>
      </c>
    </row>
    <row r="63" spans="1:14" ht="13" x14ac:dyDescent="0.3">
      <c r="C63" s="7" t="s">
        <v>1170</v>
      </c>
      <c r="D63" s="43" t="s">
        <v>1179</v>
      </c>
    </row>
    <row r="64" spans="1:14" ht="13" x14ac:dyDescent="0.3">
      <c r="A64" t="s">
        <v>1168</v>
      </c>
      <c r="B64" s="17" t="s">
        <v>141</v>
      </c>
      <c r="C64" s="7" t="s">
        <v>1169</v>
      </c>
      <c r="D64" s="7" t="s">
        <v>1169</v>
      </c>
    </row>
    <row r="65" spans="1:10" x14ac:dyDescent="0.25">
      <c r="A65">
        <v>2</v>
      </c>
      <c r="B65" s="16">
        <f>10^A65</f>
        <v>100</v>
      </c>
      <c r="C65" s="41">
        <f>$D$57*SQRT(1+(B65/$G$59)^2)</f>
        <v>0.66936434251523047</v>
      </c>
      <c r="D65" s="41">
        <f>$K$57-10*LOG10(SQRT(1+(B65/$N$59)^2))</f>
        <v>186.72331722916164</v>
      </c>
      <c r="I65" s="41"/>
      <c r="J65" s="41"/>
    </row>
    <row r="66" spans="1:10" x14ac:dyDescent="0.25">
      <c r="A66">
        <v>2.1</v>
      </c>
      <c r="B66" s="16">
        <f t="shared" ref="B66:B129" si="6">10^A66</f>
        <v>125.89254117941677</v>
      </c>
      <c r="C66" s="41">
        <f t="shared" ref="C66:C129" si="7">$D$57*SQRT(1+(B66/$G$59)^2)</f>
        <v>0.6693643425152318</v>
      </c>
      <c r="D66" s="41">
        <f t="shared" ref="D66:D129" si="8">$K$57-10*LOG10(SQRT(1+(B66/$N$59)^2))</f>
        <v>186.7233172291574</v>
      </c>
    </row>
    <row r="67" spans="1:10" x14ac:dyDescent="0.25">
      <c r="A67">
        <v>2.2000000000000002</v>
      </c>
      <c r="B67" s="16">
        <f t="shared" si="6"/>
        <v>158.48931924611153</v>
      </c>
      <c r="C67" s="41">
        <f t="shared" si="7"/>
        <v>0.66936434251523391</v>
      </c>
      <c r="D67" s="41">
        <f t="shared" si="8"/>
        <v>186.72331722915072</v>
      </c>
    </row>
    <row r="68" spans="1:10" x14ac:dyDescent="0.25">
      <c r="A68">
        <v>2.2999999999999998</v>
      </c>
      <c r="B68" s="16">
        <f t="shared" si="6"/>
        <v>199.52623149688802</v>
      </c>
      <c r="C68" s="41">
        <f t="shared" si="7"/>
        <v>0.66936434251523713</v>
      </c>
      <c r="D68" s="41">
        <f t="shared" si="8"/>
        <v>186.72331722914009</v>
      </c>
    </row>
    <row r="69" spans="1:10" x14ac:dyDescent="0.25">
      <c r="A69">
        <v>2.4</v>
      </c>
      <c r="B69" s="16">
        <f t="shared" si="6"/>
        <v>251.18864315095806</v>
      </c>
      <c r="C69" s="41">
        <f t="shared" si="7"/>
        <v>0.66936434251524257</v>
      </c>
      <c r="D69" s="41">
        <f t="shared" si="8"/>
        <v>186.7233172291233</v>
      </c>
    </row>
    <row r="70" spans="1:10" x14ac:dyDescent="0.25">
      <c r="A70">
        <v>2.5</v>
      </c>
      <c r="B70" s="16">
        <f t="shared" si="6"/>
        <v>316.22776601683825</v>
      </c>
      <c r="C70" s="41">
        <f t="shared" si="7"/>
        <v>0.66936434251525068</v>
      </c>
      <c r="D70" s="41">
        <f t="shared" si="8"/>
        <v>186.72331722909664</v>
      </c>
    </row>
    <row r="71" spans="1:10" x14ac:dyDescent="0.25">
      <c r="A71">
        <v>2.6</v>
      </c>
      <c r="B71" s="16">
        <f t="shared" si="6"/>
        <v>398.10717055349761</v>
      </c>
      <c r="C71" s="41">
        <f t="shared" si="7"/>
        <v>0.66936434251526389</v>
      </c>
      <c r="D71" s="41">
        <f t="shared" si="8"/>
        <v>186.72331722905437</v>
      </c>
    </row>
    <row r="72" spans="1:10" x14ac:dyDescent="0.25">
      <c r="A72">
        <v>2.7</v>
      </c>
      <c r="B72" s="16">
        <f t="shared" si="6"/>
        <v>501.18723362727269</v>
      </c>
      <c r="C72" s="41">
        <f t="shared" si="7"/>
        <v>0.66936434251528476</v>
      </c>
      <c r="D72" s="41">
        <f t="shared" si="8"/>
        <v>186.72331722898744</v>
      </c>
    </row>
    <row r="73" spans="1:10" x14ac:dyDescent="0.25">
      <c r="A73">
        <v>2.8</v>
      </c>
      <c r="B73" s="16">
        <f t="shared" si="6"/>
        <v>630.95734448019323</v>
      </c>
      <c r="C73" s="41">
        <f t="shared" si="7"/>
        <v>0.66936434251531762</v>
      </c>
      <c r="D73" s="41">
        <f t="shared" si="8"/>
        <v>186.72331722888131</v>
      </c>
    </row>
    <row r="74" spans="1:10" x14ac:dyDescent="0.25">
      <c r="A74">
        <v>2.9</v>
      </c>
      <c r="B74" s="16">
        <f t="shared" si="6"/>
        <v>794.32823472428208</v>
      </c>
      <c r="C74" s="41">
        <f t="shared" si="7"/>
        <v>0.66936434251536991</v>
      </c>
      <c r="D74" s="41">
        <f t="shared" si="8"/>
        <v>186.72331722871314</v>
      </c>
    </row>
    <row r="75" spans="1:10" x14ac:dyDescent="0.25">
      <c r="A75">
        <v>3</v>
      </c>
      <c r="B75" s="16">
        <f t="shared" si="6"/>
        <v>1000</v>
      </c>
      <c r="C75" s="41">
        <f t="shared" si="7"/>
        <v>0.66936434251545263</v>
      </c>
      <c r="D75" s="41">
        <f t="shared" si="8"/>
        <v>186.72331722844658</v>
      </c>
    </row>
    <row r="76" spans="1:10" x14ac:dyDescent="0.25">
      <c r="A76">
        <v>3.1</v>
      </c>
      <c r="B76" s="16">
        <f t="shared" si="6"/>
        <v>1258.925411794168</v>
      </c>
      <c r="C76" s="41">
        <f t="shared" si="7"/>
        <v>0.66936434251558408</v>
      </c>
      <c r="D76" s="41">
        <f t="shared" si="8"/>
        <v>186.72331722802414</v>
      </c>
    </row>
    <row r="77" spans="1:10" x14ac:dyDescent="0.25">
      <c r="A77">
        <v>3.2</v>
      </c>
      <c r="B77" s="16">
        <f t="shared" si="6"/>
        <v>1584.8931924611156</v>
      </c>
      <c r="C77" s="41">
        <f t="shared" si="7"/>
        <v>0.66936434251579213</v>
      </c>
      <c r="D77" s="41">
        <f t="shared" si="8"/>
        <v>186.72331722735461</v>
      </c>
    </row>
    <row r="78" spans="1:10" x14ac:dyDescent="0.25">
      <c r="A78">
        <v>3.3</v>
      </c>
      <c r="B78" s="16">
        <f t="shared" si="6"/>
        <v>1995.2623149688804</v>
      </c>
      <c r="C78" s="41">
        <f t="shared" si="7"/>
        <v>0.66936434251612176</v>
      </c>
      <c r="D78" s="41">
        <f t="shared" si="8"/>
        <v>186.72331722629346</v>
      </c>
    </row>
    <row r="79" spans="1:10" x14ac:dyDescent="0.25">
      <c r="A79">
        <v>3.4</v>
      </c>
      <c r="B79" s="16">
        <f t="shared" si="6"/>
        <v>2511.8864315095811</v>
      </c>
      <c r="C79" s="41">
        <f t="shared" si="7"/>
        <v>0.66936434251664434</v>
      </c>
      <c r="D79" s="41">
        <f t="shared" si="8"/>
        <v>186.72331722461166</v>
      </c>
    </row>
    <row r="80" spans="1:10" x14ac:dyDescent="0.25">
      <c r="A80">
        <v>3.5</v>
      </c>
      <c r="B80" s="16">
        <f t="shared" si="6"/>
        <v>3162.2776601683804</v>
      </c>
      <c r="C80" s="41">
        <f t="shared" si="7"/>
        <v>0.66936434251747279</v>
      </c>
      <c r="D80" s="41">
        <f t="shared" si="8"/>
        <v>186.72331722194616</v>
      </c>
    </row>
    <row r="81" spans="1:4" x14ac:dyDescent="0.25">
      <c r="A81">
        <v>3.6</v>
      </c>
      <c r="B81" s="16">
        <f t="shared" si="6"/>
        <v>3981.0717055349769</v>
      </c>
      <c r="C81" s="41">
        <f t="shared" si="7"/>
        <v>0.66936434251878552</v>
      </c>
      <c r="D81" s="41">
        <f t="shared" si="8"/>
        <v>186.72331721772167</v>
      </c>
    </row>
    <row r="82" spans="1:4" x14ac:dyDescent="0.25">
      <c r="A82">
        <v>3.7</v>
      </c>
      <c r="B82" s="16">
        <f t="shared" si="6"/>
        <v>5011.8723362727324</v>
      </c>
      <c r="C82" s="41">
        <f t="shared" si="7"/>
        <v>0.66936434252086618</v>
      </c>
      <c r="D82" s="41">
        <f t="shared" si="8"/>
        <v>186.72331721102628</v>
      </c>
    </row>
    <row r="83" spans="1:4" x14ac:dyDescent="0.25">
      <c r="A83">
        <v>3.8</v>
      </c>
      <c r="B83" s="16">
        <f t="shared" si="6"/>
        <v>6309.5734448019384</v>
      </c>
      <c r="C83" s="41">
        <f t="shared" si="7"/>
        <v>0.66936434252416377</v>
      </c>
      <c r="D83" s="41">
        <f t="shared" si="8"/>
        <v>186.72331720041481</v>
      </c>
    </row>
    <row r="84" spans="1:4" x14ac:dyDescent="0.25">
      <c r="A84">
        <v>3.9</v>
      </c>
      <c r="B84" s="16">
        <f t="shared" si="6"/>
        <v>7943.2823472428154</v>
      </c>
      <c r="C84" s="41">
        <f t="shared" si="7"/>
        <v>0.66936434252939014</v>
      </c>
      <c r="D84" s="41">
        <f t="shared" si="8"/>
        <v>186.72331718359678</v>
      </c>
    </row>
    <row r="85" spans="1:4" x14ac:dyDescent="0.25">
      <c r="A85">
        <v>4</v>
      </c>
      <c r="B85" s="16">
        <f t="shared" si="6"/>
        <v>10000</v>
      </c>
      <c r="C85" s="41">
        <f t="shared" si="7"/>
        <v>0.6693643425376733</v>
      </c>
      <c r="D85" s="41">
        <f t="shared" si="8"/>
        <v>186.72331715694199</v>
      </c>
    </row>
    <row r="86" spans="1:4" x14ac:dyDescent="0.25">
      <c r="A86">
        <v>4.0999999999999996</v>
      </c>
      <c r="B86" s="16">
        <f t="shared" si="6"/>
        <v>12589.254117941671</v>
      </c>
      <c r="C86" s="41">
        <f t="shared" si="7"/>
        <v>0.66936434255080135</v>
      </c>
      <c r="D86" s="41">
        <f t="shared" si="8"/>
        <v>186.72331711469701</v>
      </c>
    </row>
    <row r="87" spans="1:4" x14ac:dyDescent="0.25">
      <c r="A87">
        <v>4.2</v>
      </c>
      <c r="B87" s="16">
        <f t="shared" si="6"/>
        <v>15848.931924611146</v>
      </c>
      <c r="C87" s="41">
        <f t="shared" si="7"/>
        <v>0.66936434257160771</v>
      </c>
      <c r="D87" s="41">
        <f t="shared" si="8"/>
        <v>186.72331704774319</v>
      </c>
    </row>
    <row r="88" spans="1:4" x14ac:dyDescent="0.25">
      <c r="A88">
        <v>4.3</v>
      </c>
      <c r="B88" s="16">
        <f t="shared" si="6"/>
        <v>19952.623149688792</v>
      </c>
      <c r="C88" s="41">
        <f t="shared" si="7"/>
        <v>0.66936434260458366</v>
      </c>
      <c r="D88" s="41">
        <f t="shared" si="8"/>
        <v>186.72331694162855</v>
      </c>
    </row>
    <row r="89" spans="1:4" x14ac:dyDescent="0.25">
      <c r="A89">
        <v>4.4000000000000004</v>
      </c>
      <c r="B89" s="16">
        <f t="shared" si="6"/>
        <v>25118.86431509586</v>
      </c>
      <c r="C89" s="41">
        <f t="shared" si="7"/>
        <v>0.66936434265684708</v>
      </c>
      <c r="D89" s="41">
        <f t="shared" si="8"/>
        <v>186.72331677344823</v>
      </c>
    </row>
    <row r="90" spans="1:4" x14ac:dyDescent="0.25">
      <c r="A90">
        <v>4.5</v>
      </c>
      <c r="B90" s="16">
        <f t="shared" si="6"/>
        <v>31622.77660168384</v>
      </c>
      <c r="C90" s="41">
        <f t="shared" si="7"/>
        <v>0.66936434273967893</v>
      </c>
      <c r="D90" s="41">
        <f t="shared" si="8"/>
        <v>186.72331650690037</v>
      </c>
    </row>
    <row r="91" spans="1:4" x14ac:dyDescent="0.25">
      <c r="A91">
        <v>4.5999999999999996</v>
      </c>
      <c r="B91" s="16">
        <f t="shared" si="6"/>
        <v>39810.717055349742</v>
      </c>
      <c r="C91" s="41">
        <f t="shared" si="7"/>
        <v>0.66936434287095847</v>
      </c>
      <c r="D91" s="41">
        <f t="shared" si="8"/>
        <v>186.72331608445054</v>
      </c>
    </row>
    <row r="92" spans="1:4" x14ac:dyDescent="0.25">
      <c r="A92">
        <v>4.7</v>
      </c>
      <c r="B92" s="16">
        <f t="shared" si="6"/>
        <v>50118.723362727294</v>
      </c>
      <c r="C92" s="41">
        <f t="shared" si="7"/>
        <v>0.66936434307902282</v>
      </c>
      <c r="D92" s="41">
        <f t="shared" si="8"/>
        <v>186.72331541491289</v>
      </c>
    </row>
    <row r="93" spans="1:4" x14ac:dyDescent="0.25">
      <c r="A93">
        <v>4.8</v>
      </c>
      <c r="B93" s="16">
        <f t="shared" si="6"/>
        <v>63095.734448019342</v>
      </c>
      <c r="C93" s="41">
        <f t="shared" si="7"/>
        <v>0.66936434340878226</v>
      </c>
      <c r="D93" s="41">
        <f t="shared" si="8"/>
        <v>186.72331435376765</v>
      </c>
    </row>
    <row r="94" spans="1:4" x14ac:dyDescent="0.25">
      <c r="A94">
        <v>4.9000000000000004</v>
      </c>
      <c r="B94" s="16">
        <f t="shared" si="6"/>
        <v>79432.823472428237</v>
      </c>
      <c r="C94" s="41">
        <f t="shared" si="7"/>
        <v>0.66936434393141608</v>
      </c>
      <c r="D94" s="41">
        <f t="shared" si="8"/>
        <v>186.72331267196682</v>
      </c>
    </row>
    <row r="95" spans="1:4" x14ac:dyDescent="0.25">
      <c r="A95">
        <v>5</v>
      </c>
      <c r="B95" s="16">
        <f t="shared" si="6"/>
        <v>100000</v>
      </c>
      <c r="C95" s="41">
        <f t="shared" si="7"/>
        <v>0.66936434475973483</v>
      </c>
      <c r="D95" s="41">
        <f t="shared" si="8"/>
        <v>186.72331000649478</v>
      </c>
    </row>
    <row r="96" spans="1:4" x14ac:dyDescent="0.25">
      <c r="A96">
        <v>5.0999999999999996</v>
      </c>
      <c r="B96" s="16">
        <f t="shared" si="6"/>
        <v>125892.54117941685</v>
      </c>
      <c r="C96" s="41">
        <f t="shared" si="7"/>
        <v>0.66936434607253148</v>
      </c>
      <c r="D96" s="41">
        <f t="shared" si="8"/>
        <v>186.72330578201303</v>
      </c>
    </row>
    <row r="97" spans="1:4" x14ac:dyDescent="0.25">
      <c r="A97">
        <v>5.2</v>
      </c>
      <c r="B97" s="16">
        <f t="shared" si="6"/>
        <v>158489.31924611164</v>
      </c>
      <c r="C97" s="41">
        <f t="shared" si="7"/>
        <v>0.66936434815317392</v>
      </c>
      <c r="D97" s="41">
        <f t="shared" si="8"/>
        <v>186.72329908667749</v>
      </c>
    </row>
    <row r="98" spans="1:4" x14ac:dyDescent="0.25">
      <c r="A98">
        <v>5.3</v>
      </c>
      <c r="B98" s="16">
        <f t="shared" si="6"/>
        <v>199526.23149688813</v>
      </c>
      <c r="C98" s="41">
        <f t="shared" si="7"/>
        <v>0.66936435145076989</v>
      </c>
      <c r="D98" s="41">
        <f t="shared" si="8"/>
        <v>186.72328847532808</v>
      </c>
    </row>
    <row r="99" spans="1:4" x14ac:dyDescent="0.25">
      <c r="A99">
        <v>5.4</v>
      </c>
      <c r="B99" s="16">
        <f t="shared" si="6"/>
        <v>251188.64315095844</v>
      </c>
      <c r="C99" s="41">
        <f t="shared" si="7"/>
        <v>0.66936435667710725</v>
      </c>
      <c r="D99" s="41">
        <f t="shared" si="8"/>
        <v>186.72327165757881</v>
      </c>
    </row>
    <row r="100" spans="1:4" x14ac:dyDescent="0.25">
      <c r="A100">
        <v>5.5</v>
      </c>
      <c r="B100" s="16">
        <f t="shared" si="6"/>
        <v>316227.7660168382</v>
      </c>
      <c r="C100" s="41">
        <f t="shared" si="7"/>
        <v>0.66936436496029372</v>
      </c>
      <c r="D100" s="41">
        <f t="shared" si="8"/>
        <v>186.72324500350928</v>
      </c>
    </row>
    <row r="101" spans="1:4" x14ac:dyDescent="0.25">
      <c r="A101">
        <v>5.6</v>
      </c>
      <c r="B101" s="16">
        <f t="shared" si="6"/>
        <v>398107.17055349716</v>
      </c>
      <c r="C101" s="41">
        <f t="shared" si="7"/>
        <v>0.66936437808825955</v>
      </c>
      <c r="D101" s="41">
        <f t="shared" si="8"/>
        <v>186.7232027603261</v>
      </c>
    </row>
    <row r="102" spans="1:4" x14ac:dyDescent="0.25">
      <c r="A102">
        <v>5.7</v>
      </c>
      <c r="B102" s="16">
        <f t="shared" si="6"/>
        <v>501187.23362727347</v>
      </c>
      <c r="C102" s="41">
        <f t="shared" si="7"/>
        <v>0.66936439889468247</v>
      </c>
      <c r="D102" s="41">
        <f t="shared" si="8"/>
        <v>186.72313581107596</v>
      </c>
    </row>
    <row r="103" spans="1:4" x14ac:dyDescent="0.25">
      <c r="A103">
        <v>5.8</v>
      </c>
      <c r="B103" s="16">
        <f t="shared" si="6"/>
        <v>630957.34448019415</v>
      </c>
      <c r="C103" s="41">
        <f t="shared" si="7"/>
        <v>0.66936443187063899</v>
      </c>
      <c r="D103" s="41">
        <f t="shared" si="8"/>
        <v>186.72302970789315</v>
      </c>
    </row>
    <row r="104" spans="1:4" x14ac:dyDescent="0.25">
      <c r="A104">
        <v>5.9</v>
      </c>
      <c r="B104" s="16">
        <f t="shared" si="6"/>
        <v>794328.23472428333</v>
      </c>
      <c r="C104" s="41">
        <f t="shared" si="7"/>
        <v>0.66936448413400507</v>
      </c>
      <c r="D104" s="41">
        <f t="shared" si="8"/>
        <v>186.72286155630005</v>
      </c>
    </row>
    <row r="105" spans="1:4" x14ac:dyDescent="0.25">
      <c r="A105">
        <v>6</v>
      </c>
      <c r="B105" s="16">
        <f t="shared" si="6"/>
        <v>1000000</v>
      </c>
      <c r="C105" s="41">
        <f t="shared" si="7"/>
        <v>0.66936456696584967</v>
      </c>
      <c r="D105" s="41">
        <f t="shared" si="8"/>
        <v>186.72259508065423</v>
      </c>
    </row>
    <row r="106" spans="1:4" x14ac:dyDescent="0.25">
      <c r="A106">
        <v>6.1</v>
      </c>
      <c r="B106" s="16">
        <f t="shared" si="6"/>
        <v>1258925.4117941677</v>
      </c>
      <c r="C106" s="41">
        <f t="shared" si="7"/>
        <v>0.66936469824545541</v>
      </c>
      <c r="D106" s="41">
        <f t="shared" si="8"/>
        <v>186.72217281219017</v>
      </c>
    </row>
    <row r="107" spans="1:4" x14ac:dyDescent="0.25">
      <c r="A107">
        <v>6.2</v>
      </c>
      <c r="B107" s="16">
        <f t="shared" si="6"/>
        <v>1584893.1924611153</v>
      </c>
      <c r="C107" s="41">
        <f t="shared" si="7"/>
        <v>0.66936490630955592</v>
      </c>
      <c r="D107" s="41">
        <f t="shared" si="8"/>
        <v>186.72150372993434</v>
      </c>
    </row>
    <row r="108" spans="1:4" x14ac:dyDescent="0.25">
      <c r="A108">
        <v>6.3</v>
      </c>
      <c r="B108" s="16">
        <f t="shared" si="6"/>
        <v>1995262.31496888</v>
      </c>
      <c r="C108" s="41">
        <f t="shared" si="7"/>
        <v>0.66936523606880016</v>
      </c>
      <c r="D108" s="41">
        <f t="shared" si="8"/>
        <v>186.72044372813747</v>
      </c>
    </row>
    <row r="109" spans="1:4" x14ac:dyDescent="0.25">
      <c r="A109">
        <v>6.4</v>
      </c>
      <c r="B109" s="16">
        <f t="shared" si="6"/>
        <v>2511886.431509587</v>
      </c>
      <c r="C109" s="41">
        <f t="shared" si="7"/>
        <v>0.66936575870164849</v>
      </c>
      <c r="D109" s="41">
        <f t="shared" si="8"/>
        <v>186.71876479770307</v>
      </c>
    </row>
    <row r="110" spans="1:4" x14ac:dyDescent="0.25">
      <c r="A110">
        <v>6.5</v>
      </c>
      <c r="B110" s="16">
        <f t="shared" si="6"/>
        <v>3162277.6601683851</v>
      </c>
      <c r="C110" s="41">
        <f t="shared" si="7"/>
        <v>0.66936658701805607</v>
      </c>
      <c r="D110" s="41">
        <f t="shared" si="8"/>
        <v>186.71610652846567</v>
      </c>
    </row>
    <row r="111" spans="1:4" x14ac:dyDescent="0.25">
      <c r="A111">
        <v>6.6</v>
      </c>
      <c r="B111" s="16">
        <f t="shared" si="6"/>
        <v>3981071.705534976</v>
      </c>
      <c r="C111" s="41">
        <f t="shared" si="7"/>
        <v>0.66936789980899214</v>
      </c>
      <c r="D111" s="41">
        <f t="shared" si="8"/>
        <v>186.71190011018723</v>
      </c>
    </row>
    <row r="112" spans="1:4" x14ac:dyDescent="0.25">
      <c r="A112">
        <v>6.7</v>
      </c>
      <c r="B112" s="16">
        <f t="shared" si="6"/>
        <v>5011872.3362727314</v>
      </c>
      <c r="C112" s="41">
        <f t="shared" si="7"/>
        <v>0.66936998043713603</v>
      </c>
      <c r="D112" s="41">
        <f t="shared" si="8"/>
        <v>186.70525003271862</v>
      </c>
    </row>
    <row r="113" spans="1:4" x14ac:dyDescent="0.25">
      <c r="A113">
        <v>6.8</v>
      </c>
      <c r="B113" s="16">
        <f t="shared" si="6"/>
        <v>6309573.4448019378</v>
      </c>
      <c r="C113" s="41">
        <f t="shared" si="7"/>
        <v>0.66937327799726976</v>
      </c>
      <c r="D113" s="41">
        <f t="shared" si="8"/>
        <v>186.69475191033482</v>
      </c>
    </row>
    <row r="114" spans="1:4" x14ac:dyDescent="0.25">
      <c r="A114">
        <v>6.9</v>
      </c>
      <c r="B114" s="16">
        <f t="shared" si="6"/>
        <v>7943282.3472428275</v>
      </c>
      <c r="C114" s="41">
        <f t="shared" si="7"/>
        <v>0.66937850424460188</v>
      </c>
      <c r="D114" s="41">
        <f t="shared" si="8"/>
        <v>186.6782167778284</v>
      </c>
    </row>
    <row r="115" spans="1:4" x14ac:dyDescent="0.25">
      <c r="A115">
        <v>7</v>
      </c>
      <c r="B115" s="16">
        <f t="shared" si="6"/>
        <v>10000000</v>
      </c>
      <c r="C115" s="41">
        <f t="shared" si="7"/>
        <v>0.66938678720483791</v>
      </c>
      <c r="D115" s="41">
        <f t="shared" si="8"/>
        <v>186.6522655738888</v>
      </c>
    </row>
    <row r="116" spans="1:4" x14ac:dyDescent="0.25">
      <c r="A116">
        <v>7.1</v>
      </c>
      <c r="B116" s="16">
        <f t="shared" si="6"/>
        <v>12589254.117941668</v>
      </c>
      <c r="C116" s="41">
        <f t="shared" si="7"/>
        <v>0.66939991460218817</v>
      </c>
      <c r="D116" s="41">
        <f t="shared" si="8"/>
        <v>186.61176061620736</v>
      </c>
    </row>
    <row r="117" spans="1:4" x14ac:dyDescent="0.25">
      <c r="A117">
        <v>7.2</v>
      </c>
      <c r="B117" s="16">
        <f t="shared" si="6"/>
        <v>15848931.924611172</v>
      </c>
      <c r="C117" s="41">
        <f t="shared" si="7"/>
        <v>0.66942071959756777</v>
      </c>
      <c r="D117" s="41">
        <f t="shared" si="8"/>
        <v>186.54907322973403</v>
      </c>
    </row>
    <row r="118" spans="1:4" x14ac:dyDescent="0.25">
      <c r="A118">
        <v>7.3</v>
      </c>
      <c r="B118" s="16">
        <f t="shared" si="6"/>
        <v>19952623.149688821</v>
      </c>
      <c r="C118" s="41">
        <f t="shared" si="7"/>
        <v>0.66945369196868887</v>
      </c>
      <c r="D118" s="41">
        <f t="shared" si="8"/>
        <v>186.45328492997146</v>
      </c>
    </row>
    <row r="119" spans="1:4" x14ac:dyDescent="0.25">
      <c r="A119">
        <v>7.4</v>
      </c>
      <c r="B119" s="16">
        <f t="shared" si="6"/>
        <v>25118864.315095898</v>
      </c>
      <c r="C119" s="41">
        <f t="shared" si="7"/>
        <v>0.66950594632894034</v>
      </c>
      <c r="D119" s="41">
        <f t="shared" si="8"/>
        <v>186.30962883983099</v>
      </c>
    </row>
    <row r="120" spans="1:4" x14ac:dyDescent="0.25">
      <c r="A120">
        <v>7.5000000000000098</v>
      </c>
      <c r="B120" s="16">
        <f t="shared" si="6"/>
        <v>31622776.601684563</v>
      </c>
      <c r="C120" s="41">
        <f t="shared" si="7"/>
        <v>0.66958875555564401</v>
      </c>
      <c r="D120" s="41">
        <f t="shared" si="8"/>
        <v>186.099790506467</v>
      </c>
    </row>
    <row r="121" spans="1:4" x14ac:dyDescent="0.25">
      <c r="A121">
        <v>7.6</v>
      </c>
      <c r="B121" s="16">
        <f t="shared" si="6"/>
        <v>39810717.055349804</v>
      </c>
      <c r="C121" s="41">
        <f t="shared" si="7"/>
        <v>0.66971997836153485</v>
      </c>
      <c r="D121" s="41">
        <f t="shared" si="8"/>
        <v>185.80389112022723</v>
      </c>
    </row>
    <row r="122" spans="1:4" x14ac:dyDescent="0.25">
      <c r="A122">
        <v>7.7</v>
      </c>
      <c r="B122" s="16">
        <f t="shared" si="6"/>
        <v>50118723.362727284</v>
      </c>
      <c r="C122" s="41">
        <f t="shared" si="7"/>
        <v>0.6699278998427064</v>
      </c>
      <c r="D122" s="41">
        <f t="shared" si="8"/>
        <v>185.4045499067785</v>
      </c>
    </row>
    <row r="123" spans="1:4" x14ac:dyDescent="0.25">
      <c r="A123">
        <v>7.8000000000000096</v>
      </c>
      <c r="B123" s="16">
        <f t="shared" si="6"/>
        <v>63095734.448020898</v>
      </c>
      <c r="C123" s="41">
        <f t="shared" si="7"/>
        <v>0.67025730106242654</v>
      </c>
      <c r="D123" s="41">
        <f t="shared" si="8"/>
        <v>184.89197583920179</v>
      </c>
    </row>
    <row r="124" spans="1:4" x14ac:dyDescent="0.25">
      <c r="A124">
        <v>7.9000000000000101</v>
      </c>
      <c r="B124" s="16">
        <f t="shared" si="6"/>
        <v>79432823.47243005</v>
      </c>
      <c r="C124" s="41">
        <f t="shared" si="7"/>
        <v>0.67077903546585771</v>
      </c>
      <c r="D124" s="41">
        <f t="shared" si="8"/>
        <v>184.26743968039517</v>
      </c>
    </row>
    <row r="125" spans="1:4" x14ac:dyDescent="0.25">
      <c r="A125">
        <v>8.0000000000000107</v>
      </c>
      <c r="B125" s="16">
        <f t="shared" si="6"/>
        <v>100000000.00000267</v>
      </c>
      <c r="C125" s="41">
        <f t="shared" si="7"/>
        <v>0.67160509854226524</v>
      </c>
      <c r="D125" s="41">
        <f t="shared" si="8"/>
        <v>183.54279939413249</v>
      </c>
    </row>
    <row r="126" spans="1:4" x14ac:dyDescent="0.25">
      <c r="A126">
        <v>8.1</v>
      </c>
      <c r="B126" s="16">
        <f t="shared" si="6"/>
        <v>125892541.17941682</v>
      </c>
      <c r="C126" s="41">
        <f t="shared" si="7"/>
        <v>0.67291224308088871</v>
      </c>
      <c r="D126" s="41">
        <f t="shared" si="8"/>
        <v>182.73641717490605</v>
      </c>
    </row>
    <row r="127" spans="1:4" x14ac:dyDescent="0.25">
      <c r="A127">
        <v>8.2000000000000099</v>
      </c>
      <c r="B127" s="16">
        <f t="shared" si="6"/>
        <v>158489319.24611527</v>
      </c>
      <c r="C127" s="41">
        <f t="shared" si="7"/>
        <v>0.67497874233119159</v>
      </c>
      <c r="D127" s="41">
        <f t="shared" si="8"/>
        <v>181.86810733823054</v>
      </c>
    </row>
    <row r="128" spans="1:4" x14ac:dyDescent="0.25">
      <c r="A128">
        <v>8.3000000000000096</v>
      </c>
      <c r="B128" s="16">
        <f t="shared" si="6"/>
        <v>199526231.49689269</v>
      </c>
      <c r="C128" s="41">
        <f t="shared" si="7"/>
        <v>0.67824102574032485</v>
      </c>
      <c r="D128" s="41">
        <f t="shared" si="8"/>
        <v>180.95550490630544</v>
      </c>
    </row>
    <row r="129" spans="1:4" x14ac:dyDescent="0.25">
      <c r="A129">
        <v>8.4000000000000092</v>
      </c>
      <c r="B129" s="16">
        <f t="shared" si="6"/>
        <v>251188643.15096372</v>
      </c>
      <c r="C129" s="41">
        <f t="shared" si="7"/>
        <v>0.68337949700548561</v>
      </c>
      <c r="D129" s="41">
        <f t="shared" si="8"/>
        <v>180.01251569158413</v>
      </c>
    </row>
    <row r="130" spans="1:4" x14ac:dyDescent="0.25">
      <c r="A130">
        <v>8.5000000000000107</v>
      </c>
      <c r="B130" s="16">
        <f t="shared" ref="B130:B145" si="9">10^A130</f>
        <v>316227766.01684594</v>
      </c>
      <c r="C130" s="41">
        <f t="shared" ref="C130:C145" si="10">$D$57*SQRT(1+(B130/$G$59)^2)</f>
        <v>0.69144520867677128</v>
      </c>
      <c r="D130" s="41">
        <f t="shared" ref="D130:D145" si="11">$K$57-10*LOG10(SQRT(1+(B130/$N$59)^2))</f>
        <v>179.04927277963327</v>
      </c>
    </row>
    <row r="131" spans="1:4" x14ac:dyDescent="0.25">
      <c r="A131">
        <v>8.6000000000000103</v>
      </c>
      <c r="B131" s="16">
        <f t="shared" si="9"/>
        <v>398107170.55350697</v>
      </c>
      <c r="C131" s="41">
        <f t="shared" si="10"/>
        <v>0.70403924720425837</v>
      </c>
      <c r="D131" s="41">
        <f t="shared" si="11"/>
        <v>178.07278921618769</v>
      </c>
    </row>
    <row r="132" spans="1:4" x14ac:dyDescent="0.25">
      <c r="A132">
        <v>8.7000000000000099</v>
      </c>
      <c r="B132" s="16">
        <f t="shared" si="9"/>
        <v>501187233.62728405</v>
      </c>
      <c r="C132" s="41">
        <f t="shared" si="10"/>
        <v>0.72355056403293472</v>
      </c>
      <c r="D132" s="41">
        <f t="shared" si="11"/>
        <v>177.08775920302119</v>
      </c>
    </row>
    <row r="133" spans="1:4" x14ac:dyDescent="0.25">
      <c r="A133">
        <v>8.8000000000000096</v>
      </c>
      <c r="B133" s="16">
        <f t="shared" si="9"/>
        <v>630957344.48020744</v>
      </c>
      <c r="C133" s="41">
        <f t="shared" si="10"/>
        <v>0.75343963440695472</v>
      </c>
      <c r="D133" s="41">
        <f t="shared" si="11"/>
        <v>176.09725800449505</v>
      </c>
    </row>
    <row r="134" spans="1:4" x14ac:dyDescent="0.25">
      <c r="A134">
        <v>8.9000000000000092</v>
      </c>
      <c r="B134" s="16">
        <f t="shared" si="9"/>
        <v>794328234.7242986</v>
      </c>
      <c r="C134" s="41">
        <f t="shared" si="10"/>
        <v>0.79852223638237518</v>
      </c>
      <c r="D134" s="41">
        <f t="shared" si="11"/>
        <v>175.1032727932263</v>
      </c>
    </row>
    <row r="135" spans="1:4" x14ac:dyDescent="0.25">
      <c r="A135">
        <v>9.0000000000000107</v>
      </c>
      <c r="B135" s="16">
        <f t="shared" si="9"/>
        <v>1000000000.0000277</v>
      </c>
      <c r="C135" s="41">
        <f t="shared" si="10"/>
        <v>0.86517464060329852</v>
      </c>
      <c r="D135" s="41">
        <f t="shared" si="11"/>
        <v>174.1070764586272</v>
      </c>
    </row>
    <row r="136" spans="1:4" x14ac:dyDescent="0.25">
      <c r="A136">
        <v>9.1000000000000103</v>
      </c>
      <c r="B136" s="16">
        <f t="shared" si="9"/>
        <v>1258925411.7942009</v>
      </c>
      <c r="C136" s="41">
        <f t="shared" si="10"/>
        <v>0.96139222420497905</v>
      </c>
      <c r="D136" s="41">
        <f t="shared" si="11"/>
        <v>173.1094798419561</v>
      </c>
    </row>
    <row r="137" spans="1:4" x14ac:dyDescent="0.25">
      <c r="A137">
        <v>9.2000000000000099</v>
      </c>
      <c r="B137" s="16">
        <f t="shared" si="9"/>
        <v>1584893192.4611545</v>
      </c>
      <c r="C137" s="41">
        <f t="shared" si="10"/>
        <v>1.096729948458685</v>
      </c>
      <c r="D137" s="41">
        <f t="shared" si="11"/>
        <v>172.11099764414999</v>
      </c>
    </row>
    <row r="138" spans="1:4" x14ac:dyDescent="0.25">
      <c r="A138">
        <v>9.3000000000000096</v>
      </c>
      <c r="B138" s="16">
        <f t="shared" si="9"/>
        <v>1995262314.9689293</v>
      </c>
      <c r="C138" s="41">
        <f t="shared" si="10"/>
        <v>1.2822929539209311</v>
      </c>
      <c r="D138" s="41">
        <f t="shared" si="11"/>
        <v>171.11195585874879</v>
      </c>
    </row>
    <row r="139" spans="1:4" x14ac:dyDescent="0.25">
      <c r="A139">
        <v>9.4000000000000092</v>
      </c>
      <c r="B139" s="16">
        <f t="shared" si="9"/>
        <v>2511886431.5096402</v>
      </c>
      <c r="C139" s="41">
        <f t="shared" si="10"/>
        <v>1.5309931458675816</v>
      </c>
      <c r="D139" s="41">
        <f t="shared" si="11"/>
        <v>170.11256066892233</v>
      </c>
    </row>
    <row r="140" spans="1:4" x14ac:dyDescent="0.25">
      <c r="A140">
        <v>9.5000000000000107</v>
      </c>
      <c r="B140" s="16">
        <f t="shared" si="9"/>
        <v>3162277660.1684632</v>
      </c>
      <c r="C140" s="41">
        <f t="shared" si="10"/>
        <v>1.8581802873114504</v>
      </c>
      <c r="D140" s="41">
        <f t="shared" si="11"/>
        <v>169.11294236503704</v>
      </c>
    </row>
    <row r="141" spans="1:4" x14ac:dyDescent="0.25">
      <c r="A141">
        <v>9.6000000000000103</v>
      </c>
      <c r="B141" s="16">
        <f t="shared" si="9"/>
        <v>3981071705.5350742</v>
      </c>
      <c r="C141" s="41">
        <f t="shared" si="10"/>
        <v>2.2826108911376815</v>
      </c>
      <c r="D141" s="41">
        <f t="shared" si="11"/>
        <v>168.11318323353041</v>
      </c>
    </row>
    <row r="142" spans="1:4" x14ac:dyDescent="0.25">
      <c r="A142">
        <v>9.7000000000000099</v>
      </c>
      <c r="B142" s="16">
        <f t="shared" si="9"/>
        <v>5011872336.2728462</v>
      </c>
      <c r="C142" s="41">
        <f t="shared" si="10"/>
        <v>2.8276718676650385</v>
      </c>
      <c r="D142" s="41">
        <f t="shared" si="11"/>
        <v>167.1133352250238</v>
      </c>
    </row>
    <row r="143" spans="1:4" x14ac:dyDescent="0.25">
      <c r="A143">
        <v>9.8000000000000096</v>
      </c>
      <c r="B143" s="16">
        <f t="shared" si="9"/>
        <v>6309573444.8020811</v>
      </c>
      <c r="C143" s="41">
        <f t="shared" si="10"/>
        <v>3.5228276411818742</v>
      </c>
      <c r="D143" s="41">
        <f t="shared" si="11"/>
        <v>166.11343113064709</v>
      </c>
    </row>
    <row r="144" spans="1:4" x14ac:dyDescent="0.25">
      <c r="A144">
        <v>9.9000000000000092</v>
      </c>
      <c r="B144" s="16">
        <f t="shared" si="9"/>
        <v>7943282347.2429953</v>
      </c>
      <c r="C144" s="41">
        <f t="shared" si="10"/>
        <v>4.4053334175357817</v>
      </c>
      <c r="D144" s="41">
        <f t="shared" si="11"/>
        <v>165.11349164518396</v>
      </c>
    </row>
    <row r="145" spans="1:4" x14ac:dyDescent="0.25">
      <c r="A145">
        <v>10</v>
      </c>
      <c r="B145" s="16">
        <f t="shared" si="9"/>
        <v>10000000000</v>
      </c>
      <c r="C145" s="41">
        <f t="shared" si="10"/>
        <v>5.5223094982307419</v>
      </c>
      <c r="D145" s="41">
        <f t="shared" si="11"/>
        <v>164.1135298281433</v>
      </c>
    </row>
    <row r="146" spans="1:4" x14ac:dyDescent="0.25">
      <c r="A146">
        <v>10.1</v>
      </c>
      <c r="B146" s="16">
        <f t="shared" ref="B146:B165" si="12">10^A146</f>
        <v>12589254117.94171</v>
      </c>
      <c r="C146" s="41">
        <f t="shared" ref="C146:C165" si="13">$D$57*SQRT(1+(B146/$G$59)^2)</f>
        <v>6.9333027624735859</v>
      </c>
      <c r="D146" s="41">
        <f t="shared" ref="D146:D165" si="14">$K$57-10*LOG10(SQRT(1+(B146/$N$59)^2))</f>
        <v>163.11355392030731</v>
      </c>
    </row>
    <row r="147" spans="1:4" x14ac:dyDescent="0.25">
      <c r="A147">
        <v>10.199999999999999</v>
      </c>
      <c r="B147" s="16">
        <f t="shared" si="12"/>
        <v>15848931924.611168</v>
      </c>
      <c r="C147" s="41">
        <f t="shared" si="13"/>
        <v>8.7134863461511127</v>
      </c>
      <c r="D147" s="41">
        <f t="shared" si="14"/>
        <v>162.11356912157268</v>
      </c>
    </row>
    <row r="148" spans="1:4" x14ac:dyDescent="0.25">
      <c r="A148">
        <v>10.3</v>
      </c>
      <c r="B148" s="16">
        <f t="shared" si="12"/>
        <v>19952623149.688889</v>
      </c>
      <c r="C148" s="41">
        <f t="shared" si="13"/>
        <v>10.95767805182596</v>
      </c>
      <c r="D148" s="41">
        <f t="shared" si="14"/>
        <v>161.11357871297747</v>
      </c>
    </row>
    <row r="149" spans="1:4" x14ac:dyDescent="0.25">
      <c r="A149">
        <v>10.4</v>
      </c>
      <c r="B149" s="16">
        <f t="shared" si="12"/>
        <v>25118864315.095894</v>
      </c>
      <c r="C149" s="41">
        <f t="shared" si="13"/>
        <v>13.785397621733301</v>
      </c>
      <c r="D149" s="41">
        <f t="shared" si="14"/>
        <v>160.11358476476656</v>
      </c>
    </row>
    <row r="150" spans="1:4" x14ac:dyDescent="0.25">
      <c r="A150">
        <v>10.5</v>
      </c>
      <c r="B150" s="16">
        <f t="shared" si="12"/>
        <v>31622776601.68388</v>
      </c>
      <c r="C150" s="41">
        <f t="shared" si="13"/>
        <v>17.347235639583001</v>
      </c>
      <c r="D150" s="41">
        <f t="shared" si="14"/>
        <v>159.11358858319602</v>
      </c>
    </row>
    <row r="151" spans="1:4" x14ac:dyDescent="0.25">
      <c r="A151">
        <v>10.6</v>
      </c>
      <c r="B151" s="16">
        <f t="shared" si="12"/>
        <v>39810717055.349792</v>
      </c>
      <c r="C151" s="41">
        <f t="shared" si="13"/>
        <v>21.832875082177335</v>
      </c>
      <c r="D151" s="41">
        <f t="shared" si="14"/>
        <v>158.11359099246559</v>
      </c>
    </row>
    <row r="152" spans="1:4" x14ac:dyDescent="0.25">
      <c r="A152">
        <v>10.7</v>
      </c>
      <c r="B152" s="16">
        <f t="shared" si="12"/>
        <v>50118723362.727272</v>
      </c>
      <c r="C152" s="41">
        <f t="shared" si="13"/>
        <v>27.481193668367812</v>
      </c>
      <c r="D152" s="41">
        <f t="shared" si="14"/>
        <v>157.11359251261328</v>
      </c>
    </row>
    <row r="153" spans="1:4" x14ac:dyDescent="0.25">
      <c r="A153">
        <v>10.8</v>
      </c>
      <c r="B153" s="16">
        <f t="shared" si="12"/>
        <v>63095734448.019539</v>
      </c>
      <c r="C153" s="41">
        <f t="shared" si="13"/>
        <v>34.592985492255551</v>
      </c>
      <c r="D153" s="41">
        <f t="shared" si="14"/>
        <v>156.11359347176219</v>
      </c>
    </row>
    <row r="154" spans="1:4" x14ac:dyDescent="0.25">
      <c r="A154">
        <v>10.9</v>
      </c>
      <c r="B154" s="16">
        <f t="shared" si="12"/>
        <v>79432823472.428345</v>
      </c>
      <c r="C154" s="41">
        <f t="shared" si="13"/>
        <v>43.546979668923292</v>
      </c>
      <c r="D154" s="41">
        <f t="shared" si="14"/>
        <v>155.11359407694445</v>
      </c>
    </row>
    <row r="155" spans="1:4" x14ac:dyDescent="0.25">
      <c r="A155">
        <v>11</v>
      </c>
      <c r="B155" s="16">
        <f t="shared" si="12"/>
        <v>100000000000</v>
      </c>
      <c r="C155" s="41">
        <f t="shared" si="13"/>
        <v>54.820009173155853</v>
      </c>
      <c r="D155" s="41">
        <f t="shared" si="14"/>
        <v>154.11359445878873</v>
      </c>
    </row>
    <row r="156" spans="1:4" x14ac:dyDescent="0.25">
      <c r="A156">
        <v>11.1</v>
      </c>
      <c r="B156" s="16">
        <f t="shared" si="12"/>
        <v>125892541179.41679</v>
      </c>
      <c r="C156" s="41">
        <f t="shared" si="13"/>
        <v>69.012404000529571</v>
      </c>
      <c r="D156" s="41">
        <f t="shared" si="14"/>
        <v>153.11359469971623</v>
      </c>
    </row>
    <row r="157" spans="1:4" x14ac:dyDescent="0.25">
      <c r="A157">
        <v>11.2</v>
      </c>
      <c r="B157" s="16">
        <f t="shared" si="12"/>
        <v>158489319246.1113</v>
      </c>
      <c r="C157" s="41">
        <f t="shared" si="13"/>
        <v>86.879960962100441</v>
      </c>
      <c r="D157" s="41">
        <f t="shared" si="14"/>
        <v>152.11359485173119</v>
      </c>
    </row>
    <row r="158" spans="1:4" x14ac:dyDescent="0.25">
      <c r="A158">
        <v>11.3</v>
      </c>
      <c r="B158" s="16">
        <f t="shared" si="12"/>
        <v>199526231496.8891</v>
      </c>
      <c r="C158" s="41">
        <f t="shared" si="13"/>
        <v>109.37419263732559</v>
      </c>
      <c r="D158" s="41">
        <f t="shared" si="14"/>
        <v>151.11359494764616</v>
      </c>
    </row>
    <row r="159" spans="1:4" x14ac:dyDescent="0.25">
      <c r="A159">
        <v>11.4</v>
      </c>
      <c r="B159" s="16">
        <f t="shared" si="12"/>
        <v>251188643150.9592</v>
      </c>
      <c r="C159" s="41">
        <f t="shared" si="13"/>
        <v>137.69299889699911</v>
      </c>
      <c r="D159" s="41">
        <f t="shared" si="14"/>
        <v>150.11359500816442</v>
      </c>
    </row>
    <row r="160" spans="1:4" x14ac:dyDescent="0.25">
      <c r="A160">
        <v>11.5</v>
      </c>
      <c r="B160" s="16">
        <f t="shared" si="12"/>
        <v>316227766016.83917</v>
      </c>
      <c r="C160" s="41">
        <f t="shared" si="13"/>
        <v>173.3444594437384</v>
      </c>
      <c r="D160" s="41">
        <f t="shared" si="14"/>
        <v>149.11359504634888</v>
      </c>
    </row>
    <row r="161" spans="1:4" x14ac:dyDescent="0.25">
      <c r="A161">
        <v>11.6</v>
      </c>
      <c r="B161" s="16">
        <f t="shared" si="12"/>
        <v>398107170553.49841</v>
      </c>
      <c r="C161" s="41">
        <f t="shared" si="13"/>
        <v>218.22714455749096</v>
      </c>
      <c r="D161" s="41">
        <f t="shared" si="14"/>
        <v>148.11359507044165</v>
      </c>
    </row>
    <row r="162" spans="1:4" x14ac:dyDescent="0.25">
      <c r="A162">
        <v>11.7</v>
      </c>
      <c r="B162" s="16">
        <f t="shared" si="12"/>
        <v>501187233627.27325</v>
      </c>
      <c r="C162" s="41">
        <f t="shared" si="13"/>
        <v>274.73122088716826</v>
      </c>
      <c r="D162" s="41">
        <f t="shared" si="14"/>
        <v>147.11359508564314</v>
      </c>
    </row>
    <row r="163" spans="1:4" x14ac:dyDescent="0.25">
      <c r="A163">
        <v>11.8</v>
      </c>
      <c r="B163" s="16">
        <f t="shared" si="12"/>
        <v>630957344480.19604</v>
      </c>
      <c r="C163" s="41">
        <f t="shared" si="13"/>
        <v>345.8657365410175</v>
      </c>
      <c r="D163" s="41">
        <f t="shared" si="14"/>
        <v>146.11359509523461</v>
      </c>
    </row>
    <row r="164" spans="1:4" x14ac:dyDescent="0.25">
      <c r="A164">
        <v>11.9</v>
      </c>
      <c r="B164" s="16">
        <f t="shared" si="12"/>
        <v>794328234724.2843</v>
      </c>
      <c r="C164" s="41">
        <f t="shared" si="13"/>
        <v>435.41886387119507</v>
      </c>
      <c r="D164" s="41">
        <f t="shared" si="14"/>
        <v>145.11359510128645</v>
      </c>
    </row>
    <row r="165" spans="1:4" x14ac:dyDescent="0.25">
      <c r="A165">
        <v>12</v>
      </c>
      <c r="B165" s="16">
        <f t="shared" si="12"/>
        <v>1000000000000</v>
      </c>
      <c r="C165" s="41">
        <f t="shared" si="13"/>
        <v>548.15963346529736</v>
      </c>
      <c r="D165" s="41">
        <f t="shared" si="14"/>
        <v>144.11359510510491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4</vt:i4>
      </vt:variant>
    </vt:vector>
  </HeadingPairs>
  <TitlesOfParts>
    <vt:vector size="8" baseType="lpstr">
      <vt:lpstr>Readme</vt:lpstr>
      <vt:lpstr>ISSCC</vt:lpstr>
      <vt:lpstr>VLSI</vt:lpstr>
      <vt:lpstr>Jitter and FOM lines</vt:lpstr>
      <vt:lpstr>Energy</vt:lpstr>
      <vt:lpstr>Aperture</vt:lpstr>
      <vt:lpstr>Walden FOM vs. Speed</vt:lpstr>
      <vt:lpstr>Schreier FOM vs. Speed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Boris Murmann</cp:lastModifiedBy>
  <cp:lastPrinted>2005-02-25T22:03:21Z</cp:lastPrinted>
  <dcterms:created xsi:type="dcterms:W3CDTF">1996-10-14T23:33:28Z</dcterms:created>
  <dcterms:modified xsi:type="dcterms:W3CDTF">2025-07-22T02:51:58Z</dcterms:modified>
</cp:coreProperties>
</file>